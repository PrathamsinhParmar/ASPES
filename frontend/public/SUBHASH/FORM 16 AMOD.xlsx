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111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1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11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4\AMOD\"/>
    </mc:Choice>
  </mc:AlternateContent>
  <xr:revisionPtr revIDLastSave="0" documentId="13_ncr:81_{964888F5-FD44-494F-9635-81FA249C6388}" xr6:coauthVersionLast="47" xr6:coauthVersionMax="47" xr10:uidLastSave="{00000000-0000-0000-0000-000000000000}"/>
  <workbookProtection revisionsPassword="CE28" lockStructure="1" lockRevision="1"/>
  <bookViews>
    <workbookView xWindow="-110" yWindow="-110" windowWidth="19420" windowHeight="10420" tabRatio="603" xr2:uid="{00000000-000D-0000-FFFF-FFFF00000000}"/>
  </bookViews>
  <sheets>
    <sheet name="જૂન સ્લેબ મુજબ (OLD SLAB)" sheetId="1" r:id="rId1"/>
    <sheet name="કપાટ પત્રક પેહલા ભરવુ " sheetId="2" r:id="rId2"/>
    <sheet name="નવા સ્લેબ મુજબ (NEW SLAB)" sheetId="3" r:id="rId3"/>
    <sheet name="Sheet1" sheetId="4" state="hidden" r:id="rId4"/>
    <sheet name="સૂચના વાંચી ફોરમ ભરવું " sheetId="5" r:id="rId5"/>
  </sheets>
  <externalReferences>
    <externalReference r:id="rId6"/>
  </externalReferences>
  <definedNames>
    <definedName name="jmp">'[1]PAGAR SLIP'!$AT$18:$CH$36</definedName>
    <definedName name="km">#REF!</definedName>
    <definedName name="nil">'[1]pre calculation OLD'!$L$1</definedName>
    <definedName name="_xlnm.Print_Area" localSheetId="1">'કપાટ પત્રક પેહલા ભરવુ '!$B$2:$O$30</definedName>
    <definedName name="_xlnm.Print_Area" localSheetId="0">'જૂન સ્લેબ મુજબ (OLD SLAB)'!$B$2:$AF$60</definedName>
    <definedName name="_xlnm.Print_Area" localSheetId="2">'નવા સ્લેબ મુજબ (NEW SLAB)'!$B$2:$AF$62</definedName>
    <definedName name="RR">'[1]All Teacher Data'!$B$2:$DE$271</definedName>
    <definedName name="tod">'[1]PAGAR SLIP'!$AF$7:$AF$18</definedName>
    <definedName name="un_lock">#REF!</definedName>
    <definedName name="Z_0158075B_DBA3_44E7_A4CB_0C6725288A6D_.wvu.Cols" localSheetId="1" hidden="1">'કપાટ પત્રક પેહલા ભરવુ '!#REF!</definedName>
    <definedName name="Z_0158075B_DBA3_44E7_A4CB_0C6725288A6D_.wvu.Cols" localSheetId="0" hidden="1">'જૂન સ્લેબ મુજબ (OLD SLAB)'!#REF!</definedName>
    <definedName name="Z_0158075B_DBA3_44E7_A4CB_0C6725288A6D_.wvu.Cols" localSheetId="2" hidden="1">'નવા સ્લેબ મુજબ (NEW SLAB)'!#REF!</definedName>
    <definedName name="Z_0158075B_DBA3_44E7_A4CB_0C6725288A6D_.wvu.PrintArea" localSheetId="1" hidden="1">'કપાટ પત્રક પેહલા ભરવુ '!$B$2:$O$30</definedName>
    <definedName name="Z_0158075B_DBA3_44E7_A4CB_0C6725288A6D_.wvu.PrintArea" localSheetId="0" hidden="1">'જૂન સ્લેબ મુજબ (OLD SLAB)'!$B$2:$AF$60</definedName>
    <definedName name="Z_0158075B_DBA3_44E7_A4CB_0C6725288A6D_.wvu.PrintArea" localSheetId="2" hidden="1">'નવા સ્લેબ મુજબ (NEW SLAB)'!$B$2:$AF$62</definedName>
    <definedName name="Z_0158075B_DBA3_44E7_A4CB_0C6725288A6D_.wvu.Rows" localSheetId="1" hidden="1">'કપાટ પત્રક પેહલા ભરવુ '!$988:$65521,'કપાટ પત્રક પેહલા ભરવુ '!$31:$987</definedName>
    <definedName name="Z_0158075B_DBA3_44E7_A4CB_0C6725288A6D_.wvu.Rows" localSheetId="0" hidden="1">'જૂન સ્લેબ મુજબ (OLD SLAB)'!$348:$65535,'જૂન સ્લેબ મુજબ (OLD SLAB)'!$61:$347</definedName>
    <definedName name="Z_0158075B_DBA3_44E7_A4CB_0C6725288A6D_.wvu.Rows" localSheetId="2" hidden="1">'નવા સ્લેબ મુજબ (NEW SLAB)'!$350:$65537,'નવા સ્લેબ મુજબ (NEW SLAB)'!$63:$349</definedName>
    <definedName name="Z_0E659955_9737_492F_945A_95AC3E0C4088_.wvu.Cols" localSheetId="3" hidden="1">Sheet1!$1:$1048576</definedName>
    <definedName name="Z_0E659955_9737_492F_945A_95AC3E0C4088_.wvu.Cols" localSheetId="1" hidden="1">'કપાટ પત્રક પેહલા ભરવુ '!$Q:$XFD</definedName>
    <definedName name="Z_0E659955_9737_492F_945A_95AC3E0C4088_.wvu.Cols" localSheetId="0" hidden="1">'જૂન સ્લેબ મુજબ (OLD SLAB)'!$AH:$XFD</definedName>
    <definedName name="Z_0E659955_9737_492F_945A_95AC3E0C4088_.wvu.Cols" localSheetId="2" hidden="1">'નવા સ્લેબ મુજબ (NEW SLAB)'!$AH:$XFD</definedName>
    <definedName name="Z_0E659955_9737_492F_945A_95AC3E0C4088_.wvu.PrintArea" localSheetId="1" hidden="1">'કપાટ પત્રક પેહલા ભરવુ '!$B$2:$O$30</definedName>
    <definedName name="Z_0E659955_9737_492F_945A_95AC3E0C4088_.wvu.PrintArea" localSheetId="0" hidden="1">'જૂન સ્લેબ મુજબ (OLD SLAB)'!$B$2:$AF$60</definedName>
    <definedName name="Z_0E659955_9737_492F_945A_95AC3E0C4088_.wvu.PrintArea" localSheetId="2" hidden="1">'નવા સ્લેબ મુજબ (NEW SLAB)'!$B$2:$AF$62</definedName>
    <definedName name="Z_0E659955_9737_492F_945A_95AC3E0C4088_.wvu.Rows" localSheetId="3" hidden="1">Sheet1!$169:$1048576,Sheet1!$1:$168</definedName>
    <definedName name="Z_0E659955_9737_492F_945A_95AC3E0C4088_.wvu.Rows" localSheetId="1" hidden="1">'કપાટ પત્રક પેહલા ભરવુ '!$988:$1048576,'કપાટ પત્રક પેહલા ભરવુ '!$31:$987</definedName>
    <definedName name="Z_0E659955_9737_492F_945A_95AC3E0C4088_.wvu.Rows" localSheetId="0" hidden="1">'જૂન સ્લેબ મુજબ (OLD SLAB)'!$348:$1048576,'જૂન સ્લેબ મુજબ (OLD SLAB)'!$61:$102,'જૂન સ્લેબ મુજબ (OLD SLAB)'!$104:$347</definedName>
    <definedName name="Z_0E659955_9737_492F_945A_95AC3E0C4088_.wvu.Rows" localSheetId="2" hidden="1">'નવા સ્લેબ મુજબ (NEW SLAB)'!$342:$1048576,'નવા સ્લેબ મુજબ (NEW SLAB)'!$63:$341</definedName>
    <definedName name="Z_42B09599_1405_481C_B062_57D781651D8D_.wvu.Cols" localSheetId="1" hidden="1">'કપાટ પત્રક પેહલા ભરવુ '!$Q:$IV</definedName>
    <definedName name="Z_42B09599_1405_481C_B062_57D781651D8D_.wvu.Cols" localSheetId="0" hidden="1">'જૂન સ્લેબ મુજબ (OLD SLAB)'!$AH:$IV</definedName>
    <definedName name="Z_42B09599_1405_481C_B062_57D781651D8D_.wvu.Cols" localSheetId="2" hidden="1">'નવા સ્લેબ મુજબ (NEW SLAB)'!$AH:$IV</definedName>
    <definedName name="Z_42B09599_1405_481C_B062_57D781651D8D_.wvu.PrintArea" localSheetId="1" hidden="1">'કપાટ પત્રક પેહલા ભરવુ '!$B$2:$O$30</definedName>
    <definedName name="Z_42B09599_1405_481C_B062_57D781651D8D_.wvu.PrintArea" localSheetId="0" hidden="1">'જૂન સ્લેબ મુજબ (OLD SLAB)'!$B$2:$AF$60</definedName>
    <definedName name="Z_42B09599_1405_481C_B062_57D781651D8D_.wvu.PrintArea" localSheetId="2" hidden="1">'નવા સ્લેબ મુજબ (NEW SLAB)'!$B$2:$AF$62</definedName>
    <definedName name="Z_42B09599_1405_481C_B062_57D781651D8D_.wvu.Rows" localSheetId="1" hidden="1">'કપાટ પત્રક પેહલા ભરવુ '!$993:$65521,'કપાટ પત્રક પેહલા ભરવુ '!$31:$992</definedName>
    <definedName name="Z_42B09599_1405_481C_B062_57D781651D8D_.wvu.Rows" localSheetId="0" hidden="1">'જૂન સ્લેબ મુજબ (OLD SLAB)'!$348:$65535,'જૂન સ્લેબ મુજબ (OLD SLAB)'!$61:$347</definedName>
    <definedName name="Z_42B09599_1405_481C_B062_57D781651D8D_.wvu.Rows" localSheetId="2" hidden="1">'નવા સ્લેબ મુજબ (NEW SLAB)'!$350:$65537,'નવા સ્લેબ મુજબ (NEW SLAB)'!$63:$349</definedName>
    <definedName name="Z_4D48DB91_7DAB_41A4_B943_A0175ADDFF54_.wvu.Cols" localSheetId="1">'કપાટ પત્રક પેહલા ભરવુ '!#REF!</definedName>
    <definedName name="Z_4D48DB91_7DAB_41A4_B943_A0175ADDFF54_.wvu.Cols" localSheetId="0">'જૂન સ્લેબ મુજબ (OLD SLAB)'!$AH:$AV</definedName>
    <definedName name="Z_4D48DB91_7DAB_41A4_B943_A0175ADDFF54_.wvu.Cols" localSheetId="2">'નવા સ્લેબ મુજબ (NEW SLAB)'!$AH:$AV</definedName>
    <definedName name="Z_4D48DB91_7DAB_41A4_B943_A0175ADDFF54_.wvu.PrintArea" localSheetId="1">'કપાટ પત્રક પેહલા ભરવુ '!$C$2:$N$30</definedName>
    <definedName name="Z_4D48DB91_7DAB_41A4_B943_A0175ADDFF54_.wvu.PrintArea" localSheetId="0">'જૂન સ્લેબ મુજબ (OLD SLAB)'!$D$2:$AE$60</definedName>
    <definedName name="Z_4D48DB91_7DAB_41A4_B943_A0175ADDFF54_.wvu.PrintArea" localSheetId="2">'નવા સ્લેબ મુજબ (NEW SLAB)'!$D$2:$AE$62</definedName>
    <definedName name="Z_4D48DB91_7DAB_41A4_B943_A0175ADDFF54_.wvu.Rows" localSheetId="1">'કપાટ પત્રક પેહલા ભરવુ '!$31:$65521</definedName>
    <definedName name="Z_5EABC722_00BF_4383_B8A6_CD92B28655DC_.wvu.PrintArea" localSheetId="1">'કપાટ પત્રક પેહલા ભરવુ '!$C$2:$N$30</definedName>
    <definedName name="Z_6B449CA7_43A5_4BFF_BFE3_4A3E3D45323D_.wvu.Cols" localSheetId="3" hidden="1">Sheet1!$1:$1048576</definedName>
    <definedName name="Z_6B449CA7_43A5_4BFF_BFE3_4A3E3D45323D_.wvu.Cols" localSheetId="1" hidden="1">'કપાટ પત્રક પેહલા ભરવુ '!$Q:$XFD</definedName>
    <definedName name="Z_6B449CA7_43A5_4BFF_BFE3_4A3E3D45323D_.wvu.Cols" localSheetId="0" hidden="1">'જૂન સ્લેબ મુજબ (OLD SLAB)'!$AH:$XFD</definedName>
    <definedName name="Z_6B449CA7_43A5_4BFF_BFE3_4A3E3D45323D_.wvu.Cols" localSheetId="2" hidden="1">'નવા સ્લેબ મુજબ (NEW SLAB)'!$AH:$XFD</definedName>
    <definedName name="Z_6B449CA7_43A5_4BFF_BFE3_4A3E3D45323D_.wvu.PrintArea" localSheetId="1" hidden="1">'કપાટ પત્રક પેહલા ભરવુ '!$B$2:$O$30</definedName>
    <definedName name="Z_6B449CA7_43A5_4BFF_BFE3_4A3E3D45323D_.wvu.PrintArea" localSheetId="0" hidden="1">'જૂન સ્લેબ મુજબ (OLD SLAB)'!$B$2:$AF$60</definedName>
    <definedName name="Z_6B449CA7_43A5_4BFF_BFE3_4A3E3D45323D_.wvu.PrintArea" localSheetId="2" hidden="1">'નવા સ્લેબ મુજબ (NEW SLAB)'!$B$2:$AF$62</definedName>
    <definedName name="Z_6B449CA7_43A5_4BFF_BFE3_4A3E3D45323D_.wvu.Rows" localSheetId="3" hidden="1">Sheet1!$65537:$1048576,Sheet1!$1:$65536</definedName>
    <definedName name="Z_6B449CA7_43A5_4BFF_BFE3_4A3E3D45323D_.wvu.Rows" localSheetId="1" hidden="1">'કપાટ પત્રક પેહલા ભરવુ '!$988:$1048561,'કપાટ પત્રક પેહલા ભરવુ '!$31:$987</definedName>
    <definedName name="Z_6B449CA7_43A5_4BFF_BFE3_4A3E3D45323D_.wvu.Rows" localSheetId="0" hidden="1">'જૂન સ્લેબ મુજબ (OLD SLAB)'!$348:$1048575,'જૂન સ્લેબ મુજબ (OLD SLAB)'!$61:$347</definedName>
    <definedName name="Z_6B449CA7_43A5_4BFF_BFE3_4A3E3D45323D_.wvu.Rows" localSheetId="2" hidden="1">'નવા સ્લેબ મુજબ (NEW SLAB)'!$350:$1048575,'નવા સ્લેબ મુજબ (NEW SLAB)'!$63:$349</definedName>
    <definedName name="Z_9BFE08BE_8D51_4068_A1B5_89EAA963583E_.wvu.Cols" localSheetId="1">'કપાટ પત્રક પેહલા ભરવુ '!#REF!</definedName>
    <definedName name="Z_9BFE08BE_8D51_4068_A1B5_89EAA963583E_.wvu.Cols" localSheetId="0">'જૂન સ્લેબ મુજબ (OLD SLAB)'!$AH:$AV</definedName>
    <definedName name="Z_9BFE08BE_8D51_4068_A1B5_89EAA963583E_.wvu.Cols" localSheetId="2">'નવા સ્લેબ મુજબ (NEW SLAB)'!$AH:$AV</definedName>
    <definedName name="Z_9BFE08BE_8D51_4068_A1B5_89EAA963583E_.wvu.PrintArea" localSheetId="1">'કપાટ પત્રક પેહલા ભરવુ '!$C$2:$N$30</definedName>
    <definedName name="Z_9BFE08BE_8D51_4068_A1B5_89EAA963583E_.wvu.PrintArea" localSheetId="0">'જૂન સ્લેબ મુજબ (OLD SLAB)'!$D$2:$AE$60</definedName>
    <definedName name="Z_9BFE08BE_8D51_4068_A1B5_89EAA963583E_.wvu.PrintArea" localSheetId="2">'નવા સ્લેબ મુજબ (NEW SLAB)'!$D$2:$AE$62</definedName>
    <definedName name="Z_9BFE08BE_8D51_4068_A1B5_89EAA963583E_.wvu.Rows" localSheetId="1">'કપાટ પત્રક પેહલા ભરવુ '!$31:$65521</definedName>
    <definedName name="Z_A48CBC34_AC71_47BF_B3CE_1D639913420B_.wvu.Cols" localSheetId="1" hidden="1">'કપાટ પત્રક પેહલા ભરવુ '!#REF!</definedName>
    <definedName name="Z_A48CBC34_AC71_47BF_B3CE_1D639913420B_.wvu.Cols" localSheetId="0" hidden="1">'જૂન સ્લેબ મુજબ (OLD SLAB)'!#REF!</definedName>
    <definedName name="Z_A48CBC34_AC71_47BF_B3CE_1D639913420B_.wvu.Cols" localSheetId="2" hidden="1">'નવા સ્લેબ મુજબ (NEW SLAB)'!#REF!</definedName>
    <definedName name="Z_A48CBC34_AC71_47BF_B3CE_1D639913420B_.wvu.PrintArea" localSheetId="1" hidden="1">'કપાટ પત્રક પેહલા ભરવુ '!$B$2:$O$30</definedName>
    <definedName name="Z_A48CBC34_AC71_47BF_B3CE_1D639913420B_.wvu.PrintArea" localSheetId="0" hidden="1">'જૂન સ્લેબ મુજબ (OLD SLAB)'!$B$2:$AF$60</definedName>
    <definedName name="Z_A48CBC34_AC71_47BF_B3CE_1D639913420B_.wvu.PrintArea" localSheetId="2" hidden="1">'નવા સ્લેબ મુજબ (NEW SLAB)'!$B$2:$AF$62</definedName>
    <definedName name="Z_A48CBC34_AC71_47BF_B3CE_1D639913420B_.wvu.Rows" localSheetId="1" hidden="1">'કપાટ પત્રક પેહલા ભરવુ '!$988:$65521,'કપાટ પત્રક પેહલા ભરવુ '!$31:$987</definedName>
    <definedName name="Z_A48CBC34_AC71_47BF_B3CE_1D639913420B_.wvu.Rows" localSheetId="0" hidden="1">'જૂન સ્લેબ મુજબ (OLD SLAB)'!$348:$65535,'જૂન સ્લેબ મુજબ (OLD SLAB)'!$61:$347</definedName>
    <definedName name="Z_A48CBC34_AC71_47BF_B3CE_1D639913420B_.wvu.Rows" localSheetId="2" hidden="1">'નવા સ્લેબ મુજબ (NEW SLAB)'!$350:$65537,'નવા સ્લેબ મુજબ (NEW SLAB)'!$63:$349</definedName>
    <definedName name="Z_C5CE1123_89F0_46AC_9AFE_8C60DE39CD0D_.wvu.Cols" localSheetId="1" hidden="1">'કપાટ પત્રક પેહલા ભરવુ '!$Q:$IV</definedName>
    <definedName name="Z_C5CE1123_89F0_46AC_9AFE_8C60DE39CD0D_.wvu.Cols" localSheetId="0" hidden="1">'જૂન સ્લેબ મુજબ (OLD SLAB)'!$AH:$IV</definedName>
    <definedName name="Z_C5CE1123_89F0_46AC_9AFE_8C60DE39CD0D_.wvu.Cols" localSheetId="2" hidden="1">'નવા સ્લેબ મુજબ (NEW SLAB)'!$AH:$IV</definedName>
    <definedName name="Z_C5CE1123_89F0_46AC_9AFE_8C60DE39CD0D_.wvu.PrintArea" localSheetId="1" hidden="1">'કપાટ પત્રક પેહલા ભરવુ '!$B$2:$O$30</definedName>
    <definedName name="Z_C5CE1123_89F0_46AC_9AFE_8C60DE39CD0D_.wvu.PrintArea" localSheetId="0" hidden="1">'જૂન સ્લેબ મુજબ (OLD SLAB)'!$B$2:$AF$60</definedName>
    <definedName name="Z_C5CE1123_89F0_46AC_9AFE_8C60DE39CD0D_.wvu.PrintArea" localSheetId="2" hidden="1">'નવા સ્લેબ મુજબ (NEW SLAB)'!$B$2:$AF$62</definedName>
    <definedName name="Z_C5CE1123_89F0_46AC_9AFE_8C60DE39CD0D_.wvu.Rows" localSheetId="1" hidden="1">'કપાટ પત્રક પેહલા ભરવુ '!$989:$65521,'કપાટ પત્રક પેહલા ભરવુ '!$31:$988</definedName>
    <definedName name="Z_C5CE1123_89F0_46AC_9AFE_8C60DE39CD0D_.wvu.Rows" localSheetId="0" hidden="1">'જૂન સ્લેબ મુજબ (OLD SLAB)'!$348:$65535,'જૂન સ્લેબ મુજબ (OLD SLAB)'!$61:$347</definedName>
    <definedName name="Z_C5CE1123_89F0_46AC_9AFE_8C60DE39CD0D_.wvu.Rows" localSheetId="2" hidden="1">'નવા સ્લેબ મુજબ (NEW SLAB)'!$350:$65537,'નવા સ્લેબ મુજબ (NEW SLAB)'!$63:$349</definedName>
    <definedName name="Z_F2483404_FCA0_49C4_AD03_D891E3061572_.wvu.Cols" localSheetId="3" hidden="1">Sheet1!$1:$1048576</definedName>
    <definedName name="Z_F2483404_FCA0_49C4_AD03_D891E3061572_.wvu.Cols" localSheetId="1" hidden="1">'કપાટ પત્રક પેહલા ભરવુ '!$Q:$AC</definedName>
    <definedName name="Z_F2483404_FCA0_49C4_AD03_D891E3061572_.wvu.Cols" localSheetId="0" hidden="1">'જૂન સ્લેબ મુજબ (OLD SLAB)'!$AH:$CG</definedName>
    <definedName name="Z_F2483404_FCA0_49C4_AD03_D891E3061572_.wvu.Cols" localSheetId="2" hidden="1">'નવા સ્લેબ મુજબ (NEW SLAB)'!$AH:$CG</definedName>
    <definedName name="Z_F2483404_FCA0_49C4_AD03_D891E3061572_.wvu.PrintArea" localSheetId="1" hidden="1">'કપાટ પત્રક પેહલા ભરવુ '!$B$2:$O$30</definedName>
    <definedName name="Z_F2483404_FCA0_49C4_AD03_D891E3061572_.wvu.PrintArea" localSheetId="0" hidden="1">'જૂન સ્લેબ મુજબ (OLD SLAB)'!$B$2:$AF$60</definedName>
    <definedName name="Z_F2483404_FCA0_49C4_AD03_D891E3061572_.wvu.PrintArea" localSheetId="2" hidden="1">'નવા સ્લેબ મુજબ (NEW SLAB)'!$B$2:$AF$62</definedName>
    <definedName name="Z_F2483404_FCA0_49C4_AD03_D891E3061572_.wvu.Rows" localSheetId="3" hidden="1">Sheet1!$169:$65536,Sheet1!$1:$168</definedName>
    <definedName name="Z_F2483404_FCA0_49C4_AD03_D891E3061572_.wvu.Rows" localSheetId="1" hidden="1">'કપાટ પત્રક પેહલા ભરવુ '!$993:$65521,'કપાટ પત્રક પેહલા ભરવુ '!$31:$992</definedName>
    <definedName name="Z_F2483404_FCA0_49C4_AD03_D891E3061572_.wvu.Rows" localSheetId="0" hidden="1">'જૂન સ્લેબ મુજબ (OLD SLAB)'!$348:$65535,'જૂન સ્લેબ મુજબ (OLD SLAB)'!$61:$347</definedName>
    <definedName name="Z_F2483404_FCA0_49C4_AD03_D891E3061572_.wvu.Rows" localSheetId="2" hidden="1">'નવા સ્લેબ મુજબ (NEW SLAB)'!$350:$65537,'નવા સ્લેબ મુજબ (NEW SLAB)'!$63:$349</definedName>
  </definedNames>
  <calcPr calcId="191029"/>
  <customWorkbookViews>
    <customWorkbookView name="RAEES - Personal View" guid="{0E659955-9737-492F-945A-95AC3E0C4088}" mergeInterval="0" personalView="1" maximized="1" xWindow="-11" yWindow="-11" windowWidth="1942" windowHeight="1042" tabRatio="603" activeSheetId="1"/>
    <customWorkbookView name="admin - Personal View" guid="{6B449CA7-43A5-4BFF-BFE3-4A3E3D45323D}" mergeInterval="0" personalView="1" maximized="1" xWindow="1" yWindow="1" windowWidth="1366" windowHeight="541" tabRatio="603" activeSheetId="1" showFormulaBar="0"/>
  </customWorkbookViews>
</workbook>
</file>

<file path=xl/calcChain.xml><?xml version="1.0" encoding="utf-8"?>
<calcChain xmlns="http://schemas.openxmlformats.org/spreadsheetml/2006/main">
  <c r="AN2" i="3" l="1"/>
  <c r="A168" i="4"/>
  <c r="G163" i="4"/>
  <c r="F163" i="4"/>
  <c r="E163" i="4"/>
  <c r="D163" i="4"/>
  <c r="C163" i="4"/>
  <c r="B163" i="4"/>
  <c r="A163" i="4"/>
  <c r="F162" i="4"/>
  <c r="E162" i="4"/>
  <c r="D162" i="4"/>
  <c r="C162" i="4"/>
  <c r="B162" i="4"/>
  <c r="A162" i="4"/>
  <c r="F160" i="4"/>
  <c r="E160" i="4"/>
  <c r="D160" i="4"/>
  <c r="C160" i="4"/>
  <c r="B160" i="4"/>
  <c r="A160" i="4"/>
  <c r="F158" i="4"/>
  <c r="E158" i="4"/>
  <c r="D158" i="4"/>
  <c r="C158" i="4"/>
  <c r="B158" i="4"/>
  <c r="A158" i="4"/>
  <c r="A155" i="4"/>
  <c r="G150" i="4"/>
  <c r="F150" i="4"/>
  <c r="E150" i="4"/>
  <c r="D150" i="4"/>
  <c r="C150" i="4"/>
  <c r="B150" i="4"/>
  <c r="A150" i="4"/>
  <c r="F149" i="4"/>
  <c r="E149" i="4"/>
  <c r="D149" i="4"/>
  <c r="C149" i="4"/>
  <c r="B149" i="4"/>
  <c r="A149" i="4"/>
  <c r="F147" i="4"/>
  <c r="E147" i="4"/>
  <c r="D147" i="4"/>
  <c r="C147" i="4"/>
  <c r="B147" i="4"/>
  <c r="A147" i="4"/>
  <c r="F145" i="4"/>
  <c r="E145" i="4"/>
  <c r="D145" i="4"/>
  <c r="C145" i="4"/>
  <c r="B145" i="4"/>
  <c r="A145" i="4"/>
  <c r="A142" i="4"/>
  <c r="G137" i="4"/>
  <c r="F137" i="4"/>
  <c r="E137" i="4"/>
  <c r="D137" i="4"/>
  <c r="C137" i="4"/>
  <c r="B137" i="4"/>
  <c r="A137" i="4"/>
  <c r="F136" i="4"/>
  <c r="E136" i="4"/>
  <c r="D136" i="4"/>
  <c r="C136" i="4"/>
  <c r="B136" i="4"/>
  <c r="A136" i="4"/>
  <c r="F134" i="4"/>
  <c r="E134" i="4"/>
  <c r="D134" i="4"/>
  <c r="C134" i="4"/>
  <c r="B134" i="4"/>
  <c r="A134" i="4"/>
  <c r="F132" i="4"/>
  <c r="E132" i="4"/>
  <c r="D132" i="4"/>
  <c r="C132" i="4"/>
  <c r="B132" i="4"/>
  <c r="A132" i="4"/>
  <c r="A129" i="4"/>
  <c r="G124" i="4"/>
  <c r="F124" i="4"/>
  <c r="E124" i="4"/>
  <c r="D124" i="4"/>
  <c r="C124" i="4"/>
  <c r="B124" i="4"/>
  <c r="A124" i="4"/>
  <c r="F123" i="4"/>
  <c r="E123" i="4"/>
  <c r="D123" i="4"/>
  <c r="C123" i="4"/>
  <c r="B123" i="4"/>
  <c r="A123" i="4"/>
  <c r="F121" i="4"/>
  <c r="E121" i="4"/>
  <c r="D121" i="4"/>
  <c r="C121" i="4"/>
  <c r="B121" i="4"/>
  <c r="A121" i="4"/>
  <c r="F119" i="4"/>
  <c r="E119" i="4"/>
  <c r="D119" i="4"/>
  <c r="C119" i="4"/>
  <c r="B119" i="4"/>
  <c r="A119" i="4"/>
  <c r="A116" i="4"/>
  <c r="G111" i="4"/>
  <c r="F111" i="4"/>
  <c r="E111" i="4"/>
  <c r="D111" i="4"/>
  <c r="C111" i="4"/>
  <c r="B111" i="4"/>
  <c r="A111" i="4"/>
  <c r="F110" i="4"/>
  <c r="E110" i="4"/>
  <c r="D110" i="4"/>
  <c r="C110" i="4"/>
  <c r="B110" i="4"/>
  <c r="A110" i="4"/>
  <c r="F108" i="4"/>
  <c r="E108" i="4"/>
  <c r="D108" i="4"/>
  <c r="C108" i="4"/>
  <c r="B108" i="4"/>
  <c r="A108" i="4"/>
  <c r="F106" i="4"/>
  <c r="E106" i="4"/>
  <c r="D106" i="4"/>
  <c r="C106" i="4"/>
  <c r="B106" i="4"/>
  <c r="A106" i="4"/>
  <c r="A103" i="4"/>
  <c r="G98" i="4"/>
  <c r="F98" i="4"/>
  <c r="E98" i="4"/>
  <c r="D98" i="4"/>
  <c r="C98" i="4"/>
  <c r="B98" i="4"/>
  <c r="A98" i="4"/>
  <c r="F97" i="4"/>
  <c r="E97" i="4"/>
  <c r="D97" i="4"/>
  <c r="C97" i="4"/>
  <c r="B97" i="4"/>
  <c r="A97" i="4"/>
  <c r="F95" i="4"/>
  <c r="E95" i="4"/>
  <c r="D95" i="4"/>
  <c r="C95" i="4"/>
  <c r="B95" i="4"/>
  <c r="A95" i="4"/>
  <c r="F93" i="4"/>
  <c r="E93" i="4"/>
  <c r="D93" i="4"/>
  <c r="C93" i="4"/>
  <c r="B93" i="4"/>
  <c r="A93" i="4"/>
  <c r="A90" i="4"/>
  <c r="G85" i="4"/>
  <c r="F85" i="4"/>
  <c r="E85" i="4"/>
  <c r="D85" i="4"/>
  <c r="C85" i="4"/>
  <c r="B85" i="4"/>
  <c r="A85" i="4"/>
  <c r="F84" i="4"/>
  <c r="E84" i="4"/>
  <c r="D84" i="4"/>
  <c r="C84" i="4"/>
  <c r="B84" i="4"/>
  <c r="A84" i="4"/>
  <c r="F82" i="4"/>
  <c r="E82" i="4"/>
  <c r="D82" i="4"/>
  <c r="C82" i="4"/>
  <c r="B82" i="4"/>
  <c r="A82" i="4"/>
  <c r="F80" i="4"/>
  <c r="E80" i="4"/>
  <c r="D80" i="4"/>
  <c r="C80" i="4"/>
  <c r="B80" i="4"/>
  <c r="A80" i="4"/>
  <c r="A77" i="4"/>
  <c r="G72" i="4"/>
  <c r="F72" i="4"/>
  <c r="E72" i="4"/>
  <c r="D72" i="4"/>
  <c r="C72" i="4"/>
  <c r="B72" i="4"/>
  <c r="A72" i="4"/>
  <c r="F71" i="4"/>
  <c r="E71" i="4"/>
  <c r="D71" i="4"/>
  <c r="C71" i="4"/>
  <c r="B71" i="4"/>
  <c r="A71" i="4"/>
  <c r="F69" i="4"/>
  <c r="E69" i="4"/>
  <c r="D69" i="4"/>
  <c r="C69" i="4"/>
  <c r="B69" i="4"/>
  <c r="A69" i="4"/>
  <c r="F67" i="4"/>
  <c r="E67" i="4"/>
  <c r="D67" i="4"/>
  <c r="C67" i="4"/>
  <c r="B67" i="4"/>
  <c r="A67" i="4"/>
  <c r="A64" i="4"/>
  <c r="G59" i="4"/>
  <c r="F59" i="4"/>
  <c r="E59" i="4"/>
  <c r="D59" i="4"/>
  <c r="C59" i="4"/>
  <c r="B59" i="4"/>
  <c r="A59" i="4"/>
  <c r="F58" i="4"/>
  <c r="E58" i="4"/>
  <c r="D58" i="4"/>
  <c r="C58" i="4"/>
  <c r="B58" i="4"/>
  <c r="A58" i="4"/>
  <c r="F56" i="4"/>
  <c r="E56" i="4"/>
  <c r="D56" i="4"/>
  <c r="C56" i="4"/>
  <c r="B56" i="4"/>
  <c r="A56" i="4"/>
  <c r="F54" i="4"/>
  <c r="E54" i="4"/>
  <c r="D54" i="4"/>
  <c r="C54" i="4"/>
  <c r="B54" i="4"/>
  <c r="A54" i="4"/>
  <c r="A51" i="4"/>
  <c r="G46" i="4"/>
  <c r="F46" i="4"/>
  <c r="E46" i="4"/>
  <c r="D46" i="4"/>
  <c r="C46" i="4"/>
  <c r="B46" i="4"/>
  <c r="A46" i="4"/>
  <c r="F45" i="4"/>
  <c r="E45" i="4"/>
  <c r="D45" i="4"/>
  <c r="C45" i="4"/>
  <c r="B45" i="4"/>
  <c r="A45" i="4"/>
  <c r="F43" i="4"/>
  <c r="E43" i="4"/>
  <c r="D43" i="4"/>
  <c r="C43" i="4"/>
  <c r="B43" i="4"/>
  <c r="A43" i="4"/>
  <c r="F41" i="4"/>
  <c r="E41" i="4"/>
  <c r="D41" i="4"/>
  <c r="C41" i="4"/>
  <c r="B41" i="4"/>
  <c r="A41" i="4"/>
  <c r="A38" i="4"/>
  <c r="G33" i="4"/>
  <c r="F33" i="4"/>
  <c r="E33" i="4"/>
  <c r="D33" i="4"/>
  <c r="C33" i="4"/>
  <c r="B33" i="4"/>
  <c r="A33" i="4"/>
  <c r="F32" i="4"/>
  <c r="E32" i="4"/>
  <c r="D32" i="4"/>
  <c r="C32" i="4"/>
  <c r="B32" i="4"/>
  <c r="A32" i="4"/>
  <c r="F30" i="4"/>
  <c r="E30" i="4"/>
  <c r="D30" i="4"/>
  <c r="C30" i="4"/>
  <c r="B30" i="4"/>
  <c r="A30" i="4"/>
  <c r="F28" i="4"/>
  <c r="E28" i="4"/>
  <c r="D28" i="4"/>
  <c r="C28" i="4"/>
  <c r="B28" i="4"/>
  <c r="A28" i="4"/>
  <c r="AD86" i="3"/>
  <c r="Y86" i="3"/>
  <c r="AD85" i="3"/>
  <c r="Y85" i="3"/>
  <c r="AD84" i="3"/>
  <c r="Y84" i="3"/>
  <c r="AD83" i="3"/>
  <c r="Y83" i="3"/>
  <c r="AD82" i="3"/>
  <c r="Y82" i="3"/>
  <c r="AD81" i="3"/>
  <c r="Y81" i="3"/>
  <c r="AD80" i="3"/>
  <c r="Y80" i="3"/>
  <c r="O71" i="3"/>
  <c r="N71" i="3"/>
  <c r="AA60" i="3"/>
  <c r="AA59" i="3"/>
  <c r="AA58" i="3"/>
  <c r="AB39" i="3"/>
  <c r="S34" i="3"/>
  <c r="AM33" i="3"/>
  <c r="AO32" i="3"/>
  <c r="AN32" i="3"/>
  <c r="AM32" i="3"/>
  <c r="AP31" i="3"/>
  <c r="AO31" i="3"/>
  <c r="AN31" i="3"/>
  <c r="AM31" i="3"/>
  <c r="AO29" i="3"/>
  <c r="AN29" i="3"/>
  <c r="AM29" i="3"/>
  <c r="Q29" i="3"/>
  <c r="L27" i="3"/>
  <c r="L26" i="3"/>
  <c r="L24" i="3"/>
  <c r="L23" i="3"/>
  <c r="AM22" i="3"/>
  <c r="L22" i="3"/>
  <c r="AO21" i="3"/>
  <c r="AM21" i="3"/>
  <c r="L21" i="3"/>
  <c r="AM19" i="3"/>
  <c r="AA18" i="3"/>
  <c r="S16" i="3"/>
  <c r="AN15" i="3"/>
  <c r="AL15" i="3"/>
  <c r="S15" i="3"/>
  <c r="Z10" i="3"/>
  <c r="R10" i="3"/>
  <c r="I10" i="3"/>
  <c r="Z9" i="3"/>
  <c r="I9" i="3"/>
  <c r="Z8" i="3"/>
  <c r="I8" i="3"/>
  <c r="F3" i="2" s="1"/>
  <c r="AE6" i="3"/>
  <c r="AD6" i="3"/>
  <c r="AC6" i="3"/>
  <c r="AB6" i="3"/>
  <c r="Z6" i="3"/>
  <c r="Y6" i="3"/>
  <c r="W6" i="3"/>
  <c r="V6" i="3"/>
  <c r="Q6" i="3"/>
  <c r="P6" i="3"/>
  <c r="O6" i="3"/>
  <c r="N6" i="3"/>
  <c r="M6" i="3"/>
  <c r="L6" i="3"/>
  <c r="K6" i="3"/>
  <c r="J6" i="3"/>
  <c r="I6" i="3"/>
  <c r="H6" i="3"/>
  <c r="G6" i="3"/>
  <c r="F6" i="3"/>
  <c r="AE4" i="3"/>
  <c r="AD4" i="3"/>
  <c r="AC4" i="3"/>
  <c r="AB4" i="3"/>
  <c r="AA4" i="3"/>
  <c r="Z4" i="3"/>
  <c r="Y4" i="3"/>
  <c r="X4" i="3"/>
  <c r="W4" i="3"/>
  <c r="V4" i="3"/>
  <c r="O4" i="3"/>
  <c r="N4" i="3"/>
  <c r="M4" i="3"/>
  <c r="L4" i="3"/>
  <c r="K4" i="3"/>
  <c r="J4" i="3"/>
  <c r="I4" i="3"/>
  <c r="H4" i="3"/>
  <c r="G4" i="3"/>
  <c r="F4" i="3"/>
  <c r="AP3" i="3"/>
  <c r="AN3" i="3"/>
  <c r="AR2" i="3"/>
  <c r="AQ2" i="3"/>
  <c r="AP2" i="3"/>
  <c r="N18" i="2"/>
  <c r="M18" i="2"/>
  <c r="L18" i="2"/>
  <c r="K18" i="2"/>
  <c r="J18" i="2"/>
  <c r="I18" i="2"/>
  <c r="H18" i="2"/>
  <c r="G18" i="2"/>
  <c r="F18" i="2"/>
  <c r="E18" i="2"/>
  <c r="E25" i="2" s="1"/>
  <c r="S10" i="2"/>
  <c r="L3" i="2"/>
  <c r="Y78" i="1"/>
  <c r="O69" i="1"/>
  <c r="N69" i="1"/>
  <c r="AA58" i="1"/>
  <c r="AA57" i="1"/>
  <c r="AA56" i="1"/>
  <c r="AB39" i="1"/>
  <c r="S34" i="1"/>
  <c r="AM33" i="1"/>
  <c r="AO32" i="1"/>
  <c r="AN32" i="1"/>
  <c r="AM32" i="1"/>
  <c r="AP31" i="1"/>
  <c r="AO31" i="1"/>
  <c r="AN31" i="1"/>
  <c r="AM31" i="1"/>
  <c r="AO29" i="1"/>
  <c r="AN29" i="1"/>
  <c r="AM29" i="1"/>
  <c r="Q29" i="1"/>
  <c r="L27" i="1"/>
  <c r="L26" i="1"/>
  <c r="L24" i="1"/>
  <c r="L23" i="1"/>
  <c r="AM22" i="1"/>
  <c r="L22" i="1"/>
  <c r="AO21" i="1"/>
  <c r="AM21" i="1"/>
  <c r="L21" i="1"/>
  <c r="AM19" i="1"/>
  <c r="AA18" i="1"/>
  <c r="S16" i="1"/>
  <c r="S15" i="1"/>
  <c r="AP3" i="1"/>
  <c r="AN3" i="1"/>
  <c r="AR2" i="1"/>
  <c r="AQ2" i="1"/>
  <c r="AP2" i="1"/>
  <c r="AN2" i="1"/>
  <c r="AA13" i="1" l="1"/>
  <c r="AA19" i="1" s="1"/>
  <c r="Z41" i="1" s="1"/>
  <c r="AA13" i="3"/>
  <c r="AA19" i="3" s="1"/>
  <c r="Z41" i="3" l="1"/>
  <c r="AG41" i="3"/>
  <c r="Z68" i="1"/>
  <c r="AA68" i="1" s="1"/>
  <c r="S45" i="1" s="1"/>
  <c r="Z67" i="1"/>
  <c r="AA67" i="1" s="1"/>
  <c r="S44" i="1" s="1"/>
  <c r="AA48" i="1" s="1"/>
  <c r="AA50" i="1" s="1"/>
  <c r="Z69" i="1"/>
  <c r="AA69" i="1" s="1"/>
  <c r="S46" i="1" s="1"/>
  <c r="M82" i="1" l="1"/>
  <c r="AM46" i="3"/>
  <c r="AL46" i="3" s="1"/>
  <c r="AN46" i="3" s="1"/>
  <c r="S46" i="3" s="1"/>
  <c r="Z71" i="3"/>
  <c r="AA71" i="3" s="1"/>
  <c r="AM44" i="3"/>
  <c r="AL44" i="3" s="1"/>
  <c r="AN44" i="3" s="1"/>
  <c r="S44" i="3" s="1"/>
  <c r="Z70" i="3"/>
  <c r="AA70" i="3" s="1"/>
  <c r="AL43" i="3"/>
  <c r="AM47" i="3"/>
  <c r="AL47" i="3" s="1"/>
  <c r="AN47" i="3" s="1"/>
  <c r="S47" i="3" s="1"/>
  <c r="AM48" i="3"/>
  <c r="AL48" i="3" s="1"/>
  <c r="AN48" i="3" s="1"/>
  <c r="S48" i="3" s="1"/>
  <c r="Z69" i="3"/>
  <c r="AA69" i="3" s="1"/>
  <c r="AM45" i="3"/>
  <c r="AL45" i="3" s="1"/>
  <c r="AN45" i="3" s="1"/>
  <c r="S45" i="3" s="1"/>
  <c r="AA51" i="1"/>
  <c r="AA52" i="1" l="1"/>
  <c r="AA53" i="1" s="1"/>
  <c r="AA55" i="1" s="1"/>
  <c r="M89" i="1"/>
  <c r="AA49" i="3"/>
  <c r="A22" i="4" l="1"/>
  <c r="AA59" i="1"/>
  <c r="AL51" i="3"/>
  <c r="AG52" i="3"/>
  <c r="AL50" i="3"/>
  <c r="AM50" i="3"/>
  <c r="AA50" i="3" s="1"/>
  <c r="M84" i="3"/>
  <c r="A17" i="4" l="1"/>
  <c r="AA51" i="3"/>
  <c r="A19" i="4" l="1"/>
  <c r="A15" i="4"/>
  <c r="AL52" i="3"/>
  <c r="AA52" i="3" s="1"/>
  <c r="AL53" i="3" s="1"/>
  <c r="AA53" i="3" l="1"/>
  <c r="B17" i="4"/>
  <c r="A20" i="4"/>
  <c r="AA55" i="3" l="1"/>
  <c r="AN50" i="3"/>
  <c r="B15" i="4"/>
  <c r="B19" i="4"/>
  <c r="B20" i="4" s="1"/>
  <c r="AA57" i="3" l="1"/>
  <c r="A9" i="4"/>
  <c r="C17" i="4"/>
  <c r="AI59" i="3" l="1"/>
  <c r="AA61" i="3"/>
  <c r="A4" i="4"/>
  <c r="C19" i="4"/>
  <c r="C15" i="4"/>
  <c r="D17" i="4" l="1"/>
  <c r="A6" i="4"/>
  <c r="A2" i="4"/>
  <c r="C20" i="4"/>
  <c r="B4" i="4" l="1"/>
  <c r="A7" i="4"/>
  <c r="D15" i="4"/>
  <c r="D19" i="4"/>
  <c r="D20" i="4" s="1"/>
  <c r="E17" i="4" l="1"/>
  <c r="B2" i="4"/>
  <c r="B6" i="4"/>
  <c r="B7" i="4" s="1"/>
  <c r="C4" i="4" l="1"/>
  <c r="E15" i="4"/>
  <c r="F17" i="4" s="1"/>
  <c r="E19" i="4"/>
  <c r="E20" i="4" l="1"/>
  <c r="C6" i="4"/>
  <c r="C2" i="4"/>
  <c r="F19" i="4"/>
  <c r="F15" i="4"/>
  <c r="F20" i="4" l="1"/>
  <c r="G20" i="4"/>
  <c r="A25" i="4" s="1"/>
  <c r="S7" i="2" s="1"/>
  <c r="D4" i="4"/>
  <c r="C7" i="4"/>
  <c r="D6" i="4" l="1"/>
  <c r="D7" i="4" s="1"/>
  <c r="D2" i="4"/>
  <c r="E4" i="4" l="1"/>
  <c r="E2" i="4" l="1"/>
  <c r="F4" i="4" s="1"/>
  <c r="E6" i="4"/>
  <c r="F6" i="4" l="1"/>
  <c r="F2" i="4"/>
  <c r="E7" i="4"/>
  <c r="F7" i="4" l="1"/>
  <c r="G7" i="4"/>
  <c r="A12" i="4" l="1"/>
  <c r="S6" i="2" s="1"/>
  <c r="X6" i="2" s="1"/>
  <c r="H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RAEES PATEL</author>
  </authors>
  <commentList>
    <comment ref="F4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દરેક વિગતો અહિયા લખશો એટલે બધી જગ્યાએ આવી જશે.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RAEES PATEL</author>
  </authors>
  <commentList>
    <comment ref="C31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આ સુચનાઓ જુના સ્લેબ માટેજ લાગુ પડશે.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RAEES PATEL</author>
  </authors>
  <commentList>
    <comment ref="A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સી.પી.એફ ખાતામાં જમા થયેલી રકમ બાદ મલવા પાત્ર છે 100%</t>
        </r>
      </text>
    </comment>
    <comment ref="E35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અલગથી રોકાણ કરવુ પડે.</t>
        </r>
      </text>
    </comment>
  </commentList>
</comments>
</file>

<file path=xl/sharedStrings.xml><?xml version="1.0" encoding="utf-8"?>
<sst xmlns="http://schemas.openxmlformats.org/spreadsheetml/2006/main" count="678" uniqueCount="344">
  <si>
    <t xml:space="preserve">માસ </t>
  </si>
  <si>
    <t>P.L.I.</t>
  </si>
  <si>
    <t xml:space="preserve">વ્યવસાય વેરો </t>
  </si>
  <si>
    <t>નોંધ:</t>
  </si>
  <si>
    <t>આ ફોર્મમાં દર્શાવેલ તમામ માહિતી સાચી અને રેકર્ડ ઉપરથી ચકાસીને રજુ કરેલ છે. આ માહિતી ખોટી પુરવાર થશે, તે બાબતે પુર્તતા કરવાની જવાબદારી મારી રહેશે.</t>
  </si>
  <si>
    <t>X</t>
  </si>
  <si>
    <t xml:space="preserve">કર્મચારીની સહી </t>
  </si>
  <si>
    <t xml:space="preserve">ઉપરોક્ત કર્મચારીને નાણાંકીય વર્ષ </t>
  </si>
  <si>
    <t>શાખા.</t>
  </si>
  <si>
    <t xml:space="preserve">પી.એલ.આઈ. </t>
  </si>
  <si>
    <t>મોંઘવારી</t>
  </si>
  <si>
    <t>Pan No.</t>
  </si>
  <si>
    <t>Date of Birth</t>
  </si>
  <si>
    <t>Mobile No</t>
  </si>
  <si>
    <t>Adhar No.</t>
  </si>
  <si>
    <t xml:space="preserve">બાદ (-) </t>
  </si>
  <si>
    <t>(A)</t>
  </si>
  <si>
    <t>(B)</t>
  </si>
  <si>
    <t>(C)</t>
  </si>
  <si>
    <t>(D)</t>
  </si>
  <si>
    <t>(E)</t>
  </si>
  <si>
    <t xml:space="preserve">પી.પી.એફ. </t>
  </si>
  <si>
    <t>(F)</t>
  </si>
  <si>
    <t>(G)</t>
  </si>
  <si>
    <t>(H)</t>
  </si>
  <si>
    <t>(J)</t>
  </si>
  <si>
    <t>(K)</t>
  </si>
  <si>
    <t>(L)</t>
  </si>
  <si>
    <t>(M)</t>
  </si>
  <si>
    <t>(N)</t>
  </si>
  <si>
    <t>(O)</t>
  </si>
  <si>
    <t xml:space="preserve">A થી E નો કુલ સરવાળો કુલ વાર્ષિક આવક </t>
  </si>
  <si>
    <t>વ્યવસાય વેરો રૂl.</t>
  </si>
  <si>
    <t xml:space="preserve">જૂથ વિમો રૂl. </t>
  </si>
  <si>
    <t>એલ.આઈ.સી પગારમાંથી રૂl.</t>
  </si>
  <si>
    <t>મકાન લોન વ્યાજ રૂl.</t>
  </si>
  <si>
    <t>મકાન લોન મુદલ રૂl.</t>
  </si>
  <si>
    <t>રૂl.</t>
  </si>
  <si>
    <t xml:space="preserve">તારીખ: </t>
  </si>
  <si>
    <t>(A) કુલ રૂl.</t>
  </si>
  <si>
    <t>બેંક ખાતા નંબર</t>
  </si>
  <si>
    <t xml:space="preserve"> ભરવા પાત્ર ઈન્કમટેક્ષ </t>
  </si>
  <si>
    <t>( B )</t>
  </si>
  <si>
    <t xml:space="preserve">( C ) </t>
  </si>
  <si>
    <t>( D )</t>
  </si>
  <si>
    <t>( E )</t>
  </si>
  <si>
    <t xml:space="preserve">            (ઈન્કમટેક્ષ પાત્ર રકમ ) </t>
  </si>
  <si>
    <t>રૂ!</t>
  </si>
  <si>
    <t xml:space="preserve">બાદ કપાતો ( કલમ ૮૦ સી મુજબ ) </t>
  </si>
  <si>
    <t xml:space="preserve">કલમ ૮૦ ડી.ડી.અપંગ આશ્રિત </t>
  </si>
  <si>
    <t xml:space="preserve">જુથ વિમો </t>
  </si>
  <si>
    <t>કર્મચારી ની સહી X ________________________</t>
  </si>
  <si>
    <t>NIL</t>
  </si>
  <si>
    <t>આવક (વાર્ષિક પગાર સાથે) :</t>
  </si>
  <si>
    <t xml:space="preserve">રૂ! </t>
  </si>
  <si>
    <t xml:space="preserve">રૂ!  </t>
  </si>
  <si>
    <t>થી</t>
  </si>
  <si>
    <t xml:space="preserve">કોલમ (૧) બાદ કોલમ (૨) </t>
  </si>
  <si>
    <t>બેંક IFSC Code:</t>
  </si>
  <si>
    <t>હોદ્દો</t>
  </si>
  <si>
    <t>(A+B+C+D+E)</t>
  </si>
  <si>
    <t>જી.પી.એફ.</t>
  </si>
  <si>
    <t>સી.પી.એફ.</t>
  </si>
  <si>
    <t xml:space="preserve">મકાનલોન મુદ્દલ </t>
  </si>
  <si>
    <t>(I)</t>
  </si>
  <si>
    <t xml:space="preserve">એન.એસ.સી. </t>
  </si>
  <si>
    <t xml:space="preserve">ટેક્ષ સેવર મ્યુચુઅલ ફંડ </t>
  </si>
  <si>
    <t xml:space="preserve">અન્ય </t>
  </si>
  <si>
    <t xml:space="preserve">( A to N ) કુલ સરવાળો દોઢ લાખ સુધી </t>
  </si>
  <si>
    <t xml:space="preserve">કલમ ૮૦ ઈ ઉચ્ચ શિક્ષણ લોન વ્યાજ </t>
  </si>
  <si>
    <t xml:space="preserve">કલમ ૮૦ જી દાન (પાછળ સુચના ૫ પ્રમાણે) </t>
  </si>
  <si>
    <t xml:space="preserve">કલમ ૮૦ યુ અપંગ વ્યક્તિ </t>
  </si>
  <si>
    <t>(P)</t>
  </si>
  <si>
    <t>(Q)</t>
  </si>
  <si>
    <t>(R)</t>
  </si>
  <si>
    <t>(S)</t>
  </si>
  <si>
    <t>(T)</t>
  </si>
  <si>
    <t>(U)</t>
  </si>
  <si>
    <t>(V)</t>
  </si>
  <si>
    <t>(W)</t>
  </si>
  <si>
    <t>ગ્રોસ પગાર</t>
  </si>
  <si>
    <t xml:space="preserve">સુકન્યા સમૃધી યોજના </t>
  </si>
  <si>
    <t xml:space="preserve">(A to W) કુલ સરવાળો </t>
  </si>
  <si>
    <t>સ્ટાન્ડર્ડ ડીડક્શન ( કલમ ૧૬ )</t>
  </si>
  <si>
    <t xml:space="preserve">મકાન લોનનું વ્યાજ ( ૨,૦૦,૦૦૦ સુધી) </t>
  </si>
  <si>
    <t>કલમ ૮૦ ડી મેડીક્લેઈમ ( ૨૫૦૦૦ સુધી )</t>
  </si>
  <si>
    <t>કર્મ ચારીનું નામ :-</t>
  </si>
  <si>
    <t xml:space="preserve">શાળાનું નામ :- </t>
  </si>
  <si>
    <t>C.P.F.</t>
  </si>
  <si>
    <t>G.P.F.</t>
  </si>
  <si>
    <t>સી.પી.એફ. કે જી.પી.એફ. છો ? સીલેક્ટ કરો --&gt;&gt;&gt;</t>
  </si>
  <si>
    <t>આપની ઈન્કમટેક્ષ પાત્ર રકમ -&gt;&gt;&gt;&gt;</t>
  </si>
  <si>
    <t>એક</t>
  </si>
  <si>
    <t>બે</t>
  </si>
  <si>
    <t>બ</t>
  </si>
  <si>
    <t>ત્રણ</t>
  </si>
  <si>
    <t xml:space="preserve"> </t>
  </si>
  <si>
    <t>ચાર</t>
  </si>
  <si>
    <t>પચ્ચીસ</t>
  </si>
  <si>
    <t>તેત્રીસ</t>
  </si>
  <si>
    <t xml:space="preserve">પાંચ </t>
  </si>
  <si>
    <t>છ</t>
  </si>
  <si>
    <t>સાત</t>
  </si>
  <si>
    <t>આઠ</t>
  </si>
  <si>
    <t>નવ</t>
  </si>
  <si>
    <t>અગિયાર</t>
  </si>
  <si>
    <t>બાર</t>
  </si>
  <si>
    <t>તેર</t>
  </si>
  <si>
    <t>ચૌદ</t>
  </si>
  <si>
    <t>પંદર</t>
  </si>
  <si>
    <t>સોળ</t>
  </si>
  <si>
    <t>સત્તર</t>
  </si>
  <si>
    <t>અઢાર</t>
  </si>
  <si>
    <t>ઓગણિસ</t>
  </si>
  <si>
    <t>વીસ</t>
  </si>
  <si>
    <t>એકવીસ</t>
  </si>
  <si>
    <t>બાવીસ</t>
  </si>
  <si>
    <t>ત્રેવીસ</t>
  </si>
  <si>
    <t>ચોવીસ</t>
  </si>
  <si>
    <t>છવ્વીસ</t>
  </si>
  <si>
    <t>સત્યાવીસ</t>
  </si>
  <si>
    <t>અઠ્યાવીસ</t>
  </si>
  <si>
    <t>ઓગણત્રીસ</t>
  </si>
  <si>
    <t>ત્રીસ</t>
  </si>
  <si>
    <t>એકત્રીસ</t>
  </si>
  <si>
    <t>બત્રીસ</t>
  </si>
  <si>
    <t>ચોત્રીસ</t>
  </si>
  <si>
    <t>પાંત્રીસ</t>
  </si>
  <si>
    <t>છત્રીસ</t>
  </si>
  <si>
    <t>સાડત્રીસ</t>
  </si>
  <si>
    <t>આડત્રીસ</t>
  </si>
  <si>
    <t>ઓગણચાલીસ</t>
  </si>
  <si>
    <t>ચાલીસ</t>
  </si>
  <si>
    <t>એકતાલીસ</t>
  </si>
  <si>
    <t>બેતાલીસ</t>
  </si>
  <si>
    <t>તેંતાલીસ</t>
  </si>
  <si>
    <t>ચુંમાલીસ</t>
  </si>
  <si>
    <t>પિસ્તાલીસ</t>
  </si>
  <si>
    <t>છેંતાલીસ</t>
  </si>
  <si>
    <t>સુડતાલીસ</t>
  </si>
  <si>
    <t>અડતાલીસ</t>
  </si>
  <si>
    <t>ઓગણપચાસ</t>
  </si>
  <si>
    <t>પચાસ</t>
  </si>
  <si>
    <t>એકાવન</t>
  </si>
  <si>
    <t>બાવન</t>
  </si>
  <si>
    <t>ત્રેપન</t>
  </si>
  <si>
    <t>ચોપન</t>
  </si>
  <si>
    <t>પંચાવન</t>
  </si>
  <si>
    <t>છપ્પન</t>
  </si>
  <si>
    <t>સત્તાવન</t>
  </si>
  <si>
    <t>અઠ્ઠાવન</t>
  </si>
  <si>
    <t>ઓગણસાઈઠ</t>
  </si>
  <si>
    <t xml:space="preserve">સાઈઠ </t>
  </si>
  <si>
    <t>એકસઠ</t>
  </si>
  <si>
    <t>બાસઠ</t>
  </si>
  <si>
    <t>ત્રેસઠ</t>
  </si>
  <si>
    <t>ચોસઠ</t>
  </si>
  <si>
    <t>પાંસઠ</t>
  </si>
  <si>
    <t>છાસઠ</t>
  </si>
  <si>
    <t>સડસઠ</t>
  </si>
  <si>
    <t>અડસઠ</t>
  </si>
  <si>
    <t>ઓગણસીત્તેર</t>
  </si>
  <si>
    <t>સીત્તેર</t>
  </si>
  <si>
    <t>ઈકોતેર</t>
  </si>
  <si>
    <t>બોતેર</t>
  </si>
  <si>
    <t>તોતેર</t>
  </si>
  <si>
    <t>ચુંમોતેર</t>
  </si>
  <si>
    <t>પંચોતેર</t>
  </si>
  <si>
    <t>છોતેર</t>
  </si>
  <si>
    <t>સિત્યોતેર</t>
  </si>
  <si>
    <t>ઈઠ્ઠોતેર</t>
  </si>
  <si>
    <t>ઓગણએંશી</t>
  </si>
  <si>
    <t>એંશી</t>
  </si>
  <si>
    <t>એક્યાશી</t>
  </si>
  <si>
    <t>બ્યાશી</t>
  </si>
  <si>
    <t>ત્યાશી</t>
  </si>
  <si>
    <t>ચોર્યાશી</t>
  </si>
  <si>
    <t>પંચ્ચાશી</t>
  </si>
  <si>
    <t>છ્યાશી</t>
  </si>
  <si>
    <t>સત્યાશી</t>
  </si>
  <si>
    <t>અઠ્યાશી</t>
  </si>
  <si>
    <t>નેવ્યાશી</t>
  </si>
  <si>
    <t>નેવું</t>
  </si>
  <si>
    <t>એકાણું</t>
  </si>
  <si>
    <t>બાણું</t>
  </si>
  <si>
    <t>ત્રાંણુ</t>
  </si>
  <si>
    <t>ચોરાણું</t>
  </si>
  <si>
    <t>પંચાણું</t>
  </si>
  <si>
    <t>છન્નું</t>
  </si>
  <si>
    <t>સત્તાણું</t>
  </si>
  <si>
    <t>અઠાણું</t>
  </si>
  <si>
    <t>નવ્વાણું</t>
  </si>
  <si>
    <t>દસ</t>
  </si>
  <si>
    <t xml:space="preserve">NPS માં રોકાણ બતાવવાનું છે ? &gt;&gt;&gt; </t>
  </si>
  <si>
    <t>3,00,000</t>
  </si>
  <si>
    <t>6,00,000</t>
  </si>
  <si>
    <t>9,00,000</t>
  </si>
  <si>
    <t xml:space="preserve"> 6,00,000 સુધી      5 %</t>
  </si>
  <si>
    <t xml:space="preserve"> 9,00,000 સુધી     10 %</t>
  </si>
  <si>
    <t xml:space="preserve">12,00,000 સુધી     15 % </t>
  </si>
  <si>
    <t>(5).</t>
  </si>
  <si>
    <t>(6).</t>
  </si>
  <si>
    <t>(1).</t>
  </si>
  <si>
    <t>(2).</t>
  </si>
  <si>
    <t>(3).</t>
  </si>
  <si>
    <t>(4).</t>
  </si>
  <si>
    <t>12,00,000</t>
  </si>
  <si>
    <t xml:space="preserve">15,00,000 સુધી     20 % </t>
  </si>
  <si>
    <t>15,00,000</t>
  </si>
  <si>
    <t xml:space="preserve"> વધુ......................30 % </t>
  </si>
  <si>
    <t>1 થી 6 કુલ આવકવેરા (ઈન્કમટેક્ષ)</t>
  </si>
  <si>
    <t>%</t>
  </si>
  <si>
    <t xml:space="preserve">સુધી ...................... </t>
  </si>
  <si>
    <t>nil</t>
  </si>
  <si>
    <t>(8).</t>
  </si>
  <si>
    <t xml:space="preserve">(1) કર્મચારીનું પુરૂ નામ. </t>
  </si>
  <si>
    <t>(2) ઓફીસ/પે.કેન્દ્રનું નામ.</t>
  </si>
  <si>
    <t xml:space="preserve">(3) બેંકનું નામ. </t>
  </si>
  <si>
    <t xml:space="preserve"> કોલમ 3  બાદ કોલમ 4 </t>
  </si>
  <si>
    <t>(7).</t>
  </si>
  <si>
    <t>(9).</t>
  </si>
  <si>
    <t>(10).</t>
  </si>
  <si>
    <t>(11).</t>
  </si>
  <si>
    <t>(12).</t>
  </si>
  <si>
    <t>(13).</t>
  </si>
  <si>
    <t>(14).</t>
  </si>
  <si>
    <t>(15).</t>
  </si>
  <si>
    <t>(16).</t>
  </si>
  <si>
    <t>નાંણાકીય વર્ષ 2023-24</t>
  </si>
  <si>
    <t xml:space="preserve">                આકારણી વર્ષ 2024-25</t>
  </si>
  <si>
    <t>2023 / 2024</t>
  </si>
  <si>
    <t>એરીયર્સ</t>
  </si>
  <si>
    <t>ના</t>
  </si>
  <si>
    <t>દ1</t>
  </si>
  <si>
    <t xml:space="preserve">કલમ ૮૦ ડી.ડી.બી. ગંભીર રોગ </t>
  </si>
  <si>
    <t>કલમ ૮૦ સી.સી.ડી. (2) એન.પી.એસ.(પગારના 10% )</t>
  </si>
  <si>
    <t xml:space="preserve">કલમ ૮૦ જી.જી.સી. રાજકીય પાર્ટીને દાન </t>
  </si>
  <si>
    <t>કોલમ  ( 8 ) + ( 9 ) કુલ ભરવાપાત્ર ઈન્કમટેક્ષ..</t>
  </si>
  <si>
    <t xml:space="preserve">તારીખ. 01-04-2023 થી જાન્યુઆરી- 2024 સુધી કપાયેલ ઈન્કમટેક્ષ </t>
  </si>
  <si>
    <r>
      <t xml:space="preserve">શિક્ષણ ફી </t>
    </r>
    <r>
      <rPr>
        <sz val="9"/>
        <color theme="1"/>
        <rFont val="Arial"/>
        <family val="2"/>
      </rPr>
      <t xml:space="preserve">(ભારતીય સંસ્થા) </t>
    </r>
  </si>
  <si>
    <r>
      <t>એલ.આઈ.સી.</t>
    </r>
    <r>
      <rPr>
        <sz val="8"/>
        <color theme="1"/>
        <rFont val="Arial"/>
        <family val="2"/>
      </rPr>
      <t xml:space="preserve">(પગારથી કપાત) </t>
    </r>
  </si>
  <si>
    <r>
      <t xml:space="preserve">બેંક એફ. ડી. </t>
    </r>
    <r>
      <rPr>
        <sz val="8"/>
        <color theme="1"/>
        <rFont val="Arial"/>
        <family val="2"/>
      </rPr>
      <t xml:space="preserve">(૫ વર્ષની જ) </t>
    </r>
  </si>
  <si>
    <r>
      <t xml:space="preserve">એલ.આઈ.સી.ડાયરેક્ટ </t>
    </r>
    <r>
      <rPr>
        <sz val="8"/>
        <color theme="1"/>
        <rFont val="Arial"/>
        <family val="2"/>
      </rPr>
      <t xml:space="preserve"> </t>
    </r>
  </si>
  <si>
    <r>
      <t xml:space="preserve">આવક રૂ!. </t>
    </r>
    <r>
      <rPr>
        <b/>
        <sz val="10"/>
        <color theme="1"/>
        <rFont val="Arial"/>
        <family val="2"/>
      </rPr>
      <t>7,00,000</t>
    </r>
    <r>
      <rPr>
        <sz val="10"/>
        <color theme="1"/>
        <rFont val="Arial"/>
        <family val="2"/>
      </rPr>
      <t xml:space="preserve"> થી ઓછી હોય તો રીબેટ કલમ ( 87 - A ) ( કોલમ- 5 )  મુજબ </t>
    </r>
    <r>
      <rPr>
        <b/>
        <sz val="10"/>
        <color theme="1"/>
        <rFont val="Arial"/>
        <family val="2"/>
      </rPr>
      <t>25,000</t>
    </r>
    <r>
      <rPr>
        <sz val="10"/>
        <color theme="1"/>
        <rFont val="Arial"/>
        <family val="2"/>
      </rPr>
      <t xml:space="preserve"> /- રૂ!.સુધી</t>
    </r>
  </si>
  <si>
    <t>(17).</t>
  </si>
  <si>
    <t>(18).</t>
  </si>
  <si>
    <t>કોલમ (12) બાદ કોલમ (13) ચોખ્ખો ભરવાપાત્ર ઈન્કમટેક્ષ</t>
  </si>
  <si>
    <t>કોલમ (10) બાદ કોલમ (11) ભરવાપાત્ર ઈન્કમટેક્ષ</t>
  </si>
  <si>
    <r>
      <t xml:space="preserve">કોલમ ( 8 ) ભરવાપાત્ર ઈન્કમટેક્ષ ઉપર </t>
    </r>
    <r>
      <rPr>
        <b/>
        <sz val="10"/>
        <color theme="1"/>
        <rFont val="Arial"/>
        <family val="2"/>
      </rPr>
      <t xml:space="preserve">4 % </t>
    </r>
    <r>
      <rPr>
        <sz val="10"/>
        <color theme="1"/>
        <rFont val="Arial"/>
        <family val="2"/>
      </rPr>
      <t xml:space="preserve"> શિક્ષણ ઉપકર </t>
    </r>
  </si>
  <si>
    <t xml:space="preserve">કુલ કપાયેલ ઈન્કમટેક્ષ (15+16) </t>
  </si>
  <si>
    <t xml:space="preserve">રીફંડ પાત્ર રકમ કોલમ (17) બાદ કોલમ (14) </t>
  </si>
  <si>
    <t xml:space="preserve">ફોર્મ 10- E મુજબ રાહત કલમ 89 (1) મુજબ </t>
  </si>
  <si>
    <t>ફેબ્રુઆરી- 2024 ના પગાર માંથી કપાતપાત્ર ઈન્કમટેક્ષ</t>
  </si>
  <si>
    <t xml:space="preserve">ઈન્કમટેક્ષ પાત્ર રકમ રૂ!. કોલમ (6) બાદ (7) </t>
  </si>
  <si>
    <t xml:space="preserve"> રીફંડ પાત્ર રકમ કોલમ (૧૫) બાદ કોલમ (૧૨) </t>
  </si>
  <si>
    <t>(૧૬).</t>
  </si>
  <si>
    <t xml:space="preserve"> કુલ કપાયેલ ઈન્કમટેક્ષ (૧૩+૧૪) </t>
  </si>
  <si>
    <t>(૧૫).</t>
  </si>
  <si>
    <t xml:space="preserve"> ફેબ્રુઆરી- ૨૦૨૪ ના પગાર માંથી કપાતપાત્ર ઈન્કમટેક્ષ.......</t>
  </si>
  <si>
    <t>(૧૪).</t>
  </si>
  <si>
    <t xml:space="preserve"> તારીખ. ૦૧-૦૪-૨૦૨૩ થી જાન્યુઆરી ૨૦૨૪ સુધી કપાયેલ ઈન્કમટેક્ષ </t>
  </si>
  <si>
    <t>(૧૩).</t>
  </si>
  <si>
    <t xml:space="preserve"> કોલમ (૧૦) બાદ કોલમ (૧૧) ચોખ્ખો ભરવાપાત્ર ઈન્કમટેક્ષ</t>
  </si>
  <si>
    <t>(૧૨).</t>
  </si>
  <si>
    <t xml:space="preserve"> ફોર્મ ૧૦ ઈ  મુજબ રાહત કલમ ૮૯ (૧) મુજબ ................</t>
  </si>
  <si>
    <t>(૧૧).</t>
  </si>
  <si>
    <t xml:space="preserve"> કોલમ ( ૮ ) + કોલમ ( ૯ ) કુલ ભરવાપાત્ર ઈન્કમટેક્ષ) </t>
  </si>
  <si>
    <t>(૧૦).</t>
  </si>
  <si>
    <t>(૯).</t>
  </si>
  <si>
    <t xml:space="preserve"> કોલમ ( ૬ ) બાદ - કોલમ ( ૭ ) ભરવાપાત્ર ઈન્કમટેક્ષ.</t>
  </si>
  <si>
    <t>(૮).</t>
  </si>
  <si>
    <t>(૭).</t>
  </si>
  <si>
    <t>૧ થી ૪ કુલ આવકવેરા (ઈન્કમટેક્ષ)</t>
  </si>
  <si>
    <t xml:space="preserve">વધુ....................૩૦ ટકા </t>
  </si>
  <si>
    <t>૧૦,૦૦,૦૦૧</t>
  </si>
  <si>
    <t>(૪).</t>
  </si>
  <si>
    <t xml:space="preserve">૧૦,૦૦,૦૦૦ સુધી ૨૦ ટકા </t>
  </si>
  <si>
    <t>૫,૦૦,૦૦૧</t>
  </si>
  <si>
    <t>(૩).</t>
  </si>
  <si>
    <t xml:space="preserve">૫,૦૦,૦૦૦ સુધી     ૫ ટકા </t>
  </si>
  <si>
    <t>૨,૫૦,૦૦૧</t>
  </si>
  <si>
    <t>(૨).</t>
  </si>
  <si>
    <t>સુધી</t>
  </si>
  <si>
    <t>૨,૫૦,૦૦૦</t>
  </si>
  <si>
    <t>(૧).</t>
  </si>
  <si>
    <t>(૬).</t>
  </si>
  <si>
    <t xml:space="preserve"> કોલમ ૩  બાદ કોલમ ૪ </t>
  </si>
  <si>
    <t>(૫).</t>
  </si>
  <si>
    <t xml:space="preserve">કલમ ૮૦ જીજીસી રાજકીય પાર્ટીને દાન </t>
  </si>
  <si>
    <t>કલમ ૮૦ સીસીડી ૧ (બી) એન.પી.એસ.( રૂ. 50000/- સુધી)</t>
  </si>
  <si>
    <t xml:space="preserve">કલમ ૮૦ ડીડીબી ગંભીર રોગ </t>
  </si>
  <si>
    <t xml:space="preserve">(૩) બેંકનું નામ. </t>
  </si>
  <si>
    <t>(૨) ઓફીસ/પે.કેન્દ્રનું નામ.</t>
  </si>
  <si>
    <t xml:space="preserve">(૧) કર્મચારીનું પુરૂ નામ. </t>
  </si>
  <si>
    <t xml:space="preserve">                આકારણી વર્ષ ૨૦૨૪-૨૫</t>
  </si>
  <si>
    <t>નાંણાકીય વર્ષ ૨૦૨૩-૨૪</t>
  </si>
  <si>
    <r>
      <t xml:space="preserve">ઈન્કમટેક્ષ ગણતરી દર્શાવતુ પત્રક નાંણાકીય વર્ષ :  2023-2024 - </t>
    </r>
    <r>
      <rPr>
        <b/>
        <u/>
        <sz val="14"/>
        <color theme="1"/>
        <rFont val="Arial"/>
        <family val="2"/>
      </rPr>
      <t>NEW REGIME</t>
    </r>
  </si>
  <si>
    <t>new</t>
  </si>
  <si>
    <t>old</t>
  </si>
  <si>
    <r>
      <t xml:space="preserve">માર્જિનલ રીલીફ, </t>
    </r>
    <r>
      <rPr>
        <sz val="9"/>
        <color theme="1"/>
        <rFont val="Arial"/>
        <family val="2"/>
      </rPr>
      <t>ભરવાપાત્ર ઈન્કમટેક્ષ કોલમ-</t>
    </r>
    <r>
      <rPr>
        <sz val="10"/>
        <color rgb="FFFF0000"/>
        <rFont val="Arial"/>
        <family val="2"/>
      </rPr>
      <t>૧૨</t>
    </r>
    <r>
      <rPr>
        <sz val="9"/>
        <color theme="1"/>
        <rFont val="Arial"/>
        <family val="2"/>
      </rPr>
      <t xml:space="preserve">-બાદ ઈન્કમટેક્ષ પાત્ર રકમ કોલમ- </t>
    </r>
    <r>
      <rPr>
        <sz val="10"/>
        <color rgb="FFFF0000"/>
        <rFont val="Arial"/>
        <family val="2"/>
      </rPr>
      <t>૫</t>
    </r>
    <r>
      <rPr>
        <sz val="9"/>
        <color theme="1"/>
        <rFont val="Arial"/>
        <family val="2"/>
      </rPr>
      <t xml:space="preserve"> મુજબ( રૂ. </t>
    </r>
    <r>
      <rPr>
        <sz val="10"/>
        <color rgb="FFFF0000"/>
        <rFont val="Arial"/>
        <family val="2"/>
      </rPr>
      <t>૭</t>
    </r>
    <r>
      <rPr>
        <sz val="9"/>
        <color theme="1"/>
        <rFont val="Arial"/>
        <family val="2"/>
      </rPr>
      <t xml:space="preserve"> લાખ ઉપરની રકમ)</t>
    </r>
  </si>
  <si>
    <t>હા</t>
  </si>
  <si>
    <r>
      <t xml:space="preserve">C.P.F. ખાતુ હોયતો </t>
    </r>
    <r>
      <rPr>
        <b/>
        <sz val="12"/>
        <color rgb="FFFFFF00"/>
        <rFont val="Arial"/>
        <family val="2"/>
      </rPr>
      <t>હા</t>
    </r>
    <r>
      <rPr>
        <b/>
        <sz val="11"/>
        <color rgb="FFFFFF00"/>
        <rFont val="Arial"/>
        <family val="2"/>
      </rPr>
      <t xml:space="preserve"> સિલેક્ટ કરો </t>
    </r>
  </si>
  <si>
    <t>માર્ચ-૨૩</t>
  </si>
  <si>
    <t>એપ્રિલ-૨૩</t>
  </si>
  <si>
    <t>મે-૨૩</t>
  </si>
  <si>
    <t>જુન-૨૩</t>
  </si>
  <si>
    <t>જુલાઈ-૨૩</t>
  </si>
  <si>
    <t>ઓગષ્ટ-૨૩</t>
  </si>
  <si>
    <t>સપ્ટે-૨૩</t>
  </si>
  <si>
    <t>ઓક્ટોબર-૨૩</t>
  </si>
  <si>
    <t>નવેમ્બર-૨૩</t>
  </si>
  <si>
    <t>ડીસેમ્બર-૨૩</t>
  </si>
  <si>
    <t>જાન્યુઆરી-૨૪</t>
  </si>
  <si>
    <t>ફેબ્રુઆરી-૨૪</t>
  </si>
  <si>
    <t>અન્ય</t>
  </si>
  <si>
    <r>
      <t xml:space="preserve">ઈન્કમટેક્ષ ગણતરી દર્શાવતુ પત્રક નાંણાકીય વર્ષ :  ૨૦૨૩-૨૦૨૪ - </t>
    </r>
    <r>
      <rPr>
        <b/>
        <u/>
        <sz val="14"/>
        <color indexed="8"/>
        <rFont val="SHREE_GUJ_OTF_0768"/>
        <family val="2"/>
        <charset val="1"/>
      </rPr>
      <t>OLD REGIME</t>
    </r>
  </si>
  <si>
    <r>
      <t xml:space="preserve">શિક્ષણ ફી </t>
    </r>
    <r>
      <rPr>
        <sz val="9"/>
        <color indexed="8"/>
        <rFont val="SHREE_GUJ_OTF_0768"/>
        <family val="2"/>
        <charset val="1"/>
      </rPr>
      <t xml:space="preserve">(ભારતીય સંસ્થા) </t>
    </r>
  </si>
  <si>
    <r>
      <t>એલ.આઈ.સી.</t>
    </r>
    <r>
      <rPr>
        <sz val="8"/>
        <color indexed="8"/>
        <rFont val="SHREE_GUJ_OTF_0768"/>
        <family val="2"/>
        <charset val="1"/>
      </rPr>
      <t xml:space="preserve">(પગારથી કપાત) </t>
    </r>
  </si>
  <si>
    <r>
      <t xml:space="preserve">બેંક એફ. ડી. </t>
    </r>
    <r>
      <rPr>
        <sz val="8"/>
        <color indexed="8"/>
        <rFont val="SHREE_GUJ_OTF_0768"/>
        <family val="2"/>
        <charset val="1"/>
      </rPr>
      <t xml:space="preserve">(૫ વર્ષની જ) </t>
    </r>
  </si>
  <si>
    <r>
      <t xml:space="preserve">એલ.આઈ.સી.ડાયરેક્ટ </t>
    </r>
    <r>
      <rPr>
        <sz val="8"/>
        <color indexed="8"/>
        <rFont val="SHREE_GUJ_OTF_0768"/>
        <family val="2"/>
        <charset val="1"/>
      </rPr>
      <t xml:space="preserve"> </t>
    </r>
  </si>
  <si>
    <r>
      <t xml:space="preserve">બાદ : રીબેટ કલમ 87A કોલમ ૫ મુજબ  (ઇન્કમટેક્ષ પાત્ર રકમ) રૂ!. </t>
    </r>
    <r>
      <rPr>
        <b/>
        <sz val="10"/>
        <color indexed="8"/>
        <rFont val="SHREE_GUJ_OTF_0768"/>
        <family val="2"/>
        <charset val="1"/>
      </rPr>
      <t>૫,૦૦,૦૦૦</t>
    </r>
    <r>
      <rPr>
        <sz val="10"/>
        <color indexed="8"/>
        <rFont val="SHREE_GUJ_OTF_0768"/>
        <family val="2"/>
        <charset val="1"/>
      </rPr>
      <t xml:space="preserve"> થી ઓછી હોય </t>
    </r>
  </si>
  <si>
    <r>
      <t xml:space="preserve"> તેમને મહત્તમ રૂ!</t>
    </r>
    <r>
      <rPr>
        <b/>
        <sz val="10"/>
        <color indexed="8"/>
        <rFont val="SHREE_GUJ_OTF_0768"/>
        <family val="2"/>
        <charset val="1"/>
      </rPr>
      <t xml:space="preserve"> ૧૨૫૦૦/-</t>
    </r>
    <r>
      <rPr>
        <sz val="10"/>
        <color indexed="8"/>
        <rFont val="SHREE_GUJ_OTF_0768"/>
        <family val="2"/>
        <charset val="1"/>
      </rPr>
      <t xml:space="preserve"> સુધી રીબેટ બાદ મળશે. </t>
    </r>
  </si>
  <si>
    <r>
      <t xml:space="preserve"> કોલમ ( ૮ ) ભરવાપાત્ર ઈન્કમટેક્ષ ઉપર </t>
    </r>
    <r>
      <rPr>
        <sz val="12"/>
        <color indexed="8"/>
        <rFont val="SHREE_GUJ_OTF_0768"/>
        <family val="2"/>
        <charset val="1"/>
      </rPr>
      <t>૪</t>
    </r>
    <r>
      <rPr>
        <sz val="10"/>
        <color indexed="8"/>
        <rFont val="SHREE_GUJ_OTF_0768"/>
        <family val="2"/>
        <charset val="1"/>
      </rPr>
      <t xml:space="preserve"> ટકા શિક્ષણ ઉપકર </t>
    </r>
  </si>
  <si>
    <r>
      <rPr>
        <b/>
        <sz val="12"/>
        <color indexed="8"/>
        <rFont val="SHREE_GUJ_OTF_0768"/>
        <family val="2"/>
        <charset val="1"/>
      </rPr>
      <t>G.P.F</t>
    </r>
    <r>
      <rPr>
        <sz val="10"/>
        <color indexed="8"/>
        <rFont val="SHREE_GUJ_OTF_0768"/>
        <family val="2"/>
        <charset val="1"/>
      </rPr>
      <t xml:space="preserve"> રૂપિયા </t>
    </r>
  </si>
  <si>
    <r>
      <rPr>
        <b/>
        <sz val="12"/>
        <color indexed="8"/>
        <rFont val="SHREE_GUJ_OTF_0768"/>
        <family val="2"/>
        <charset val="1"/>
      </rPr>
      <t>C.P.F</t>
    </r>
    <r>
      <rPr>
        <sz val="12"/>
        <color indexed="8"/>
        <rFont val="SHREE_GUJ_OTF_0768"/>
        <family val="2"/>
        <charset val="1"/>
      </rPr>
      <t xml:space="preserve"> </t>
    </r>
    <r>
      <rPr>
        <sz val="10"/>
        <color indexed="8"/>
        <rFont val="SHREE_GUJ_OTF_0768"/>
        <family val="2"/>
        <charset val="1"/>
      </rPr>
      <t>રૂપિયા</t>
    </r>
  </si>
  <si>
    <r>
      <t xml:space="preserve">પગારમાંથી </t>
    </r>
    <r>
      <rPr>
        <b/>
        <sz val="10"/>
        <color indexed="8"/>
        <rFont val="SHREE_GUJ_OTF_0768"/>
        <family val="2"/>
        <charset val="1"/>
      </rPr>
      <t xml:space="preserve">TDS INCOME-TAX </t>
    </r>
  </si>
  <si>
    <t>સૂચના મુજબ ફોર્મ ભરવુ</t>
  </si>
  <si>
    <t xml:space="preserve">ફોર્મ સાથે જરૂરી ડોક્યુમેન્ટ </t>
  </si>
  <si>
    <t>અને ૮૦% થી વધુ અપંગતા હોય તો રૂ.૧,૨૫,૦૦૦ બાદ મળશે.</t>
  </si>
  <si>
    <t xml:space="preserve">૧. આ ફોર્મ  સાથે આપેલ ગુજરાતી ફૉન્ટસ  ઇન્સ્ટોલ કરવા. </t>
  </si>
  <si>
    <t xml:space="preserve">૨. સો પ્રથમ ફોર્મ ની શરૂઆત કપાત પત્રક કૉલમ થી ચાલુ કરવી જેમકે પગાર,એરિયર્સ,રોકાણ,ટેક્સ,વગેરે ની માહિતી ભરવી. </t>
  </si>
  <si>
    <t xml:space="preserve">૪. C.P.F. ત્થા G.P.F.ત્થા NPS રોકાણ હોય તો તેના ઓપ્શન  ફિલ કરવાની રહેશે. </t>
  </si>
  <si>
    <t xml:space="preserve">૫. નવા સ્લેબ મુજબ સ્ટાન્ડર્ડ ડિડક્શન ૫૦૦૦૦/- સિવાય અન્ય  કોઈપણ રોકાણ બાદ મળશે નહિ. </t>
  </si>
  <si>
    <t>૬. કપાત પત્રક કૉલમ માં વિગત ભરવાથી નવા ત્થા જૂન સ્લેબ ની ગણતરી ઓટો ફિલ થઈ જશે.</t>
  </si>
  <si>
    <t xml:space="preserve">૭. બેન્ક વ્યાજ ત્થા ફિક્સ ડિપોજીત ના વ્યાજ ની રકમ આ ફોર્મ માં દર્શાવાની નથી ઇન્કમટેક્સ રિટર્ન ફાઇલ ના સમયે બતાવવાની રહેશે. </t>
  </si>
  <si>
    <t>૧. પાન કાર્ડ ઝેરોક્ષ, આધારકાર્ડ ઝેરોક્ષ , બેન્ક પાસબુક ઝેરોક્ષ</t>
  </si>
  <si>
    <t xml:space="preserve">૨. તમામ રોકાણની ઝેરોક્ષ કોપી ફરજીયાત જોડવી(૦૧/૦૪/૨૦૨૩ થી ૩૧/૦૩/૨૦૨૪) </t>
  </si>
  <si>
    <t xml:space="preserve">૩. મકાન લોન વ્યાજ નું સર્ટીફિકેટ ફરજિયાત જોડવાનુ રહેશે (૦૧/૦૪/૨૦૨૩ થી ૩૧/૦૩/૨૦૨૪) </t>
  </si>
  <si>
    <t xml:space="preserve">૪. શારીરીક ખોડ ખાપણ ૪૦% થી વધુ અને ૮૦% થી ઓછી હોય તો રૂ.૭૫૦૦૦ બાદ મળશે. </t>
  </si>
  <si>
    <r>
      <rPr>
        <b/>
        <sz val="35"/>
        <rFont val="SHREE_GUJ_OTF_0768"/>
        <charset val="1"/>
      </rPr>
      <t xml:space="preserve">  </t>
    </r>
    <r>
      <rPr>
        <b/>
        <u/>
        <sz val="35"/>
        <rFont val="SHREE_GUJ_OTF_0768"/>
        <charset val="1"/>
      </rPr>
      <t xml:space="preserve">તાલુકા પંચાયત શિક્ષણ શાખા જંબુસર </t>
    </r>
  </si>
  <si>
    <t xml:space="preserve">ટી. પી.ઈ . ઑ </t>
  </si>
  <si>
    <t xml:space="preserve">૩. પર્સનલ માહિતી જેમકે નામ,પાનકાર્ડ નંબર,આધાર કાર્ડ નંબર,મોબાઈલ નંબર,બેન્ક માહિતી વગેરે ની માહિતી જાતે ભરવાની રહેશે. </t>
  </si>
  <si>
    <t xml:space="preserve">શબ્બીરભાઈ. એસ.  સાપા </t>
  </si>
  <si>
    <t>આમોદ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</si>
</sst>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43" formatCode="_(* #,##0.00_);_(* \(#,##0.00\);_(* &quot;-&quot;??_);_(@_)"/>
    <numFmt numFmtId="164" formatCode="&quot;$&quot;#,##0.00;[Red]\-&quot;$&quot;#,##0.00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[$-409]mmm/yy;@"/>
    <numFmt numFmtId="168" formatCode="[$-409]mmmm\-yy"/>
    <numFmt numFmtId="169" formatCode="0.00;[Red]0.00"/>
    <numFmt numFmtId="170" formatCode="0;[Red]0"/>
    <numFmt numFmtId="171" formatCode="[$-7000447]0"/>
    <numFmt numFmtId="172" formatCode="_ * #,##0_ ;_ * \-#,##0_ ;_ * &quot;-&quot;_ ;_ @_ "/>
    <numFmt numFmtId="173" formatCode="_ * #,##0.00_ ;_ * \-#,##0.00_ ;_ * &quot;-&quot;??_ ;_ @_ "/>
    <numFmt numFmtId="174" formatCode="_-* #,##0.00\ &quot;€&quot;_-;\-* #,##0.00\ &quot;€&quot;_-;_-* &quot;-&quot;??\ &quot;€&quot;_-;_-@_-"/>
    <numFmt numFmtId="175" formatCode="_-* #,##0\ _F_-;\-* #,##0\ _F_-;_-* &quot;-&quot;\ _F_-;_-@_-"/>
    <numFmt numFmtId="176" formatCode="_-* #,##0.00\ _F_-;\-* #,##0.00\ _F_-;_-* &quot;-&quot;??\ _F_-;_-@_-"/>
    <numFmt numFmtId="177" formatCode="#,##0.00000000;[Red]\-#,##0.00000000"/>
    <numFmt numFmtId="178" formatCode="_ &quot;Fr.&quot;\ * #,##0_ ;_ &quot;Fr.&quot;\ * \-#,##0_ ;_ &quot;Fr.&quot;\ * &quot;-&quot;_ ;_ @_ "/>
    <numFmt numFmtId="179" formatCode="_ &quot;Fr.&quot;\ * #,##0.00_ ;_ &quot;Fr.&quot;\ * \-#,##0.00_ ;_ &quot;Fr.&quot;\ * &quot;-&quot;??_ ;_ @_ "/>
    <numFmt numFmtId="180" formatCode="&quot;\&quot;#,##0.00;[Red]&quot;\&quot;\-#,##0.00"/>
    <numFmt numFmtId="181" formatCode="&quot;\&quot;#,##0;[Red]&quot;\&quot;\-#,##0"/>
    <numFmt numFmtId="182" formatCode="_(* #,##0_);_(* \(#,##0\);_(* &quot;-&quot;??_);_(@_)"/>
    <numFmt numFmtId="183" formatCode="B1mmm/yy"/>
  </numFmts>
  <fonts count="9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‚l‚r ‚oƒSƒVƒbƒN"/>
      <family val="3"/>
      <charset val="128"/>
    </font>
    <font>
      <sz val="12"/>
      <name val="¹UAAA¼"/>
      <family val="3"/>
      <charset val="129"/>
    </font>
    <font>
      <sz val="7"/>
      <name val="Helv"/>
      <family val="2"/>
    </font>
    <font>
      <b/>
      <sz val="10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7"/>
      <color indexed="10"/>
      <name val="Helv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u/>
      <sz val="11"/>
      <color indexed="12"/>
      <name val="Calibri"/>
      <family val="2"/>
    </font>
    <font>
      <sz val="11"/>
      <color indexed="8"/>
      <name val="Arial"/>
      <family val="2"/>
    </font>
    <font>
      <sz val="11"/>
      <name val="Calibri"/>
      <family val="2"/>
    </font>
    <font>
      <sz val="8"/>
      <color indexed="8"/>
      <name val="DevLys 010"/>
      <family val="2"/>
    </font>
    <font>
      <u/>
      <sz val="10"/>
      <color indexed="12"/>
      <name val="Arial"/>
      <family val="2"/>
    </font>
    <font>
      <b/>
      <sz val="11"/>
      <color rgb="FFFF0000"/>
      <name val="Arial"/>
      <family val="2"/>
    </font>
    <font>
      <sz val="12"/>
      <color theme="1"/>
      <name val="Cambria"/>
      <family val="1"/>
      <scheme val="major"/>
    </font>
    <font>
      <sz val="1"/>
      <color theme="0"/>
      <name val="Arial"/>
      <family val="2"/>
    </font>
    <font>
      <i/>
      <sz val="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i/>
      <sz val="12"/>
      <color rgb="FFFFFF00"/>
      <name val="Arial"/>
      <family val="2"/>
    </font>
    <font>
      <sz val="11"/>
      <color theme="1"/>
      <name val="Arial"/>
      <family val="2"/>
    </font>
    <font>
      <sz val="9"/>
      <color rgb="FFFF0000"/>
      <name val="Arial"/>
      <family val="2"/>
    </font>
    <font>
      <sz val="9"/>
      <color rgb="FFFF0000"/>
      <name val="Arial Unicode MS"/>
      <family val="2"/>
    </font>
    <font>
      <sz val="9"/>
      <color rgb="FFFF0000"/>
      <name val="Cambria"/>
      <family val="1"/>
      <scheme val="major"/>
    </font>
    <font>
      <sz val="9"/>
      <color rgb="FFFF0000"/>
      <name val="Calibri"/>
      <family val="2"/>
      <scheme val="minor"/>
    </font>
    <font>
      <sz val="8"/>
      <color rgb="FFFF0000"/>
      <name val="Arial"/>
      <family val="2"/>
    </font>
    <font>
      <b/>
      <u/>
      <sz val="14"/>
      <color theme="1"/>
      <name val="Arial"/>
      <family val="2"/>
    </font>
    <font>
      <sz val="10"/>
      <color theme="0"/>
      <name val="Arial"/>
      <family val="2"/>
    </font>
    <font>
      <sz val="1"/>
      <color theme="0"/>
      <name val="Calibri"/>
      <family val="2"/>
    </font>
    <font>
      <sz val="9"/>
      <color theme="0"/>
      <name val="Arial"/>
      <family val="2"/>
    </font>
    <font>
      <sz val="10"/>
      <color rgb="FFFF0000"/>
      <name val="Arial"/>
      <family val="2"/>
    </font>
    <font>
      <b/>
      <sz val="11"/>
      <color rgb="FFFFFF00"/>
      <name val="Arial"/>
      <family val="2"/>
    </font>
    <font>
      <b/>
      <sz val="12"/>
      <color rgb="FFFFFF00"/>
      <name val="Arial"/>
      <family val="2"/>
    </font>
    <font>
      <i/>
      <sz val="1"/>
      <name val="Arial"/>
      <family val="2"/>
    </font>
    <font>
      <sz val="1"/>
      <name val="Arial"/>
      <family val="2"/>
    </font>
    <font>
      <b/>
      <sz val="1"/>
      <name val="Arial"/>
      <family val="2"/>
    </font>
    <font>
      <sz val="9"/>
      <name val="Arial"/>
      <family val="2"/>
    </font>
    <font>
      <b/>
      <sz val="12"/>
      <color indexed="8"/>
      <name val="SHREE_GUJ_OTF_0768"/>
      <family val="2"/>
      <charset val="1"/>
    </font>
    <font>
      <sz val="10"/>
      <color indexed="9"/>
      <name val="SHREE_GUJ_OTF_0768"/>
      <family val="2"/>
      <charset val="1"/>
    </font>
    <font>
      <sz val="1"/>
      <color theme="0"/>
      <name val="SHREE_GUJ_OTF_0768"/>
      <family val="2"/>
      <charset val="1"/>
    </font>
    <font>
      <sz val="1"/>
      <color indexed="9"/>
      <name val="SHREE_GUJ_OTF_0768"/>
      <family val="2"/>
      <charset val="1"/>
    </font>
    <font>
      <sz val="10"/>
      <color indexed="8"/>
      <name val="SHREE_GUJ_OTF_0768"/>
      <family val="2"/>
      <charset val="1"/>
    </font>
    <font>
      <i/>
      <sz val="10"/>
      <color indexed="8"/>
      <name val="SHREE_GUJ_OTF_0768"/>
      <family val="2"/>
      <charset val="1"/>
    </font>
    <font>
      <b/>
      <sz val="14"/>
      <color indexed="8"/>
      <name val="SHREE_GUJ_OTF_0768"/>
      <family val="2"/>
      <charset val="1"/>
    </font>
    <font>
      <b/>
      <u/>
      <sz val="14"/>
      <color indexed="8"/>
      <name val="SHREE_GUJ_OTF_0768"/>
      <family val="2"/>
      <charset val="1"/>
    </font>
    <font>
      <sz val="10"/>
      <name val="SHREE_GUJ_OTF_0768"/>
      <family val="2"/>
      <charset val="1"/>
    </font>
    <font>
      <b/>
      <sz val="11"/>
      <color indexed="8"/>
      <name val="SHREE_GUJ_OTF_0768"/>
      <family val="2"/>
      <charset val="1"/>
    </font>
    <font>
      <u/>
      <sz val="10"/>
      <color indexed="8"/>
      <name val="SHREE_GUJ_OTF_0768"/>
      <family val="2"/>
      <charset val="1"/>
    </font>
    <font>
      <b/>
      <sz val="10"/>
      <color indexed="10"/>
      <name val="SHREE_GUJ_OTF_0768"/>
      <family val="2"/>
      <charset val="1"/>
    </font>
    <font>
      <sz val="8"/>
      <color indexed="8"/>
      <name val="SHREE_GUJ_OTF_0768"/>
      <family val="2"/>
      <charset val="1"/>
    </font>
    <font>
      <sz val="9"/>
      <color indexed="8"/>
      <name val="SHREE_GUJ_OTF_0768"/>
      <family val="2"/>
      <charset val="1"/>
    </font>
    <font>
      <b/>
      <sz val="11"/>
      <color indexed="10"/>
      <name val="SHREE_GUJ_OTF_0768"/>
      <family val="2"/>
      <charset val="1"/>
    </font>
    <font>
      <b/>
      <sz val="10"/>
      <color indexed="8"/>
      <name val="SHREE_GUJ_OTF_0768"/>
      <family val="2"/>
      <charset val="1"/>
    </font>
    <font>
      <sz val="12"/>
      <color indexed="8"/>
      <name val="SHREE_GUJ_OTF_0768"/>
      <family val="2"/>
      <charset val="1"/>
    </font>
    <font>
      <sz val="10"/>
      <color theme="1"/>
      <name val="SHREE_GUJ_OTF_0768"/>
      <family val="2"/>
      <charset val="1"/>
    </font>
    <font>
      <i/>
      <sz val="1"/>
      <color theme="0"/>
      <name val="SHREE_GUJ_OTF_0768"/>
      <family val="2"/>
      <charset val="1"/>
    </font>
    <font>
      <b/>
      <sz val="1"/>
      <color theme="0"/>
      <name val="SHREE_GUJ_OTF_0768"/>
      <family val="2"/>
      <charset val="1"/>
    </font>
    <font>
      <sz val="8"/>
      <color indexed="9"/>
      <name val="SHREE_GUJ_OTF_0768"/>
      <family val="2"/>
      <charset val="1"/>
    </font>
    <font>
      <b/>
      <sz val="11"/>
      <color indexed="9"/>
      <name val="SHREE_GUJ_OTF_0768"/>
      <family val="2"/>
      <charset val="1"/>
    </font>
    <font>
      <sz val="12"/>
      <color theme="1"/>
      <name val="SHREE_GUJ_OTF_0768"/>
      <family val="2"/>
      <charset val="1"/>
    </font>
    <font>
      <sz val="11"/>
      <color theme="1"/>
      <name val="SHREE_GUJ_OTF_0768"/>
      <family val="2"/>
      <charset val="1"/>
    </font>
    <font>
      <sz val="11"/>
      <color indexed="8"/>
      <name val="SHREE_GUJ_OTF_0768"/>
      <family val="2"/>
      <charset val="1"/>
    </font>
    <font>
      <b/>
      <sz val="11"/>
      <color rgb="FF0070C0"/>
      <name val="SHREE_GUJ_OTF_0768"/>
      <family val="2"/>
      <charset val="1"/>
    </font>
    <font>
      <b/>
      <sz val="14"/>
      <color indexed="10"/>
      <name val="SHREE_GUJ_OTF_0768"/>
      <family val="2"/>
      <charset val="1"/>
    </font>
    <font>
      <sz val="11"/>
      <color rgb="FF000000"/>
      <name val="SHREE_GUJ_OTF_0768"/>
      <family val="2"/>
    </font>
    <font>
      <b/>
      <u/>
      <sz val="12"/>
      <color rgb="FF000000"/>
      <name val="SHREE_GUJ_OTF_0768"/>
      <family val="2"/>
    </font>
    <font>
      <sz val="1"/>
      <color rgb="FFFFFFFF"/>
      <name val="SHREE_GUJ_OTF_0768"/>
      <family val="2"/>
    </font>
    <font>
      <sz val="10"/>
      <color rgb="FF000000"/>
      <name val="SHREE_GUJ_OTF_0768"/>
      <family val="2"/>
    </font>
    <font>
      <sz val="10"/>
      <color rgb="FFFFFFFF"/>
      <name val="SHREE_GUJ_OTF_0768"/>
      <family val="2"/>
    </font>
    <font>
      <b/>
      <i/>
      <sz val="12"/>
      <color rgb="FFFFFFFF"/>
      <name val="SHREE_GUJ_OTF_0768"/>
      <family val="2"/>
    </font>
    <font>
      <b/>
      <sz val="12"/>
      <color rgb="FF000000"/>
      <name val="SHREE_GUJ_OTF_0768"/>
      <family val="2"/>
    </font>
    <font>
      <b/>
      <i/>
      <sz val="11"/>
      <color rgb="FFFFFFFF"/>
      <name val="SHREE_GUJ_OTF_0768"/>
      <family val="2"/>
    </font>
    <font>
      <sz val="10"/>
      <name val="Arial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10"/>
      <name val="SHREE_GUJ_OTF_0768"/>
      <charset val="1"/>
    </font>
    <font>
      <b/>
      <u/>
      <sz val="14"/>
      <name val="SHREE_GUJ_OTF_0768"/>
      <charset val="1"/>
    </font>
    <font>
      <sz val="14"/>
      <name val="SHREE_GUJ_OTF_0768"/>
      <charset val="1"/>
    </font>
    <font>
      <sz val="12"/>
      <name val="SHREE_GUJ_OTF_0768"/>
      <charset val="1"/>
    </font>
    <font>
      <b/>
      <u/>
      <sz val="35"/>
      <name val="SHREE_GUJ_OTF_0768"/>
      <charset val="1"/>
    </font>
    <font>
      <b/>
      <sz val="35"/>
      <name val="SHREE_GUJ_OTF_0768"/>
      <charset val="1"/>
    </font>
    <font>
      <sz val="1"/>
      <color theme="1"/>
      <name val="SHREE_GUJ_OTF_0768"/>
      <family val="2"/>
    </font>
    <font>
      <sz val="8"/>
      <color theme="1"/>
      <name val="SHREE_GUJ_OTF_0768"/>
      <family val="2"/>
    </font>
    <font>
      <sz val="10"/>
      <color theme="1"/>
      <name val="SHREE_GUJ_OTF_0768"/>
      <family val="2"/>
    </font>
  </fonts>
  <fills count="24">
    <fill>
      <patternFill patternType="none"/>
    </fill>
    <fill>
      <patternFill patternType="gray125"/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54069643238624"/>
        <bgColor indexed="64"/>
      </patternFill>
    </fill>
    <fill>
      <patternFill patternType="solid">
        <fgColor theme="0" tint="-4.9531540879543444E-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thin">
        <color auto="1"/>
      </bottom>
      <diagonal/>
    </border>
    <border>
      <left/>
      <right style="medium">
        <color rgb="FF00B050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B05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medium">
        <color rgb="FF00B05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9">
    <xf numFmtId="0" fontId="0" fillId="0" borderId="0">
      <alignment vertical="center"/>
    </xf>
    <xf numFmtId="43" fontId="87" fillId="0" borderId="0">
      <protection locked="0"/>
    </xf>
    <xf numFmtId="0" fontId="87" fillId="0" borderId="0"/>
    <xf numFmtId="0" fontId="5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" fillId="0" borderId="0"/>
    <xf numFmtId="5" fontId="8" fillId="0" borderId="1" applyAlignment="0" applyProtection="0"/>
    <xf numFmtId="0" fontId="6" fillId="0" borderId="0"/>
    <xf numFmtId="0" fontId="6" fillId="0" borderId="0"/>
    <xf numFmtId="43" fontId="87" fillId="0" borderId="0">
      <protection locked="0"/>
    </xf>
    <xf numFmtId="43" fontId="87" fillId="0" borderId="0">
      <protection locked="0"/>
    </xf>
    <xf numFmtId="43" fontId="87" fillId="0" borderId="0">
      <protection locked="0"/>
    </xf>
    <xf numFmtId="43" fontId="87" fillId="0" borderId="0">
      <protection locked="0"/>
    </xf>
    <xf numFmtId="43" fontId="87" fillId="0" borderId="0">
      <protection locked="0"/>
    </xf>
    <xf numFmtId="43" fontId="3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7" fillId="0" borderId="0">
      <protection locked="0"/>
    </xf>
    <xf numFmtId="43" fontId="87" fillId="0" borderId="0">
      <protection locked="0"/>
    </xf>
    <xf numFmtId="3" fontId="87" fillId="0" borderId="0" applyFont="0" applyFill="0" applyBorder="0" applyAlignment="0" applyProtection="0"/>
    <xf numFmtId="164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172" fontId="87" fillId="0" borderId="0" applyFont="0" applyFill="0" applyBorder="0" applyAlignment="0" applyProtection="0"/>
    <xf numFmtId="173" fontId="87" fillId="0" borderId="0" applyFont="0" applyFill="0" applyBorder="0" applyAlignment="0" applyProtection="0"/>
    <xf numFmtId="174" fontId="87" fillId="0" borderId="0" applyFont="0" applyFill="0" applyBorder="0" applyAlignment="0" applyProtection="0"/>
    <xf numFmtId="2" fontId="87" fillId="0" borderId="0" applyFont="0" applyFill="0" applyBorder="0" applyAlignment="0" applyProtection="0"/>
    <xf numFmtId="0" fontId="9" fillId="14" borderId="0" applyNumberFormat="0" applyBorder="0" applyAlignment="0" applyProtection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0" fillId="0" borderId="0">
      <protection locked="0"/>
    </xf>
    <xf numFmtId="0" fontId="20" fillId="0" borderId="0">
      <protection locked="0"/>
    </xf>
    <xf numFmtId="0" fontId="9" fillId="15" borderId="2" applyNumberFormat="0" applyBorder="0" applyAlignment="0" applyProtection="0"/>
    <xf numFmtId="175" fontId="87" fillId="0" borderId="0" applyFont="0" applyFill="0" applyBorder="0" applyAlignment="0" applyProtection="0"/>
    <xf numFmtId="176" fontId="87" fillId="0" borderId="0" applyFont="0" applyFill="0" applyBorder="0" applyAlignment="0" applyProtection="0"/>
    <xf numFmtId="0" fontId="10" fillId="0" borderId="0"/>
    <xf numFmtId="177" fontId="87" fillId="0" borderId="0"/>
    <xf numFmtId="0" fontId="3" fillId="0" borderId="0"/>
    <xf numFmtId="0" fontId="87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protection locked="0"/>
    </xf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87" fillId="0" borderId="0"/>
    <xf numFmtId="0" fontId="87" fillId="0" borderId="0"/>
    <xf numFmtId="0" fontId="18" fillId="0" borderId="0">
      <protection locked="0"/>
    </xf>
    <xf numFmtId="0" fontId="87" fillId="0" borderId="0"/>
    <xf numFmtId="0" fontId="87" fillId="0" borderId="0"/>
    <xf numFmtId="0" fontId="87" fillId="0" borderId="0"/>
    <xf numFmtId="0" fontId="87" fillId="0" borderId="0"/>
    <xf numFmtId="0" fontId="18" fillId="0" borderId="0">
      <protection locked="0"/>
    </xf>
    <xf numFmtId="0" fontId="17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protection locked="0"/>
    </xf>
    <xf numFmtId="0" fontId="3" fillId="0" borderId="0"/>
    <xf numFmtId="0" fontId="3" fillId="0" borderId="0"/>
    <xf numFmtId="0" fontId="3" fillId="0" borderId="0"/>
    <xf numFmtId="0" fontId="87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10" fontId="87" fillId="0" borderId="0" applyFont="0" applyFill="0" applyBorder="0" applyAlignment="0" applyProtection="0"/>
    <xf numFmtId="3" fontId="11" fillId="0" borderId="0"/>
    <xf numFmtId="0" fontId="19" fillId="0" borderId="2">
      <protection locked="0"/>
    </xf>
    <xf numFmtId="178" fontId="87" fillId="0" borderId="0" applyFont="0" applyFill="0" applyBorder="0" applyAlignment="0" applyProtection="0"/>
    <xf numFmtId="179" fontId="87" fillId="0" borderId="0" applyFont="0" applyFill="0" applyBorder="0" applyAlignment="0" applyProtection="0"/>
    <xf numFmtId="40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0" fontId="87" fillId="0" borderId="0" applyFont="0" applyFill="0" applyBorder="0" applyAlignment="0" applyProtection="0"/>
    <xf numFmtId="0" fontId="13" fillId="0" borderId="0"/>
    <xf numFmtId="165" fontId="87" fillId="0" borderId="0" applyFont="0" applyFill="0" applyBorder="0" applyAlignment="0" applyProtection="0"/>
    <xf numFmtId="166" fontId="87" fillId="0" borderId="0" applyFont="0" applyFill="0" applyBorder="0" applyAlignment="0" applyProtection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2" borderId="0" applyNumberFormat="0" applyBorder="0" applyAlignment="0" applyProtection="0"/>
    <xf numFmtId="0" fontId="3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0" fontId="3" fillId="5" borderId="0" applyNumberFormat="0" applyBorder="0" applyAlignment="0" applyProtection="0"/>
    <xf numFmtId="0" fontId="3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0" borderId="0"/>
    <xf numFmtId="0" fontId="3" fillId="8" borderId="0" applyNumberFormat="0" applyBorder="0" applyAlignment="0" applyProtection="0"/>
    <xf numFmtId="0" fontId="3" fillId="0" borderId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43" fontId="87" fillId="0" borderId="0">
      <protection locked="0"/>
    </xf>
    <xf numFmtId="43" fontId="87" fillId="0" borderId="0">
      <protection locked="0"/>
    </xf>
    <xf numFmtId="43" fontId="87" fillId="0" borderId="0">
      <protection locked="0"/>
    </xf>
    <xf numFmtId="43" fontId="87" fillId="0" borderId="0">
      <protection locked="0"/>
    </xf>
    <xf numFmtId="43" fontId="87" fillId="0" borderId="0"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7" fillId="0" borderId="0">
      <protection locked="0"/>
    </xf>
    <xf numFmtId="43" fontId="87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3" fillId="0" borderId="0"/>
    <xf numFmtId="0" fontId="18" fillId="0" borderId="0">
      <alignment vertical="center"/>
    </xf>
    <xf numFmtId="0" fontId="3" fillId="0" borderId="0"/>
    <xf numFmtId="0" fontId="3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7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>
      <protection locked="0"/>
    </xf>
    <xf numFmtId="0" fontId="3" fillId="0" borderId="0"/>
    <xf numFmtId="0" fontId="87" fillId="0" borderId="0">
      <protection locked="0"/>
    </xf>
    <xf numFmtId="0" fontId="3" fillId="0" borderId="0"/>
    <xf numFmtId="0" fontId="3" fillId="0" borderId="0"/>
    <xf numFmtId="0" fontId="2" fillId="0" borderId="0"/>
  </cellStyleXfs>
  <cellXfs count="392">
    <xf numFmtId="0" fontId="0" fillId="0" borderId="0" xfId="0">
      <alignment vertical="center"/>
    </xf>
    <xf numFmtId="0" fontId="82" fillId="21" borderId="0" xfId="0" applyFont="1" applyFill="1" applyAlignment="1">
      <alignment horizontal="left" vertical="center"/>
    </xf>
    <xf numFmtId="170" fontId="56" fillId="21" borderId="0" xfId="1" applyNumberFormat="1" applyFont="1" applyFill="1" applyAlignment="1" applyProtection="1">
      <alignment horizontal="right" vertical="center"/>
      <protection hidden="1"/>
    </xf>
    <xf numFmtId="0" fontId="56" fillId="21" borderId="0" xfId="94" applyFont="1" applyFill="1" applyAlignment="1" applyProtection="1">
      <alignment horizontal="left" vertical="center"/>
      <protection hidden="1"/>
    </xf>
    <xf numFmtId="1" fontId="22" fillId="17" borderId="2" xfId="159" applyNumberFormat="1" applyFont="1" applyFill="1" applyBorder="1" applyAlignment="1" applyProtection="1">
      <alignment horizontal="right" vertical="center" wrapText="1"/>
      <protection hidden="1"/>
    </xf>
    <xf numFmtId="0" fontId="23" fillId="18" borderId="0" xfId="0" applyFont="1" applyFill="1" applyAlignment="1" applyProtection="1">
      <alignment horizontal="center" vertical="center"/>
      <protection hidden="1"/>
    </xf>
    <xf numFmtId="0" fontId="24" fillId="18" borderId="0" xfId="0" applyFont="1" applyFill="1" applyProtection="1">
      <alignment vertical="center"/>
      <protection hidden="1"/>
    </xf>
    <xf numFmtId="0" fontId="36" fillId="18" borderId="0" xfId="0" applyFont="1" applyFill="1" applyProtection="1">
      <alignment vertical="center"/>
      <protection hidden="1"/>
    </xf>
    <xf numFmtId="0" fontId="36" fillId="18" borderId="0" xfId="0" applyFont="1" applyFill="1" applyAlignment="1" applyProtection="1">
      <alignment horizontal="center" vertical="center"/>
      <protection hidden="1"/>
    </xf>
    <xf numFmtId="182" fontId="36" fillId="18" borderId="0" xfId="94" applyNumberFormat="1" applyFont="1" applyFill="1" applyProtection="1">
      <alignment vertical="center"/>
      <protection hidden="1"/>
    </xf>
    <xf numFmtId="182" fontId="36" fillId="18" borderId="0" xfId="0" applyNumberFormat="1" applyFont="1" applyFill="1" applyProtection="1">
      <alignment vertical="center"/>
      <protection hidden="1"/>
    </xf>
    <xf numFmtId="0" fontId="36" fillId="18" borderId="0" xfId="95" applyFont="1" applyFill="1" applyProtection="1">
      <alignment vertical="center"/>
      <protection hidden="1"/>
    </xf>
    <xf numFmtId="0" fontId="37" fillId="18" borderId="2" xfId="0" applyFont="1" applyFill="1" applyBorder="1" applyAlignment="1" applyProtection="1">
      <alignment vertical="center" wrapText="1"/>
      <protection hidden="1"/>
    </xf>
    <xf numFmtId="0" fontId="36" fillId="18" borderId="0" xfId="0" applyFont="1" applyFill="1" applyAlignment="1" applyProtection="1">
      <alignment horizontal="right" vertical="center"/>
      <protection hidden="1"/>
    </xf>
    <xf numFmtId="1" fontId="38" fillId="18" borderId="2" xfId="0" applyNumberFormat="1" applyFont="1" applyFill="1" applyBorder="1" applyAlignment="1" applyProtection="1">
      <alignment horizontal="right" vertical="center" wrapText="1"/>
      <protection hidden="1"/>
    </xf>
    <xf numFmtId="0" fontId="39" fillId="18" borderId="0" xfId="0" applyFont="1" applyFill="1" applyAlignment="1" applyProtection="1">
      <alignment horizontal="right"/>
      <protection hidden="1"/>
    </xf>
    <xf numFmtId="0" fontId="36" fillId="18" borderId="0" xfId="0" applyFont="1" applyFill="1" applyAlignment="1" applyProtection="1">
      <alignment horizontal="left" vertical="center"/>
      <protection hidden="1"/>
    </xf>
    <xf numFmtId="182" fontId="36" fillId="18" borderId="3" xfId="233" applyNumberFormat="1" applyFont="1" applyFill="1" applyBorder="1" applyAlignment="1" applyProtection="1">
      <alignment vertical="center"/>
      <protection hidden="1"/>
    </xf>
    <xf numFmtId="182" fontId="36" fillId="18" borderId="4" xfId="233" applyNumberFormat="1" applyFont="1" applyFill="1" applyBorder="1" applyAlignment="1" applyProtection="1">
      <alignment vertical="center"/>
      <protection hidden="1"/>
    </xf>
    <xf numFmtId="1" fontId="38" fillId="18" borderId="2" xfId="161" applyNumberFormat="1" applyFont="1" applyFill="1" applyBorder="1" applyAlignment="1" applyProtection="1">
      <alignment horizontal="right" vertical="center" wrapText="1"/>
      <protection hidden="1"/>
    </xf>
    <xf numFmtId="1" fontId="38" fillId="18" borderId="2" xfId="162" applyNumberFormat="1" applyFont="1" applyFill="1" applyBorder="1" applyAlignment="1" applyProtection="1">
      <alignment horizontal="right" vertical="center" wrapText="1"/>
      <protection hidden="1"/>
    </xf>
    <xf numFmtId="0" fontId="40" fillId="18" borderId="0" xfId="0" applyFont="1" applyFill="1" applyProtection="1">
      <alignment vertical="center"/>
      <protection hidden="1"/>
    </xf>
    <xf numFmtId="0" fontId="23" fillId="18" borderId="0" xfId="0" applyFont="1" applyFill="1" applyProtection="1">
      <alignment vertical="center"/>
      <protection hidden="1"/>
    </xf>
    <xf numFmtId="0" fontId="23" fillId="18" borderId="0" xfId="108" applyFont="1" applyFill="1" applyAlignment="1" applyProtection="1">
      <alignment vertical="center"/>
      <protection hidden="1"/>
    </xf>
    <xf numFmtId="0" fontId="23" fillId="18" borderId="0" xfId="93" applyFont="1" applyFill="1" applyProtection="1">
      <protection hidden="1"/>
    </xf>
    <xf numFmtId="0" fontId="23" fillId="18" borderId="0" xfId="108" applyFont="1" applyFill="1" applyAlignment="1" applyProtection="1">
      <alignment horizontal="center" vertical="center"/>
      <protection hidden="1"/>
    </xf>
    <xf numFmtId="0" fontId="23" fillId="18" borderId="0" xfId="108" applyFont="1" applyFill="1" applyAlignment="1" applyProtection="1">
      <alignment horizontal="left"/>
      <protection hidden="1"/>
    </xf>
    <xf numFmtId="0" fontId="23" fillId="18" borderId="0" xfId="108" applyFont="1" applyFill="1" applyAlignment="1" applyProtection="1">
      <alignment horizontal="left" vertical="center"/>
      <protection hidden="1"/>
    </xf>
    <xf numFmtId="0" fontId="23" fillId="18" borderId="0" xfId="0" applyFont="1" applyFill="1">
      <alignment vertical="center"/>
    </xf>
    <xf numFmtId="49" fontId="23" fillId="18" borderId="0" xfId="108" applyNumberFormat="1" applyFont="1" applyFill="1" applyAlignment="1" applyProtection="1">
      <alignment horizontal="left"/>
      <protection hidden="1"/>
    </xf>
    <xf numFmtId="2" fontId="23" fillId="18" borderId="0" xfId="93" applyNumberFormat="1" applyFont="1" applyFill="1" applyProtection="1">
      <protection hidden="1"/>
    </xf>
    <xf numFmtId="0" fontId="43" fillId="18" borderId="0" xfId="93" applyFont="1" applyFill="1" applyProtection="1">
      <protection hidden="1"/>
    </xf>
    <xf numFmtId="0" fontId="1" fillId="18" borderId="5" xfId="0" applyFont="1" applyFill="1" applyBorder="1" applyAlignment="1" applyProtection="1">
      <alignment horizontal="center" vertical="center"/>
      <protection hidden="1"/>
    </xf>
    <xf numFmtId="0" fontId="1" fillId="18" borderId="0" xfId="0" applyFont="1" applyFill="1" applyProtection="1">
      <alignment vertical="center"/>
      <protection hidden="1"/>
    </xf>
    <xf numFmtId="0" fontId="1" fillId="18" borderId="0" xfId="0" applyFont="1" applyFill="1" applyAlignment="1" applyProtection="1">
      <alignment horizontal="left" vertical="center"/>
      <protection hidden="1"/>
    </xf>
    <xf numFmtId="0" fontId="1" fillId="18" borderId="0" xfId="0" applyFont="1" applyFill="1" applyAlignment="1" applyProtection="1">
      <alignment horizontal="right" vertical="center"/>
      <protection hidden="1"/>
    </xf>
    <xf numFmtId="0" fontId="1" fillId="18" borderId="0" xfId="0" applyFont="1" applyFill="1" applyAlignment="1" applyProtection="1">
      <alignment horizontal="center" vertical="center"/>
      <protection hidden="1"/>
    </xf>
    <xf numFmtId="0" fontId="29" fillId="18" borderId="6" xfId="0" applyFont="1" applyFill="1" applyBorder="1" applyProtection="1">
      <alignment vertical="center"/>
      <protection hidden="1"/>
    </xf>
    <xf numFmtId="0" fontId="1" fillId="18" borderId="7" xfId="0" applyFont="1" applyFill="1" applyBorder="1" applyAlignment="1" applyProtection="1">
      <alignment vertical="center" wrapText="1"/>
      <protection hidden="1"/>
    </xf>
    <xf numFmtId="0" fontId="29" fillId="18" borderId="8" xfId="0" applyFont="1" applyFill="1" applyBorder="1" applyProtection="1">
      <alignment vertical="center"/>
      <protection hidden="1"/>
    </xf>
    <xf numFmtId="0" fontId="1" fillId="18" borderId="9" xfId="0" applyFont="1" applyFill="1" applyBorder="1" applyAlignment="1" applyProtection="1">
      <alignment vertical="center" wrapText="1"/>
      <protection hidden="1"/>
    </xf>
    <xf numFmtId="0" fontId="1" fillId="18" borderId="8" xfId="0" applyFont="1" applyFill="1" applyBorder="1" applyAlignment="1" applyProtection="1">
      <alignment horizontal="center" vertical="center"/>
      <protection hidden="1"/>
    </xf>
    <xf numFmtId="0" fontId="1" fillId="18" borderId="9" xfId="0" applyFont="1" applyFill="1" applyBorder="1" applyAlignment="1" applyProtection="1">
      <alignment horizontal="center" vertical="center"/>
      <protection hidden="1"/>
    </xf>
    <xf numFmtId="0" fontId="1" fillId="18" borderId="8" xfId="0" applyFont="1" applyFill="1" applyBorder="1" applyProtection="1">
      <alignment vertical="center"/>
      <protection hidden="1"/>
    </xf>
    <xf numFmtId="0" fontId="1" fillId="18" borderId="9" xfId="0" applyFont="1" applyFill="1" applyBorder="1" applyProtection="1">
      <alignment vertical="center"/>
      <protection hidden="1"/>
    </xf>
    <xf numFmtId="0" fontId="1" fillId="18" borderId="10" xfId="0" applyFont="1" applyFill="1" applyBorder="1" applyProtection="1">
      <alignment vertical="center"/>
      <protection hidden="1"/>
    </xf>
    <xf numFmtId="0" fontId="1" fillId="18" borderId="4" xfId="0" applyFont="1" applyFill="1" applyBorder="1" applyAlignment="1" applyProtection="1">
      <alignment horizontal="center" vertical="center"/>
      <protection hidden="1"/>
    </xf>
    <xf numFmtId="0" fontId="31" fillId="18" borderId="4" xfId="0" applyFont="1" applyFill="1" applyBorder="1" applyAlignment="1" applyProtection="1">
      <alignment horizontal="left" vertical="center" wrapText="1"/>
      <protection hidden="1"/>
    </xf>
    <xf numFmtId="0" fontId="1" fillId="18" borderId="4" xfId="0" applyFont="1" applyFill="1" applyBorder="1" applyAlignment="1" applyProtection="1">
      <alignment horizontal="left" vertical="center" wrapText="1"/>
      <protection hidden="1"/>
    </xf>
    <xf numFmtId="0" fontId="1" fillId="18" borderId="4" xfId="0" applyFont="1" applyFill="1" applyBorder="1" applyAlignment="1" applyProtection="1">
      <alignment horizontal="right" vertical="center" wrapText="1"/>
      <protection hidden="1"/>
    </xf>
    <xf numFmtId="0" fontId="1" fillId="18" borderId="11" xfId="0" applyFont="1" applyFill="1" applyBorder="1" applyProtection="1">
      <alignment vertical="center"/>
      <protection hidden="1"/>
    </xf>
    <xf numFmtId="0" fontId="31" fillId="18" borderId="0" xfId="0" applyFont="1" applyFill="1" applyAlignment="1" applyProtection="1">
      <alignment horizontal="left" vertical="center" wrapText="1"/>
      <protection hidden="1"/>
    </xf>
    <xf numFmtId="0" fontId="1" fillId="18" borderId="0" xfId="0" applyFont="1" applyFill="1" applyAlignment="1" applyProtection="1">
      <alignment horizontal="left" vertical="center" wrapText="1"/>
      <protection hidden="1"/>
    </xf>
    <xf numFmtId="0" fontId="1" fillId="18" borderId="0" xfId="0" applyFont="1" applyFill="1" applyAlignment="1" applyProtection="1">
      <alignment horizontal="right" vertical="center" wrapText="1"/>
      <protection hidden="1"/>
    </xf>
    <xf numFmtId="171" fontId="1" fillId="18" borderId="0" xfId="0" applyNumberFormat="1" applyFont="1" applyFill="1" applyAlignment="1" applyProtection="1">
      <alignment horizontal="center" vertical="center"/>
      <protection hidden="1"/>
    </xf>
    <xf numFmtId="0" fontId="1" fillId="18" borderId="12" xfId="0" applyFont="1" applyFill="1" applyBorder="1" applyAlignment="1" applyProtection="1">
      <alignment horizontal="center" vertical="center"/>
      <protection hidden="1"/>
    </xf>
    <xf numFmtId="169" fontId="1" fillId="18" borderId="0" xfId="1" applyNumberFormat="1" applyFont="1" applyFill="1" applyAlignment="1" applyProtection="1">
      <alignment horizontal="right" vertical="center"/>
      <protection hidden="1"/>
    </xf>
    <xf numFmtId="170" fontId="1" fillId="18" borderId="0" xfId="1" applyNumberFormat="1" applyFont="1" applyFill="1" applyAlignment="1" applyProtection="1">
      <alignment horizontal="right" vertical="center"/>
      <protection hidden="1"/>
    </xf>
    <xf numFmtId="0" fontId="1" fillId="18" borderId="13" xfId="0" applyFont="1" applyFill="1" applyBorder="1" applyProtection="1">
      <alignment vertical="center"/>
      <protection hidden="1"/>
    </xf>
    <xf numFmtId="0" fontId="1" fillId="18" borderId="15" xfId="0" applyFont="1" applyFill="1" applyBorder="1" applyProtection="1">
      <alignment vertical="center"/>
      <protection hidden="1"/>
    </xf>
    <xf numFmtId="0" fontId="27" fillId="18" borderId="0" xfId="0" applyFont="1" applyFill="1" applyProtection="1">
      <alignment vertical="center"/>
      <protection hidden="1"/>
    </xf>
    <xf numFmtId="0" fontId="28" fillId="18" borderId="0" xfId="0" applyFont="1" applyFill="1" applyProtection="1">
      <alignment vertical="center"/>
      <protection hidden="1"/>
    </xf>
    <xf numFmtId="0" fontId="1" fillId="17" borderId="0" xfId="0" applyFont="1" applyFill="1" applyAlignment="1" applyProtection="1">
      <alignment vertical="center" wrapText="1"/>
      <protection hidden="1"/>
    </xf>
    <xf numFmtId="0" fontId="1" fillId="17" borderId="0" xfId="0" applyFont="1" applyFill="1" applyProtection="1">
      <alignment vertical="center"/>
      <protection hidden="1"/>
    </xf>
    <xf numFmtId="0" fontId="44" fillId="17" borderId="0" xfId="0" applyFont="1" applyFill="1" applyProtection="1">
      <alignment vertical="center"/>
      <protection hidden="1"/>
    </xf>
    <xf numFmtId="0" fontId="23" fillId="17" borderId="0" xfId="0" applyFont="1" applyFill="1" applyProtection="1">
      <alignment vertical="center"/>
      <protection hidden="1"/>
    </xf>
    <xf numFmtId="0" fontId="42" fillId="17" borderId="0" xfId="0" applyFont="1" applyFill="1" applyProtection="1">
      <alignment vertical="center"/>
      <protection hidden="1"/>
    </xf>
    <xf numFmtId="0" fontId="1" fillId="17" borderId="0" xfId="0" applyFont="1" applyFill="1" applyAlignment="1" applyProtection="1">
      <alignment horizontal="center" vertical="center"/>
      <protection hidden="1"/>
    </xf>
    <xf numFmtId="182" fontId="1" fillId="17" borderId="0" xfId="0" applyNumberFormat="1" applyFont="1" applyFill="1" applyProtection="1">
      <alignment vertical="center"/>
      <protection hidden="1"/>
    </xf>
    <xf numFmtId="0" fontId="48" fillId="17" borderId="0" xfId="0" applyFont="1" applyFill="1" applyProtection="1">
      <alignment vertical="center"/>
      <protection hidden="1"/>
    </xf>
    <xf numFmtId="0" fontId="49" fillId="17" borderId="0" xfId="0" applyFont="1" applyFill="1" applyAlignment="1" applyProtection="1">
      <alignment horizontal="left" vertical="center" readingOrder="1"/>
      <protection hidden="1"/>
    </xf>
    <xf numFmtId="0" fontId="49" fillId="17" borderId="0" xfId="0" applyFont="1" applyFill="1" applyAlignment="1" applyProtection="1">
      <alignment horizontal="left" vertical="center"/>
      <protection hidden="1"/>
    </xf>
    <xf numFmtId="0" fontId="49" fillId="17" borderId="0" xfId="0" applyFont="1" applyFill="1" applyProtection="1">
      <alignment vertical="center"/>
      <protection hidden="1"/>
    </xf>
    <xf numFmtId="0" fontId="50" fillId="17" borderId="0" xfId="0" applyFont="1" applyFill="1" applyProtection="1">
      <alignment vertical="center"/>
      <protection hidden="1"/>
    </xf>
    <xf numFmtId="0" fontId="49" fillId="17" borderId="0" xfId="0" applyFont="1" applyFill="1" applyAlignment="1" applyProtection="1">
      <alignment horizontal="center" vertical="center"/>
      <protection hidden="1"/>
    </xf>
    <xf numFmtId="0" fontId="49" fillId="17" borderId="0" xfId="0" applyFont="1" applyFill="1" applyAlignment="1" applyProtection="1">
      <alignment horizontal="right" vertical="center"/>
      <protection hidden="1"/>
    </xf>
    <xf numFmtId="1" fontId="49" fillId="17" borderId="0" xfId="0" applyNumberFormat="1" applyFont="1" applyFill="1" applyProtection="1">
      <alignment vertical="center"/>
      <protection hidden="1"/>
    </xf>
    <xf numFmtId="171" fontId="49" fillId="17" borderId="0" xfId="0" applyNumberFormat="1" applyFont="1" applyFill="1" applyProtection="1">
      <alignment vertical="center"/>
      <protection hidden="1"/>
    </xf>
    <xf numFmtId="169" fontId="49" fillId="17" borderId="0" xfId="0" applyNumberFormat="1" applyFont="1" applyFill="1" applyProtection="1">
      <alignment vertical="center"/>
      <protection hidden="1"/>
    </xf>
    <xf numFmtId="182" fontId="49" fillId="17" borderId="0" xfId="41" applyNumberFormat="1" applyFont="1" applyFill="1" applyBorder="1" applyAlignment="1" applyProtection="1">
      <alignment vertical="center"/>
      <protection hidden="1"/>
    </xf>
    <xf numFmtId="0" fontId="49" fillId="17" borderId="0" xfId="0" applyFont="1" applyFill="1" applyAlignment="1" applyProtection="1">
      <alignment vertical="center" wrapText="1"/>
      <protection hidden="1"/>
    </xf>
    <xf numFmtId="0" fontId="49" fillId="17" borderId="0" xfId="109" applyFont="1" applyFill="1" applyAlignment="1" applyProtection="1">
      <alignment horizontal="center" vertical="center"/>
      <protection hidden="1"/>
    </xf>
    <xf numFmtId="9" fontId="49" fillId="17" borderId="0" xfId="109" applyNumberFormat="1" applyFont="1" applyFill="1" applyAlignment="1" applyProtection="1">
      <alignment horizontal="center" vertical="center"/>
      <protection hidden="1"/>
    </xf>
    <xf numFmtId="1" fontId="49" fillId="17" borderId="0" xfId="0" applyNumberFormat="1" applyFont="1" applyFill="1" applyAlignment="1" applyProtection="1">
      <alignment horizontal="center" vertical="center"/>
      <protection hidden="1"/>
    </xf>
    <xf numFmtId="9" fontId="49" fillId="17" borderId="0" xfId="0" applyNumberFormat="1" applyFont="1" applyFill="1" applyProtection="1">
      <alignment vertical="center"/>
      <protection hidden="1"/>
    </xf>
    <xf numFmtId="0" fontId="9" fillId="17" borderId="0" xfId="0" applyFont="1" applyFill="1" applyProtection="1">
      <alignment vertical="center"/>
      <protection hidden="1"/>
    </xf>
    <xf numFmtId="0" fontId="9" fillId="17" borderId="0" xfId="0" applyFont="1" applyFill="1" applyAlignment="1" applyProtection="1">
      <alignment horizontal="center" vertical="center"/>
      <protection hidden="1"/>
    </xf>
    <xf numFmtId="0" fontId="9" fillId="17" borderId="0" xfId="0" applyFont="1" applyFill="1" applyAlignment="1" applyProtection="1">
      <alignment horizontal="right" vertical="center"/>
      <protection hidden="1"/>
    </xf>
    <xf numFmtId="0" fontId="51" fillId="17" borderId="0" xfId="0" applyFont="1" applyFill="1" applyProtection="1">
      <alignment vertical="center"/>
      <protection hidden="1"/>
    </xf>
    <xf numFmtId="0" fontId="51" fillId="17" borderId="0" xfId="0" applyFont="1" applyFill="1" applyAlignment="1" applyProtection="1">
      <alignment horizontal="center" vertical="center"/>
      <protection hidden="1"/>
    </xf>
    <xf numFmtId="0" fontId="51" fillId="17" borderId="0" xfId="0" applyFont="1" applyFill="1" applyAlignment="1" applyProtection="1">
      <alignment horizontal="right" vertical="center"/>
      <protection hidden="1"/>
    </xf>
    <xf numFmtId="0" fontId="0" fillId="17" borderId="0" xfId="0" applyFill="1" applyProtection="1">
      <alignment vertical="center"/>
      <protection hidden="1"/>
    </xf>
    <xf numFmtId="0" fontId="0" fillId="17" borderId="0" xfId="0" applyFill="1" applyAlignment="1" applyProtection="1">
      <alignment horizontal="center" vertical="center"/>
      <protection hidden="1"/>
    </xf>
    <xf numFmtId="0" fontId="0" fillId="17" borderId="0" xfId="0" applyFill="1" applyAlignment="1" applyProtection="1">
      <alignment horizontal="right" vertical="center"/>
      <protection hidden="1"/>
    </xf>
    <xf numFmtId="0" fontId="53" fillId="20" borderId="0" xfId="94" applyFont="1" applyFill="1" applyProtection="1">
      <alignment vertical="center"/>
      <protection hidden="1"/>
    </xf>
    <xf numFmtId="0" fontId="54" fillId="18" borderId="0" xfId="94" applyFont="1" applyFill="1" applyProtection="1">
      <alignment vertical="center"/>
      <protection hidden="1"/>
    </xf>
    <xf numFmtId="0" fontId="55" fillId="21" borderId="0" xfId="94" applyFont="1" applyFill="1" applyProtection="1">
      <alignment vertical="center"/>
      <protection hidden="1"/>
    </xf>
    <xf numFmtId="0" fontId="56" fillId="17" borderId="0" xfId="94" applyFont="1" applyFill="1" applyProtection="1">
      <alignment vertical="center"/>
      <protection hidden="1"/>
    </xf>
    <xf numFmtId="0" fontId="57" fillId="21" borderId="6" xfId="94" applyFont="1" applyFill="1" applyBorder="1" applyProtection="1">
      <alignment vertical="center"/>
      <protection hidden="1"/>
    </xf>
    <xf numFmtId="0" fontId="56" fillId="21" borderId="7" xfId="94" applyFont="1" applyFill="1" applyBorder="1" applyAlignment="1" applyProtection="1">
      <alignment vertical="center" wrapText="1"/>
      <protection hidden="1"/>
    </xf>
    <xf numFmtId="0" fontId="56" fillId="20" borderId="0" xfId="94" applyFont="1" applyFill="1" applyProtection="1">
      <alignment vertical="center"/>
      <protection hidden="1"/>
    </xf>
    <xf numFmtId="0" fontId="60" fillId="0" borderId="0" xfId="94" applyFont="1">
      <alignment vertical="center"/>
    </xf>
    <xf numFmtId="0" fontId="57" fillId="21" borderId="8" xfId="94" applyFont="1" applyFill="1" applyBorder="1" applyProtection="1">
      <alignment vertical="center"/>
      <protection hidden="1"/>
    </xf>
    <xf numFmtId="0" fontId="56" fillId="21" borderId="0" xfId="94" applyFont="1" applyFill="1" applyAlignment="1" applyProtection="1">
      <alignment horizontal="center" vertical="center"/>
      <protection hidden="1"/>
    </xf>
    <xf numFmtId="0" fontId="56" fillId="21" borderId="9" xfId="94" applyFont="1" applyFill="1" applyBorder="1" applyAlignment="1" applyProtection="1">
      <alignment vertical="center" wrapText="1"/>
      <protection hidden="1"/>
    </xf>
    <xf numFmtId="0" fontId="56" fillId="17" borderId="0" xfId="94" applyFont="1" applyFill="1" applyAlignment="1" applyProtection="1">
      <alignment horizontal="center" vertical="center"/>
      <protection hidden="1"/>
    </xf>
    <xf numFmtId="0" fontId="56" fillId="21" borderId="8" xfId="94" applyFont="1" applyFill="1" applyBorder="1" applyAlignment="1" applyProtection="1">
      <alignment horizontal="center" vertical="center"/>
      <protection hidden="1"/>
    </xf>
    <xf numFmtId="0" fontId="56" fillId="21" borderId="0" xfId="94" applyFont="1" applyFill="1" applyAlignment="1" applyProtection="1">
      <alignment horizontal="right" vertical="center"/>
      <protection hidden="1"/>
    </xf>
    <xf numFmtId="0" fontId="56" fillId="21" borderId="9" xfId="94" applyFont="1" applyFill="1" applyBorder="1" applyAlignment="1" applyProtection="1">
      <alignment horizontal="center" vertical="center"/>
      <protection hidden="1"/>
    </xf>
    <xf numFmtId="0" fontId="56" fillId="20" borderId="0" xfId="94" applyFont="1" applyFill="1" applyAlignment="1" applyProtection="1">
      <alignment horizontal="center" vertical="center"/>
      <protection hidden="1"/>
    </xf>
    <xf numFmtId="0" fontId="54" fillId="18" borderId="0" xfId="94" applyFont="1" applyFill="1" applyAlignment="1" applyProtection="1">
      <alignment horizontal="center" vertical="center"/>
      <protection hidden="1"/>
    </xf>
    <xf numFmtId="0" fontId="55" fillId="21" borderId="0" xfId="94" applyFont="1" applyFill="1" applyAlignment="1" applyProtection="1">
      <alignment horizontal="center" vertical="center"/>
      <protection hidden="1"/>
    </xf>
    <xf numFmtId="0" fontId="56" fillId="21" borderId="8" xfId="94" applyFont="1" applyFill="1" applyBorder="1" applyProtection="1">
      <alignment vertical="center"/>
      <protection hidden="1"/>
    </xf>
    <xf numFmtId="0" fontId="56" fillId="21" borderId="0" xfId="94" applyFont="1" applyFill="1" applyProtection="1">
      <alignment vertical="center"/>
      <protection hidden="1"/>
    </xf>
    <xf numFmtId="0" fontId="56" fillId="21" borderId="9" xfId="94" applyFont="1" applyFill="1" applyBorder="1" applyProtection="1">
      <alignment vertical="center"/>
      <protection hidden="1"/>
    </xf>
    <xf numFmtId="0" fontId="56" fillId="21" borderId="10" xfId="94" applyFont="1" applyFill="1" applyBorder="1" applyProtection="1">
      <alignment vertical="center"/>
      <protection hidden="1"/>
    </xf>
    <xf numFmtId="0" fontId="56" fillId="21" borderId="4" xfId="94" applyFont="1" applyFill="1" applyBorder="1" applyAlignment="1" applyProtection="1">
      <alignment horizontal="center" vertical="center"/>
      <protection hidden="1"/>
    </xf>
    <xf numFmtId="0" fontId="62" fillId="21" borderId="4" xfId="94" applyFont="1" applyFill="1" applyBorder="1" applyAlignment="1" applyProtection="1">
      <alignment horizontal="left" vertical="center" wrapText="1"/>
      <protection hidden="1"/>
    </xf>
    <xf numFmtId="0" fontId="56" fillId="21" borderId="4" xfId="94" applyFont="1" applyFill="1" applyBorder="1" applyAlignment="1" applyProtection="1">
      <alignment horizontal="left" vertical="center" wrapText="1"/>
      <protection hidden="1"/>
    </xf>
    <xf numFmtId="0" fontId="56" fillId="21" borderId="4" xfId="94" applyFont="1" applyFill="1" applyBorder="1" applyAlignment="1" applyProtection="1">
      <alignment horizontal="right" vertical="center" wrapText="1"/>
      <protection hidden="1"/>
    </xf>
    <xf numFmtId="0" fontId="56" fillId="21" borderId="11" xfId="94" applyFont="1" applyFill="1" applyBorder="1" applyProtection="1">
      <alignment vertical="center"/>
      <protection hidden="1"/>
    </xf>
    <xf numFmtId="0" fontId="62" fillId="21" borderId="0" xfId="94" applyFont="1" applyFill="1" applyAlignment="1" applyProtection="1">
      <alignment horizontal="left" vertical="center" wrapText="1"/>
      <protection hidden="1"/>
    </xf>
    <xf numFmtId="0" fontId="56" fillId="21" borderId="0" xfId="94" applyFont="1" applyFill="1" applyAlignment="1" applyProtection="1">
      <alignment horizontal="left" vertical="center" wrapText="1"/>
      <protection hidden="1"/>
    </xf>
    <xf numFmtId="0" fontId="56" fillId="21" borderId="0" xfId="94" applyFont="1" applyFill="1" applyAlignment="1" applyProtection="1">
      <alignment horizontal="right" vertical="center" wrapText="1"/>
      <protection hidden="1"/>
    </xf>
    <xf numFmtId="171" fontId="56" fillId="21" borderId="0" xfId="94" applyNumberFormat="1" applyFont="1" applyFill="1" applyAlignment="1" applyProtection="1">
      <alignment horizontal="center" vertical="center"/>
      <protection hidden="1"/>
    </xf>
    <xf numFmtId="0" fontId="60" fillId="17" borderId="0" xfId="94" applyFont="1" applyFill="1">
      <alignment vertical="center"/>
    </xf>
    <xf numFmtId="0" fontId="54" fillId="18" borderId="0" xfId="94" applyFont="1" applyFill="1">
      <alignment vertical="center"/>
    </xf>
    <xf numFmtId="182" fontId="54" fillId="18" borderId="0" xfId="94" applyNumberFormat="1" applyFont="1" applyFill="1" applyProtection="1">
      <alignment vertical="center"/>
      <protection hidden="1"/>
    </xf>
    <xf numFmtId="0" fontId="56" fillId="21" borderId="12" xfId="94" applyFont="1" applyFill="1" applyBorder="1" applyAlignment="1" applyProtection="1">
      <alignment horizontal="center" vertical="center"/>
      <protection hidden="1"/>
    </xf>
    <xf numFmtId="169" fontId="56" fillId="21" borderId="0" xfId="1" applyNumberFormat="1" applyFont="1" applyFill="1" applyAlignment="1" applyProtection="1">
      <alignment horizontal="right" vertical="center"/>
      <protection hidden="1"/>
    </xf>
    <xf numFmtId="0" fontId="54" fillId="18" borderId="0" xfId="95" applyFont="1" applyFill="1" applyProtection="1">
      <alignment vertical="center"/>
      <protection hidden="1"/>
    </xf>
    <xf numFmtId="0" fontId="54" fillId="18" borderId="0" xfId="94" applyFont="1" applyFill="1" applyAlignment="1" applyProtection="1">
      <alignment horizontal="left" vertical="center"/>
      <protection hidden="1"/>
    </xf>
    <xf numFmtId="182" fontId="56" fillId="21" borderId="0" xfId="94" applyNumberFormat="1" applyFont="1" applyFill="1" applyAlignment="1" applyProtection="1">
      <alignment horizontal="right" vertical="center"/>
      <protection hidden="1"/>
    </xf>
    <xf numFmtId="0" fontId="56" fillId="21" borderId="13" xfId="94" applyFont="1" applyFill="1" applyBorder="1" applyProtection="1">
      <alignment vertical="center"/>
      <protection hidden="1"/>
    </xf>
    <xf numFmtId="0" fontId="56" fillId="21" borderId="15" xfId="94" applyFont="1" applyFill="1" applyBorder="1" applyProtection="1">
      <alignment vertical="center"/>
      <protection hidden="1"/>
    </xf>
    <xf numFmtId="0" fontId="70" fillId="18" borderId="0" xfId="94" applyFont="1" applyFill="1" applyProtection="1">
      <alignment vertical="center"/>
      <protection hidden="1"/>
    </xf>
    <xf numFmtId="0" fontId="54" fillId="18" borderId="0" xfId="94" applyFont="1" applyFill="1" applyAlignment="1" applyProtection="1">
      <alignment horizontal="left" vertical="center" readingOrder="1"/>
      <protection hidden="1"/>
    </xf>
    <xf numFmtId="0" fontId="71" fillId="18" borderId="0" xfId="94" applyFont="1" applyFill="1" applyProtection="1">
      <alignment vertical="center"/>
      <protection locked="0"/>
    </xf>
    <xf numFmtId="0" fontId="54" fillId="18" borderId="0" xfId="94" applyFont="1" applyFill="1" applyAlignment="1" applyProtection="1">
      <alignment horizontal="right" vertical="center"/>
      <protection hidden="1"/>
    </xf>
    <xf numFmtId="1" fontId="54" fillId="18" borderId="0" xfId="94" applyNumberFormat="1" applyFont="1" applyFill="1" applyProtection="1">
      <alignment vertical="center"/>
      <protection hidden="1"/>
    </xf>
    <xf numFmtId="171" fontId="54" fillId="18" borderId="0" xfId="94" applyNumberFormat="1" applyFont="1" applyFill="1" applyProtection="1">
      <alignment vertical="center"/>
      <protection hidden="1"/>
    </xf>
    <xf numFmtId="169" fontId="54" fillId="18" borderId="0" xfId="94" applyNumberFormat="1" applyFont="1" applyFill="1" applyProtection="1">
      <alignment vertical="center"/>
      <protection hidden="1"/>
    </xf>
    <xf numFmtId="182" fontId="54" fillId="18" borderId="0" xfId="181" applyNumberFormat="1" applyFont="1" applyFill="1" applyBorder="1" applyAlignment="1" applyProtection="1">
      <alignment vertical="center"/>
      <protection hidden="1"/>
    </xf>
    <xf numFmtId="0" fontId="54" fillId="18" borderId="0" xfId="94" applyFont="1" applyFill="1" applyAlignment="1" applyProtection="1">
      <alignment vertical="center" wrapText="1"/>
      <protection hidden="1"/>
    </xf>
    <xf numFmtId="0" fontId="54" fillId="18" borderId="0" xfId="109" applyFont="1" applyFill="1" applyAlignment="1" applyProtection="1">
      <alignment horizontal="center" vertical="center"/>
      <protection hidden="1"/>
    </xf>
    <xf numFmtId="9" fontId="54" fillId="18" borderId="0" xfId="109" applyNumberFormat="1" applyFont="1" applyFill="1" applyAlignment="1" applyProtection="1">
      <alignment horizontal="center" vertical="center"/>
      <protection hidden="1"/>
    </xf>
    <xf numFmtId="1" fontId="54" fillId="18" borderId="0" xfId="94" applyNumberFormat="1" applyFont="1" applyFill="1" applyAlignment="1" applyProtection="1">
      <alignment horizontal="center" vertical="center"/>
      <protection hidden="1"/>
    </xf>
    <xf numFmtId="9" fontId="54" fillId="18" borderId="0" xfId="94" applyNumberFormat="1" applyFont="1" applyFill="1" applyProtection="1">
      <alignment vertical="center"/>
      <protection hidden="1"/>
    </xf>
    <xf numFmtId="0" fontId="72" fillId="21" borderId="0" xfId="94" applyFont="1" applyFill="1" applyProtection="1">
      <alignment vertical="center"/>
      <protection hidden="1"/>
    </xf>
    <xf numFmtId="0" fontId="74" fillId="19" borderId="0" xfId="0" applyFont="1" applyFill="1" applyAlignment="1" applyProtection="1">
      <alignment horizontal="center" vertical="center"/>
      <protection locked="0"/>
    </xf>
    <xf numFmtId="0" fontId="75" fillId="22" borderId="0" xfId="0" applyFont="1" applyFill="1" applyProtection="1">
      <alignment vertical="center"/>
      <protection hidden="1"/>
    </xf>
    <xf numFmtId="0" fontId="75" fillId="17" borderId="0" xfId="0" applyFont="1" applyFill="1" applyProtection="1">
      <alignment vertical="center"/>
      <protection hidden="1"/>
    </xf>
    <xf numFmtId="0" fontId="54" fillId="17" borderId="0" xfId="0" applyFont="1" applyFill="1" applyProtection="1">
      <alignment vertical="center"/>
      <protection hidden="1"/>
    </xf>
    <xf numFmtId="0" fontId="53" fillId="17" borderId="0" xfId="0" applyFont="1" applyFill="1" applyProtection="1">
      <alignment vertical="center"/>
      <protection hidden="1"/>
    </xf>
    <xf numFmtId="0" fontId="56" fillId="17" borderId="0" xfId="0" applyFont="1" applyFill="1" applyProtection="1">
      <alignment vertical="center"/>
      <protection hidden="1"/>
    </xf>
    <xf numFmtId="0" fontId="56" fillId="21" borderId="24" xfId="0" applyFont="1" applyFill="1" applyBorder="1" applyProtection="1">
      <alignment vertical="center"/>
      <protection hidden="1"/>
    </xf>
    <xf numFmtId="0" fontId="56" fillId="21" borderId="26" xfId="0" applyFont="1" applyFill="1" applyBorder="1" applyProtection="1">
      <alignment vertical="center"/>
      <protection hidden="1"/>
    </xf>
    <xf numFmtId="0" fontId="54" fillId="18" borderId="0" xfId="0" applyFont="1" applyFill="1" applyProtection="1">
      <alignment vertical="center"/>
      <protection hidden="1"/>
    </xf>
    <xf numFmtId="0" fontId="56" fillId="21" borderId="0" xfId="0" applyFont="1" applyFill="1" applyProtection="1">
      <alignment vertical="center"/>
      <protection hidden="1"/>
    </xf>
    <xf numFmtId="0" fontId="60" fillId="0" borderId="0" xfId="0" applyFont="1" applyProtection="1">
      <alignment vertical="center"/>
      <protection hidden="1"/>
    </xf>
    <xf numFmtId="0" fontId="52" fillId="17" borderId="0" xfId="0" applyFont="1" applyFill="1" applyProtection="1">
      <alignment vertical="center"/>
      <protection hidden="1"/>
    </xf>
    <xf numFmtId="0" fontId="52" fillId="21" borderId="27" xfId="0" applyFont="1" applyFill="1" applyBorder="1" applyProtection="1">
      <alignment vertical="center"/>
      <protection hidden="1"/>
    </xf>
    <xf numFmtId="0" fontId="52" fillId="21" borderId="28" xfId="0" applyFont="1" applyFill="1" applyBorder="1" applyProtection="1">
      <alignment vertical="center"/>
      <protection hidden="1"/>
    </xf>
    <xf numFmtId="0" fontId="71" fillId="18" borderId="0" xfId="0" applyFont="1" applyFill="1" applyProtection="1">
      <alignment vertical="center"/>
      <protection hidden="1"/>
    </xf>
    <xf numFmtId="0" fontId="52" fillId="21" borderId="0" xfId="0" applyFont="1" applyFill="1" applyProtection="1">
      <alignment vertical="center"/>
      <protection hidden="1"/>
    </xf>
    <xf numFmtId="0" fontId="56" fillId="21" borderId="27" xfId="0" applyFont="1" applyFill="1" applyBorder="1" applyProtection="1">
      <alignment vertical="center"/>
      <protection hidden="1"/>
    </xf>
    <xf numFmtId="0" fontId="61" fillId="21" borderId="0" xfId="0" applyFont="1" applyFill="1" applyAlignment="1" applyProtection="1">
      <alignment vertical="top"/>
      <protection hidden="1"/>
    </xf>
    <xf numFmtId="0" fontId="58" fillId="21" borderId="4" xfId="0" applyFont="1" applyFill="1" applyBorder="1" applyAlignment="1" applyProtection="1">
      <alignment vertical="top"/>
      <protection hidden="1"/>
    </xf>
    <xf numFmtId="0" fontId="56" fillId="21" borderId="28" xfId="0" applyFont="1" applyFill="1" applyBorder="1" applyProtection="1">
      <alignment vertical="center"/>
      <protection hidden="1"/>
    </xf>
    <xf numFmtId="0" fontId="56" fillId="21" borderId="2" xfId="0" applyFont="1" applyFill="1" applyBorder="1" applyAlignment="1" applyProtection="1">
      <alignment horizontal="center" vertical="center" wrapText="1"/>
      <protection hidden="1"/>
    </xf>
    <xf numFmtId="0" fontId="52" fillId="21" borderId="2" xfId="0" applyFont="1" applyFill="1" applyBorder="1" applyAlignment="1" applyProtection="1">
      <alignment horizontal="center" vertical="center" wrapText="1"/>
      <protection hidden="1"/>
    </xf>
    <xf numFmtId="0" fontId="56" fillId="21" borderId="28" xfId="0" applyFont="1" applyFill="1" applyBorder="1" applyAlignment="1" applyProtection="1">
      <alignment horizontal="center" vertical="center" wrapText="1"/>
      <protection hidden="1"/>
    </xf>
    <xf numFmtId="0" fontId="76" fillId="17" borderId="0" xfId="0" applyFont="1" applyFill="1" applyProtection="1">
      <alignment vertical="center"/>
      <protection hidden="1"/>
    </xf>
    <xf numFmtId="0" fontId="76" fillId="21" borderId="27" xfId="0" applyFont="1" applyFill="1" applyBorder="1" applyProtection="1">
      <alignment vertical="center"/>
      <protection hidden="1"/>
    </xf>
    <xf numFmtId="0" fontId="75" fillId="23" borderId="2" xfId="0" applyFont="1" applyFill="1" applyBorder="1" applyProtection="1">
      <alignment vertical="center"/>
      <protection locked="0"/>
    </xf>
    <xf numFmtId="2" fontId="76" fillId="21" borderId="28" xfId="0" applyNumberFormat="1" applyFont="1" applyFill="1" applyBorder="1" applyAlignment="1" applyProtection="1">
      <alignment horizontal="center" vertical="center"/>
      <protection hidden="1"/>
    </xf>
    <xf numFmtId="1" fontId="54" fillId="18" borderId="0" xfId="0" applyNumberFormat="1" applyFont="1" applyFill="1" applyProtection="1">
      <alignment vertical="center"/>
      <protection hidden="1"/>
    </xf>
    <xf numFmtId="1" fontId="76" fillId="17" borderId="0" xfId="0" applyNumberFormat="1" applyFont="1" applyFill="1" applyProtection="1">
      <alignment vertical="center"/>
      <protection hidden="1"/>
    </xf>
    <xf numFmtId="0" fontId="66" fillId="17" borderId="0" xfId="0" applyFont="1" applyFill="1" applyAlignment="1" applyProtection="1">
      <alignment vertical="center" shrinkToFit="1"/>
      <protection hidden="1"/>
    </xf>
    <xf numFmtId="0" fontId="66" fillId="21" borderId="27" xfId="0" applyFont="1" applyFill="1" applyBorder="1" applyAlignment="1" applyProtection="1">
      <alignment vertical="center" shrinkToFit="1"/>
      <protection hidden="1"/>
    </xf>
    <xf numFmtId="0" fontId="66" fillId="21" borderId="2" xfId="0" applyFont="1" applyFill="1" applyBorder="1" applyProtection="1">
      <alignment vertical="center"/>
      <protection hidden="1"/>
    </xf>
    <xf numFmtId="169" fontId="66" fillId="21" borderId="28" xfId="1" applyNumberFormat="1" applyFont="1" applyFill="1" applyBorder="1" applyAlignment="1" applyProtection="1">
      <alignment horizontal="center" vertical="center" shrinkToFit="1"/>
      <protection hidden="1"/>
    </xf>
    <xf numFmtId="0" fontId="71" fillId="18" borderId="0" xfId="0" applyFont="1" applyFill="1" applyAlignment="1" applyProtection="1">
      <alignment vertical="center" shrinkToFit="1"/>
      <protection hidden="1"/>
    </xf>
    <xf numFmtId="0" fontId="66" fillId="21" borderId="0" xfId="0" applyFont="1" applyFill="1" applyProtection="1">
      <alignment vertical="center"/>
      <protection hidden="1"/>
    </xf>
    <xf numFmtId="168" fontId="56" fillId="21" borderId="0" xfId="0" applyNumberFormat="1" applyFont="1" applyFill="1" applyAlignment="1" applyProtection="1">
      <alignment horizontal="left" vertical="center"/>
      <protection hidden="1"/>
    </xf>
    <xf numFmtId="168" fontId="56" fillId="21" borderId="0" xfId="0" applyNumberFormat="1" applyFont="1" applyFill="1" applyAlignment="1" applyProtection="1">
      <alignment horizontal="right" vertical="center"/>
      <protection hidden="1"/>
    </xf>
    <xf numFmtId="0" fontId="56" fillId="21" borderId="0" xfId="0" applyFont="1" applyFill="1" applyAlignment="1" applyProtection="1">
      <alignment horizontal="right" vertical="center" wrapText="1"/>
      <protection hidden="1"/>
    </xf>
    <xf numFmtId="168" fontId="76" fillId="21" borderId="0" xfId="0" applyNumberFormat="1" applyFont="1" applyFill="1" applyAlignment="1" applyProtection="1">
      <alignment horizontal="center" vertical="center"/>
      <protection hidden="1"/>
    </xf>
    <xf numFmtId="170" fontId="77" fillId="16" borderId="4" xfId="0" applyNumberFormat="1" applyFont="1" applyFill="1" applyBorder="1" applyAlignment="1" applyProtection="1">
      <alignment horizontal="right" vertical="center"/>
      <protection locked="0"/>
    </xf>
    <xf numFmtId="0" fontId="64" fillId="21" borderId="28" xfId="0" applyFont="1" applyFill="1" applyBorder="1" applyAlignment="1" applyProtection="1">
      <protection hidden="1"/>
    </xf>
    <xf numFmtId="0" fontId="67" fillId="21" borderId="0" xfId="0" applyFont="1" applyFill="1" applyAlignment="1" applyProtection="1">
      <alignment horizontal="right" vertical="center"/>
      <protection hidden="1"/>
    </xf>
    <xf numFmtId="168" fontId="56" fillId="21" borderId="0" xfId="0" applyNumberFormat="1" applyFont="1" applyFill="1" applyAlignment="1" applyProtection="1">
      <alignment horizontal="center" vertical="center"/>
      <protection hidden="1"/>
    </xf>
    <xf numFmtId="0" fontId="56" fillId="21" borderId="0" xfId="0" applyFont="1" applyFill="1" applyAlignment="1" applyProtection="1">
      <alignment horizontal="right" vertical="center"/>
      <protection hidden="1"/>
    </xf>
    <xf numFmtId="0" fontId="56" fillId="21" borderId="0" xfId="0" applyFont="1" applyFill="1" applyAlignment="1" applyProtection="1">
      <alignment horizontal="center" vertical="center"/>
      <protection hidden="1"/>
    </xf>
    <xf numFmtId="0" fontId="56" fillId="21" borderId="0" xfId="0" applyFont="1" applyFill="1" applyAlignment="1" applyProtection="1">
      <alignment horizontal="left" vertical="center"/>
      <protection hidden="1"/>
    </xf>
    <xf numFmtId="0" fontId="67" fillId="21" borderId="28" xfId="0" applyFont="1" applyFill="1" applyBorder="1" applyAlignment="1" applyProtection="1">
      <alignment horizontal="center"/>
      <protection hidden="1"/>
    </xf>
    <xf numFmtId="168" fontId="52" fillId="21" borderId="0" xfId="0" applyNumberFormat="1" applyFont="1" applyFill="1" applyAlignment="1" applyProtection="1">
      <alignment horizontal="center" vertical="center"/>
      <protection hidden="1"/>
    </xf>
    <xf numFmtId="0" fontId="65" fillId="21" borderId="28" xfId="0" applyFont="1" applyFill="1" applyBorder="1" applyAlignment="1" applyProtection="1">
      <protection hidden="1"/>
    </xf>
    <xf numFmtId="168" fontId="56" fillId="21" borderId="0" xfId="0" applyNumberFormat="1" applyFont="1" applyFill="1" applyProtection="1">
      <alignment vertical="center"/>
      <protection hidden="1"/>
    </xf>
    <xf numFmtId="43" fontId="67" fillId="21" borderId="0" xfId="0" applyNumberFormat="1" applyFont="1" applyFill="1" applyProtection="1">
      <alignment vertical="center"/>
      <protection hidden="1"/>
    </xf>
    <xf numFmtId="0" fontId="56" fillId="21" borderId="0" xfId="0" applyFont="1" applyFill="1" applyAlignment="1" applyProtection="1">
      <alignment vertical="center" wrapText="1"/>
      <protection hidden="1"/>
    </xf>
    <xf numFmtId="0" fontId="56" fillId="21" borderId="4" xfId="0" applyFont="1" applyFill="1" applyBorder="1" applyAlignment="1" applyProtection="1">
      <alignment vertical="center" wrapText="1"/>
      <protection hidden="1"/>
    </xf>
    <xf numFmtId="0" fontId="56" fillId="21" borderId="4" xfId="0" applyFont="1" applyFill="1" applyBorder="1" applyAlignment="1" applyProtection="1">
      <protection hidden="1"/>
    </xf>
    <xf numFmtId="0" fontId="56" fillId="21" borderId="28" xfId="0" applyFont="1" applyFill="1" applyBorder="1" applyAlignment="1" applyProtection="1">
      <protection hidden="1"/>
    </xf>
    <xf numFmtId="0" fontId="76" fillId="21" borderId="0" xfId="0" applyFont="1" applyFill="1" applyAlignment="1" applyProtection="1">
      <alignment horizontal="left" vertical="center"/>
      <protection hidden="1"/>
    </xf>
    <xf numFmtId="0" fontId="76" fillId="21" borderId="0" xfId="0" applyFont="1" applyFill="1" applyAlignment="1" applyProtection="1">
      <alignment horizontal="right" vertical="center"/>
      <protection hidden="1"/>
    </xf>
    <xf numFmtId="0" fontId="76" fillId="21" borderId="0" xfId="0" applyFont="1" applyFill="1" applyProtection="1">
      <alignment vertical="center"/>
      <protection hidden="1"/>
    </xf>
    <xf numFmtId="0" fontId="76" fillId="21" borderId="28" xfId="0" applyFont="1" applyFill="1" applyBorder="1" applyAlignment="1" applyProtection="1">
      <protection hidden="1"/>
    </xf>
    <xf numFmtId="0" fontId="56" fillId="21" borderId="4" xfId="0" applyFont="1" applyFill="1" applyBorder="1" applyProtection="1">
      <alignment vertical="center"/>
      <protection hidden="1"/>
    </xf>
    <xf numFmtId="0" fontId="76" fillId="17" borderId="0" xfId="0" applyFont="1" applyFill="1" applyAlignment="1" applyProtection="1">
      <alignment vertical="top"/>
      <protection hidden="1"/>
    </xf>
    <xf numFmtId="0" fontId="76" fillId="21" borderId="27" xfId="0" applyFont="1" applyFill="1" applyBorder="1" applyAlignment="1" applyProtection="1">
      <alignment vertical="top"/>
      <protection hidden="1"/>
    </xf>
    <xf numFmtId="0" fontId="76" fillId="21" borderId="0" xfId="0" applyFont="1" applyFill="1" applyAlignment="1" applyProtection="1">
      <alignment vertical="top"/>
      <protection hidden="1"/>
    </xf>
    <xf numFmtId="0" fontId="76" fillId="21" borderId="28" xfId="0" applyFont="1" applyFill="1" applyBorder="1" applyAlignment="1" applyProtection="1">
      <alignment vertical="top"/>
      <protection hidden="1"/>
    </xf>
    <xf numFmtId="0" fontId="54" fillId="18" borderId="0" xfId="0" applyFont="1" applyFill="1" applyAlignment="1" applyProtection="1">
      <alignment vertical="top"/>
      <protection hidden="1"/>
    </xf>
    <xf numFmtId="171" fontId="83" fillId="20" borderId="0" xfId="0" applyNumberFormat="1" applyFont="1" applyFill="1" applyAlignment="1">
      <alignment vertical="center" wrapText="1"/>
    </xf>
    <xf numFmtId="0" fontId="83" fillId="20" borderId="0" xfId="0" applyFont="1" applyFill="1" applyAlignment="1">
      <alignment vertical="center" wrapText="1"/>
    </xf>
    <xf numFmtId="0" fontId="81" fillId="21" borderId="0" xfId="0" applyFont="1" applyFill="1">
      <alignment vertical="center"/>
    </xf>
    <xf numFmtId="0" fontId="82" fillId="20" borderId="0" xfId="0" applyFont="1" applyFill="1" applyAlignment="1">
      <alignment horizontal="center" vertical="center"/>
    </xf>
    <xf numFmtId="0" fontId="82" fillId="21" borderId="8" xfId="0" applyFont="1" applyFill="1" applyBorder="1" applyAlignment="1">
      <alignment horizontal="center" vertical="center"/>
    </xf>
    <xf numFmtId="0" fontId="82" fillId="16" borderId="5" xfId="0" applyFont="1" applyFill="1" applyBorder="1" applyAlignment="1" applyProtection="1">
      <alignment horizontal="center" vertical="center"/>
      <protection locked="0"/>
    </xf>
    <xf numFmtId="0" fontId="82" fillId="21" borderId="0" xfId="0" applyFont="1" applyFill="1" applyAlignment="1">
      <alignment horizontal="center" vertical="center"/>
    </xf>
    <xf numFmtId="0" fontId="82" fillId="21" borderId="0" xfId="0" applyFont="1" applyFill="1" applyAlignment="1">
      <alignment horizontal="right" vertical="center"/>
    </xf>
    <xf numFmtId="0" fontId="82" fillId="21" borderId="9" xfId="0" applyFont="1" applyFill="1" applyBorder="1" applyAlignment="1">
      <alignment horizontal="center" vertical="center"/>
    </xf>
    <xf numFmtId="0" fontId="81" fillId="21" borderId="0" xfId="0" applyFont="1" applyFill="1" applyAlignment="1">
      <alignment horizontal="center" vertical="center"/>
    </xf>
    <xf numFmtId="0" fontId="82" fillId="20" borderId="0" xfId="0" applyFont="1" applyFill="1">
      <alignment vertical="center"/>
    </xf>
    <xf numFmtId="0" fontId="82" fillId="21" borderId="8" xfId="0" applyFont="1" applyFill="1" applyBorder="1">
      <alignment vertical="center"/>
    </xf>
    <xf numFmtId="0" fontId="82" fillId="21" borderId="0" xfId="0" applyFont="1" applyFill="1">
      <alignment vertical="center"/>
    </xf>
    <xf numFmtId="0" fontId="82" fillId="21" borderId="9" xfId="0" applyFont="1" applyFill="1" applyBorder="1">
      <alignment vertical="center"/>
    </xf>
    <xf numFmtId="0" fontId="79" fillId="20" borderId="0" xfId="0" applyFont="1" applyFill="1">
      <alignment vertical="center"/>
    </xf>
    <xf numFmtId="0" fontId="79" fillId="21" borderId="0" xfId="0" applyFont="1" applyFill="1">
      <alignment vertical="center"/>
    </xf>
    <xf numFmtId="0" fontId="79" fillId="21" borderId="0" xfId="0" applyFont="1" applyFill="1" applyAlignment="1"/>
    <xf numFmtId="0" fontId="90" fillId="0" borderId="0" xfId="0" applyFont="1">
      <alignment vertical="center"/>
    </xf>
    <xf numFmtId="0" fontId="96" fillId="17" borderId="0" xfId="94" applyFont="1" applyFill="1" applyProtection="1">
      <alignment vertical="center"/>
      <protection hidden="1"/>
    </xf>
    <xf numFmtId="0" fontId="96" fillId="17" borderId="0" xfId="0" applyFont="1" applyFill="1">
      <alignment vertical="center"/>
    </xf>
    <xf numFmtId="171" fontId="96" fillId="17" borderId="0" xfId="0" applyNumberFormat="1" applyFont="1" applyFill="1" applyAlignment="1">
      <alignment horizontal="right" vertical="center"/>
    </xf>
    <xf numFmtId="0" fontId="96" fillId="17" borderId="0" xfId="0" applyFont="1" applyFill="1" applyAlignment="1">
      <alignment horizontal="right" vertical="center"/>
    </xf>
    <xf numFmtId="0" fontId="96" fillId="17" borderId="0" xfId="94" applyFont="1" applyFill="1" applyAlignment="1" applyProtection="1">
      <alignment horizontal="center" vertical="center"/>
      <protection hidden="1"/>
    </xf>
    <xf numFmtId="0" fontId="96" fillId="17" borderId="0" xfId="94" applyFont="1" applyFill="1" applyAlignment="1" applyProtection="1">
      <alignment horizontal="right" vertical="center"/>
      <protection hidden="1"/>
    </xf>
    <xf numFmtId="0" fontId="97" fillId="17" borderId="0" xfId="94" applyFont="1" applyFill="1" applyProtection="1">
      <alignment vertical="center"/>
      <protection hidden="1"/>
    </xf>
    <xf numFmtId="0" fontId="97" fillId="17" borderId="0" xfId="94" applyFont="1" applyFill="1" applyAlignment="1" applyProtection="1">
      <alignment horizontal="center" vertical="center"/>
      <protection hidden="1"/>
    </xf>
    <xf numFmtId="0" fontId="97" fillId="17" borderId="0" xfId="94" applyFont="1" applyFill="1" applyAlignment="1" applyProtection="1">
      <alignment horizontal="right" vertical="center"/>
      <protection hidden="1"/>
    </xf>
    <xf numFmtId="0" fontId="98" fillId="17" borderId="0" xfId="94" applyFont="1" applyFill="1" applyProtection="1">
      <alignment vertical="center"/>
      <protection hidden="1"/>
    </xf>
    <xf numFmtId="0" fontId="98" fillId="17" borderId="0" xfId="94" applyFont="1" applyFill="1" applyAlignment="1" applyProtection="1">
      <alignment horizontal="center" vertical="center"/>
      <protection hidden="1"/>
    </xf>
    <xf numFmtId="0" fontId="98" fillId="17" borderId="0" xfId="94" applyFont="1" applyFill="1" applyAlignment="1" applyProtection="1">
      <alignment horizontal="right" vertical="center"/>
      <protection hidden="1"/>
    </xf>
    <xf numFmtId="0" fontId="90" fillId="0" borderId="0" xfId="0" applyFont="1" applyProtection="1">
      <alignment vertical="center"/>
      <protection locked="0"/>
    </xf>
    <xf numFmtId="0" fontId="92" fillId="0" borderId="0" xfId="0" applyFont="1" applyProtection="1">
      <alignment vertical="center"/>
      <protection locked="0"/>
    </xf>
    <xf numFmtId="0" fontId="94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93" fillId="0" borderId="0" xfId="0" applyFont="1">
      <alignment vertical="center"/>
    </xf>
    <xf numFmtId="0" fontId="92" fillId="0" borderId="0" xfId="0" applyFont="1">
      <alignment vertical="center"/>
    </xf>
    <xf numFmtId="171" fontId="54" fillId="18" borderId="0" xfId="94" applyNumberFormat="1" applyFont="1" applyFill="1" applyAlignment="1" applyProtection="1">
      <alignment horizontal="left" vertical="center"/>
      <protection hidden="1"/>
    </xf>
    <xf numFmtId="0" fontId="54" fillId="18" borderId="0" xfId="94" applyFont="1" applyFill="1" applyAlignment="1" applyProtection="1">
      <alignment horizontal="left" vertical="center"/>
      <protection hidden="1"/>
    </xf>
    <xf numFmtId="182" fontId="56" fillId="16" borderId="4" xfId="94" applyNumberFormat="1" applyFont="1" applyFill="1" applyBorder="1" applyAlignment="1" applyProtection="1">
      <alignment horizontal="right" vertical="center"/>
      <protection locked="0"/>
    </xf>
    <xf numFmtId="0" fontId="64" fillId="21" borderId="0" xfId="94" applyFont="1" applyFill="1" applyAlignment="1" applyProtection="1">
      <alignment horizontal="right" vertical="center"/>
      <protection hidden="1"/>
    </xf>
    <xf numFmtId="0" fontId="56" fillId="21" borderId="0" xfId="94" applyFont="1" applyFill="1" applyAlignment="1" applyProtection="1">
      <alignment horizontal="left" vertical="center"/>
      <protection locked="0"/>
    </xf>
    <xf numFmtId="0" fontId="56" fillId="21" borderId="0" xfId="94" applyFont="1" applyFill="1" applyAlignment="1" applyProtection="1">
      <alignment horizontal="left" vertical="center"/>
      <protection hidden="1"/>
    </xf>
    <xf numFmtId="0" fontId="54" fillId="18" borderId="0" xfId="94" applyFont="1" applyFill="1" applyAlignment="1" applyProtection="1">
      <alignment horizontal="center" vertical="center"/>
      <protection hidden="1"/>
    </xf>
    <xf numFmtId="0" fontId="54" fillId="18" borderId="0" xfId="94" applyFont="1" applyFill="1" applyProtection="1">
      <alignment vertical="center"/>
      <protection hidden="1"/>
    </xf>
    <xf numFmtId="182" fontId="56" fillId="21" borderId="4" xfId="94" applyNumberFormat="1" applyFont="1" applyFill="1" applyBorder="1" applyAlignment="1" applyProtection="1">
      <alignment horizontal="right" vertical="center"/>
      <protection hidden="1"/>
    </xf>
    <xf numFmtId="0" fontId="54" fillId="18" borderId="0" xfId="109" applyFont="1" applyFill="1" applyAlignment="1" applyProtection="1">
      <alignment horizontal="center" vertical="center"/>
      <protection hidden="1"/>
    </xf>
    <xf numFmtId="0" fontId="56" fillId="21" borderId="0" xfId="94" applyFont="1" applyFill="1" applyProtection="1">
      <alignment vertical="center"/>
      <protection hidden="1"/>
    </xf>
    <xf numFmtId="43" fontId="56" fillId="21" borderId="16" xfId="1" applyFont="1" applyFill="1" applyBorder="1" applyAlignment="1" applyProtection="1">
      <alignment horizontal="right" vertical="center"/>
      <protection hidden="1"/>
    </xf>
    <xf numFmtId="9" fontId="54" fillId="18" borderId="0" xfId="94" applyNumberFormat="1" applyFont="1" applyFill="1" applyAlignment="1" applyProtection="1">
      <alignment horizontal="left" vertical="center"/>
      <protection hidden="1"/>
    </xf>
    <xf numFmtId="0" fontId="67" fillId="21" borderId="0" xfId="94" applyFont="1" applyFill="1" applyAlignment="1" applyProtection="1">
      <alignment horizontal="right" vertical="center"/>
      <protection hidden="1"/>
    </xf>
    <xf numFmtId="0" fontId="54" fillId="18" borderId="0" xfId="94" applyFont="1" applyFill="1" applyAlignment="1" applyProtection="1">
      <alignment horizontal="right" vertical="center" wrapText="1"/>
      <protection hidden="1"/>
    </xf>
    <xf numFmtId="0" fontId="67" fillId="21" borderId="0" xfId="94" applyFont="1" applyFill="1" applyAlignment="1" applyProtection="1">
      <alignment horizontal="left" vertical="center"/>
      <protection hidden="1"/>
    </xf>
    <xf numFmtId="182" fontId="56" fillId="21" borderId="19" xfId="60" applyNumberFormat="1" applyFont="1" applyFill="1" applyBorder="1" applyAlignment="1" applyProtection="1">
      <alignment horizontal="right" vertical="center"/>
      <protection hidden="1"/>
    </xf>
    <xf numFmtId="182" fontId="63" fillId="21" borderId="16" xfId="1" applyNumberFormat="1" applyFont="1" applyFill="1" applyBorder="1" applyAlignment="1" applyProtection="1">
      <alignment horizontal="right" vertical="center"/>
      <protection hidden="1"/>
    </xf>
    <xf numFmtId="182" fontId="56" fillId="21" borderId="16" xfId="1" applyNumberFormat="1" applyFont="1" applyFill="1" applyBorder="1" applyAlignment="1" applyProtection="1">
      <alignment horizontal="right" vertical="center"/>
      <protection hidden="1"/>
    </xf>
    <xf numFmtId="182" fontId="56" fillId="16" borderId="16" xfId="1" applyNumberFormat="1" applyFont="1" applyFill="1" applyBorder="1" applyAlignment="1">
      <alignment horizontal="right" vertical="center"/>
      <protection locked="0"/>
    </xf>
    <xf numFmtId="0" fontId="82" fillId="16" borderId="16" xfId="0" applyFont="1" applyFill="1" applyBorder="1" applyAlignment="1" applyProtection="1">
      <alignment horizontal="left" vertical="center"/>
      <protection locked="0"/>
    </xf>
    <xf numFmtId="182" fontId="56" fillId="16" borderId="16" xfId="94" applyNumberFormat="1" applyFont="1" applyFill="1" applyBorder="1" applyAlignment="1" applyProtection="1">
      <alignment horizontal="right" vertical="center"/>
      <protection locked="0"/>
    </xf>
    <xf numFmtId="0" fontId="56" fillId="21" borderId="14" xfId="94" applyFont="1" applyFill="1" applyBorder="1" applyAlignment="1" applyProtection="1">
      <alignment horizontal="left" vertical="center"/>
      <protection hidden="1"/>
    </xf>
    <xf numFmtId="0" fontId="56" fillId="21" borderId="14" xfId="94" applyFont="1" applyFill="1" applyBorder="1" applyProtection="1">
      <alignment vertical="center"/>
      <protection hidden="1"/>
    </xf>
    <xf numFmtId="0" fontId="56" fillId="21" borderId="14" xfId="94" applyFont="1" applyFill="1" applyBorder="1" applyAlignment="1" applyProtection="1">
      <alignment horizontal="right" vertical="center"/>
      <protection hidden="1"/>
    </xf>
    <xf numFmtId="182" fontId="69" fillId="18" borderId="16" xfId="1" applyNumberFormat="1" applyFont="1" applyFill="1" applyBorder="1" applyAlignment="1" applyProtection="1">
      <alignment horizontal="right" vertical="center"/>
      <protection hidden="1"/>
    </xf>
    <xf numFmtId="182" fontId="56" fillId="0" borderId="16" xfId="94" applyNumberFormat="1" applyFont="1" applyBorder="1" applyAlignment="1" applyProtection="1">
      <alignment horizontal="right" vertical="center"/>
      <protection hidden="1"/>
    </xf>
    <xf numFmtId="0" fontId="82" fillId="16" borderId="4" xfId="0" applyFont="1" applyFill="1" applyBorder="1" applyAlignment="1" applyProtection="1">
      <alignment horizontal="left" vertical="center"/>
      <protection locked="0"/>
    </xf>
    <xf numFmtId="49" fontId="82" fillId="16" borderId="16" xfId="0" applyNumberFormat="1" applyFont="1" applyFill="1" applyBorder="1" applyAlignment="1" applyProtection="1">
      <alignment horizontal="left" vertical="center"/>
      <protection locked="0"/>
    </xf>
    <xf numFmtId="0" fontId="67" fillId="21" borderId="0" xfId="94" applyFont="1" applyFill="1" applyProtection="1">
      <alignment vertical="center"/>
      <protection hidden="1"/>
    </xf>
    <xf numFmtId="0" fontId="65" fillId="21" borderId="0" xfId="94" applyFont="1" applyFill="1" applyAlignment="1" applyProtection="1">
      <alignment horizontal="center" vertical="center"/>
      <protection hidden="1"/>
    </xf>
    <xf numFmtId="182" fontId="56" fillId="21" borderId="19" xfId="57" applyNumberFormat="1" applyFont="1" applyFill="1" applyBorder="1" applyAlignment="1" applyProtection="1">
      <alignment horizontal="right" vertical="center"/>
      <protection hidden="1"/>
    </xf>
    <xf numFmtId="182" fontId="66" fillId="21" borderId="21" xfId="94" applyNumberFormat="1" applyFont="1" applyFill="1" applyBorder="1" applyAlignment="1" applyProtection="1">
      <alignment horizontal="center" vertical="center"/>
      <protection hidden="1"/>
    </xf>
    <xf numFmtId="182" fontId="66" fillId="21" borderId="22" xfId="94" applyNumberFormat="1" applyFont="1" applyFill="1" applyBorder="1" applyAlignment="1" applyProtection="1">
      <alignment horizontal="center" vertical="center"/>
      <protection hidden="1"/>
    </xf>
    <xf numFmtId="0" fontId="82" fillId="21" borderId="0" xfId="0" applyFont="1" applyFill="1" applyAlignment="1">
      <alignment horizontal="left" vertical="center"/>
    </xf>
    <xf numFmtId="182" fontId="63" fillId="21" borderId="4" xfId="54" applyNumberFormat="1" applyFont="1" applyFill="1" applyBorder="1" applyAlignment="1" applyProtection="1">
      <alignment horizontal="right" vertical="center"/>
      <protection hidden="1"/>
    </xf>
    <xf numFmtId="0" fontId="85" fillId="19" borderId="14" xfId="0" applyFont="1" applyFill="1" applyBorder="1" applyAlignment="1" applyProtection="1">
      <alignment horizontal="center" vertical="center"/>
      <protection locked="0"/>
    </xf>
    <xf numFmtId="182" fontId="56" fillId="21" borderId="18" xfId="94" applyNumberFormat="1" applyFont="1" applyFill="1" applyBorder="1" applyAlignment="1" applyProtection="1">
      <alignment horizontal="right" vertical="center"/>
      <protection hidden="1"/>
    </xf>
    <xf numFmtId="0" fontId="82" fillId="21" borderId="0" xfId="0" applyFont="1" applyFill="1" applyAlignment="1">
      <alignment horizontal="right" vertical="center"/>
    </xf>
    <xf numFmtId="0" fontId="61" fillId="21" borderId="16" xfId="94" applyFont="1" applyFill="1" applyBorder="1" applyAlignment="1" applyProtection="1">
      <alignment horizontal="right" vertical="center"/>
      <protection hidden="1"/>
    </xf>
    <xf numFmtId="0" fontId="56" fillId="21" borderId="0" xfId="94" applyFont="1" applyFill="1" applyAlignment="1" applyProtection="1">
      <alignment horizontal="right" vertical="center"/>
      <protection hidden="1"/>
    </xf>
    <xf numFmtId="0" fontId="82" fillId="21" borderId="0" xfId="0" applyFont="1" applyFill="1" applyAlignment="1">
      <alignment horizontal="center" vertical="center"/>
    </xf>
    <xf numFmtId="0" fontId="58" fillId="21" borderId="17" xfId="94" applyFont="1" applyFill="1" applyBorder="1" applyAlignment="1" applyProtection="1">
      <alignment horizontal="center" vertical="center"/>
      <protection hidden="1"/>
    </xf>
    <xf numFmtId="182" fontId="56" fillId="21" borderId="4" xfId="51" applyNumberFormat="1" applyFont="1" applyFill="1" applyBorder="1" applyAlignment="1" applyProtection="1">
      <alignment horizontal="right" vertical="center"/>
      <protection hidden="1"/>
    </xf>
    <xf numFmtId="0" fontId="84" fillId="20" borderId="14" xfId="0" applyFont="1" applyFill="1" applyBorder="1" applyAlignment="1">
      <alignment horizontal="right" vertical="center" wrapText="1"/>
    </xf>
    <xf numFmtId="0" fontId="85" fillId="19" borderId="20" xfId="0" applyFont="1" applyFill="1" applyBorder="1" applyAlignment="1" applyProtection="1">
      <alignment horizontal="center" vertical="center"/>
      <protection locked="0"/>
    </xf>
    <xf numFmtId="170" fontId="56" fillId="21" borderId="0" xfId="1" applyNumberFormat="1" applyFont="1" applyFill="1" applyAlignment="1" applyProtection="1">
      <alignment horizontal="right" vertical="center"/>
      <protection hidden="1"/>
    </xf>
    <xf numFmtId="182" fontId="63" fillId="21" borderId="12" xfId="1" applyNumberFormat="1" applyFont="1" applyFill="1" applyBorder="1" applyAlignment="1" applyProtection="1">
      <alignment horizontal="right" vertical="center"/>
      <protection hidden="1"/>
    </xf>
    <xf numFmtId="182" fontId="63" fillId="21" borderId="21" xfId="1" applyNumberFormat="1" applyFont="1" applyFill="1" applyBorder="1" applyAlignment="1" applyProtection="1">
      <alignment horizontal="right" vertical="center"/>
      <protection hidden="1"/>
    </xf>
    <xf numFmtId="182" fontId="63" fillId="21" borderId="22" xfId="1" applyNumberFormat="1" applyFont="1" applyFill="1" applyBorder="1" applyAlignment="1" applyProtection="1">
      <alignment horizontal="right" vertical="center"/>
      <protection hidden="1"/>
    </xf>
    <xf numFmtId="182" fontId="63" fillId="21" borderId="4" xfId="1" applyNumberFormat="1" applyFont="1" applyFill="1" applyBorder="1" applyAlignment="1" applyProtection="1">
      <alignment horizontal="right" vertical="center"/>
      <protection hidden="1"/>
    </xf>
    <xf numFmtId="0" fontId="82" fillId="16" borderId="16" xfId="0" applyFont="1" applyFill="1" applyBorder="1" applyAlignment="1" applyProtection="1">
      <alignment horizontal="center" vertical="center"/>
      <protection locked="0"/>
    </xf>
    <xf numFmtId="0" fontId="61" fillId="21" borderId="0" xfId="94" applyFont="1" applyFill="1" applyAlignment="1" applyProtection="1">
      <alignment horizontal="left" vertical="center"/>
      <protection hidden="1"/>
    </xf>
    <xf numFmtId="0" fontId="86" fillId="20" borderId="0" xfId="0" applyFont="1" applyFill="1" applyAlignment="1">
      <alignment horizontal="center" vertical="center"/>
    </xf>
    <xf numFmtId="183" fontId="76" fillId="21" borderId="29" xfId="123" applyNumberFormat="1" applyFont="1" applyFill="1" applyBorder="1" applyAlignment="1" applyProtection="1">
      <alignment horizontal="left" vertical="center"/>
      <protection hidden="1"/>
    </xf>
    <xf numFmtId="183" fontId="76" fillId="21" borderId="30" xfId="123" applyNumberFormat="1" applyFont="1" applyFill="1" applyBorder="1" applyAlignment="1" applyProtection="1">
      <alignment horizontal="left" vertical="center"/>
      <protection hidden="1"/>
    </xf>
    <xf numFmtId="0" fontId="76" fillId="21" borderId="0" xfId="0" applyFont="1" applyFill="1" applyAlignment="1" applyProtection="1">
      <alignment horizontal="left" vertical="top"/>
      <protection hidden="1"/>
    </xf>
    <xf numFmtId="14" fontId="76" fillId="18" borderId="4" xfId="0" applyNumberFormat="1" applyFont="1" applyFill="1" applyBorder="1" applyAlignment="1" applyProtection="1">
      <alignment horizontal="left" vertical="top"/>
      <protection hidden="1"/>
    </xf>
    <xf numFmtId="0" fontId="76" fillId="16" borderId="4" xfId="0" applyFont="1" applyFill="1" applyBorder="1" applyAlignment="1" applyProtection="1">
      <alignment horizontal="left" vertical="top" wrapText="1"/>
      <protection locked="0"/>
    </xf>
    <xf numFmtId="0" fontId="76" fillId="16" borderId="4" xfId="0" applyFont="1" applyFill="1" applyBorder="1" applyAlignment="1" applyProtection="1">
      <alignment horizontal="left" vertical="top"/>
      <protection locked="0"/>
    </xf>
    <xf numFmtId="0" fontId="67" fillId="21" borderId="0" xfId="0" applyFont="1" applyFill="1" applyAlignment="1" applyProtection="1">
      <alignment horizontal="center"/>
      <protection hidden="1"/>
    </xf>
    <xf numFmtId="0" fontId="80" fillId="21" borderId="0" xfId="0" applyFont="1" applyFill="1" applyAlignment="1">
      <alignment horizontal="center" vertical="center"/>
    </xf>
    <xf numFmtId="0" fontId="79" fillId="21" borderId="0" xfId="0" applyFont="1" applyFill="1" applyAlignment="1">
      <alignment horizontal="center" vertical="center"/>
    </xf>
    <xf numFmtId="0" fontId="78" fillId="23" borderId="29" xfId="1" applyNumberFormat="1" applyFont="1" applyFill="1" applyBorder="1" applyAlignment="1" applyProtection="1">
      <alignment horizontal="center" vertical="center"/>
      <protection hidden="1"/>
    </xf>
    <xf numFmtId="0" fontId="78" fillId="23" borderId="30" xfId="1" applyNumberFormat="1" applyFont="1" applyFill="1" applyBorder="1" applyAlignment="1" applyProtection="1">
      <alignment horizontal="center" vertical="center"/>
      <protection hidden="1"/>
    </xf>
    <xf numFmtId="0" fontId="76" fillId="21" borderId="0" xfId="0" applyFont="1" applyFill="1" applyAlignment="1" applyProtection="1">
      <alignment horizontal="center" vertical="center"/>
      <protection hidden="1"/>
    </xf>
    <xf numFmtId="0" fontId="76" fillId="21" borderId="0" xfId="0" applyFont="1" applyFill="1" applyAlignment="1" applyProtection="1">
      <protection hidden="1"/>
    </xf>
    <xf numFmtId="0" fontId="67" fillId="21" borderId="0" xfId="0" applyFont="1" applyFill="1" applyAlignment="1" applyProtection="1">
      <alignment horizontal="center" vertical="center" wrapText="1"/>
      <protection hidden="1"/>
    </xf>
    <xf numFmtId="0" fontId="67" fillId="21" borderId="0" xfId="0" applyFont="1" applyFill="1" applyAlignment="1" applyProtection="1">
      <alignment horizontal="center" wrapText="1"/>
      <protection hidden="1"/>
    </xf>
    <xf numFmtId="0" fontId="76" fillId="21" borderId="0" xfId="0" applyFont="1" applyFill="1" applyAlignment="1" applyProtection="1">
      <alignment horizontal="left" vertical="center" wrapText="1"/>
      <protection hidden="1"/>
    </xf>
    <xf numFmtId="0" fontId="79" fillId="21" borderId="0" xfId="0" applyFont="1" applyFill="1" applyAlignment="1">
      <alignment horizontal="right" vertical="center"/>
    </xf>
    <xf numFmtId="0" fontId="56" fillId="16" borderId="4" xfId="0" applyFont="1" applyFill="1" applyBorder="1" applyAlignment="1" applyProtection="1">
      <alignment horizontal="left" vertical="center"/>
      <protection locked="0"/>
    </xf>
    <xf numFmtId="0" fontId="76" fillId="21" borderId="0" xfId="0" applyFont="1" applyFill="1" applyAlignment="1" applyProtection="1">
      <alignment horizontal="center"/>
      <protection hidden="1"/>
    </xf>
    <xf numFmtId="168" fontId="66" fillId="21" borderId="2" xfId="0" applyNumberFormat="1" applyFont="1" applyFill="1" applyBorder="1" applyAlignment="1" applyProtection="1">
      <alignment horizontal="center" vertical="center" shrinkToFit="1"/>
      <protection hidden="1"/>
    </xf>
    <xf numFmtId="0" fontId="66" fillId="21" borderId="2" xfId="0" applyFont="1" applyFill="1" applyBorder="1" applyAlignment="1" applyProtection="1">
      <protection hidden="1"/>
    </xf>
    <xf numFmtId="0" fontId="73" fillId="17" borderId="0" xfId="0" applyFont="1" applyFill="1" applyAlignment="1" applyProtection="1">
      <alignment horizontal="right" vertical="center"/>
      <protection hidden="1"/>
    </xf>
    <xf numFmtId="0" fontId="58" fillId="21" borderId="25" xfId="0" applyFont="1" applyFill="1" applyBorder="1" applyAlignment="1" applyProtection="1">
      <alignment horizontal="left" vertical="top"/>
      <protection hidden="1"/>
    </xf>
    <xf numFmtId="0" fontId="76" fillId="21" borderId="4" xfId="0" applyFont="1" applyFill="1" applyBorder="1" applyAlignment="1" applyProtection="1">
      <alignment horizontal="center" vertical="center"/>
      <protection hidden="1"/>
    </xf>
    <xf numFmtId="0" fontId="52" fillId="21" borderId="0" xfId="0" applyFont="1" applyFill="1" applyAlignment="1" applyProtection="1">
      <alignment horizontal="right" vertical="center"/>
      <protection hidden="1"/>
    </xf>
    <xf numFmtId="167" fontId="76" fillId="21" borderId="29" xfId="0" applyNumberFormat="1" applyFont="1" applyFill="1" applyBorder="1" applyAlignment="1" applyProtection="1">
      <alignment horizontal="left" vertical="center"/>
      <protection hidden="1"/>
    </xf>
    <xf numFmtId="167" fontId="76" fillId="21" borderId="30" xfId="0" applyNumberFormat="1" applyFont="1" applyFill="1" applyBorder="1" applyAlignment="1" applyProtection="1">
      <alignment horizontal="left" vertical="center"/>
      <protection hidden="1"/>
    </xf>
    <xf numFmtId="0" fontId="56" fillId="21" borderId="2" xfId="0" applyFont="1" applyFill="1" applyBorder="1" applyAlignment="1" applyProtection="1">
      <alignment horizontal="center" vertical="center" wrapText="1"/>
      <protection hidden="1"/>
    </xf>
    <xf numFmtId="0" fontId="56" fillId="21" borderId="2" xfId="0" applyFont="1" applyFill="1" applyBorder="1" applyAlignment="1" applyProtection="1">
      <protection hidden="1"/>
    </xf>
    <xf numFmtId="0" fontId="75" fillId="22" borderId="23" xfId="0" applyFont="1" applyFill="1" applyBorder="1" applyAlignment="1" applyProtection="1">
      <alignment horizontal="center" vertical="center"/>
      <protection hidden="1"/>
    </xf>
    <xf numFmtId="0" fontId="46" fillId="17" borderId="0" xfId="0" applyFont="1" applyFill="1" applyAlignment="1" applyProtection="1">
      <alignment horizontal="center" vertical="center"/>
      <protection hidden="1"/>
    </xf>
    <xf numFmtId="0" fontId="30" fillId="18" borderId="17" xfId="0" applyFont="1" applyFill="1" applyBorder="1" applyAlignment="1" applyProtection="1">
      <alignment horizontal="center" vertical="center"/>
      <protection hidden="1"/>
    </xf>
    <xf numFmtId="0" fontId="49" fillId="17" borderId="0" xfId="0" applyFont="1" applyFill="1" applyAlignment="1" applyProtection="1">
      <alignment horizontal="center" vertical="center"/>
      <protection hidden="1"/>
    </xf>
    <xf numFmtId="0" fontId="49" fillId="17" borderId="0" xfId="0" applyFont="1" applyFill="1" applyProtection="1">
      <alignment vertical="center"/>
      <protection hidden="1"/>
    </xf>
    <xf numFmtId="182" fontId="1" fillId="18" borderId="18" xfId="50" applyNumberFormat="1" applyFont="1" applyFill="1" applyBorder="1" applyAlignment="1" applyProtection="1">
      <alignment horizontal="right" vertical="center"/>
      <protection hidden="1"/>
    </xf>
    <xf numFmtId="182" fontId="1" fillId="18" borderId="4" xfId="0" applyNumberFormat="1" applyFont="1" applyFill="1" applyBorder="1" applyAlignment="1" applyProtection="1">
      <alignment horizontal="right" vertical="center"/>
      <protection hidden="1"/>
    </xf>
    <xf numFmtId="182" fontId="1" fillId="19" borderId="16" xfId="1" applyNumberFormat="1" applyFont="1" applyFill="1" applyBorder="1" applyAlignment="1">
      <alignment horizontal="right" vertical="center"/>
      <protection locked="0"/>
    </xf>
    <xf numFmtId="0" fontId="1" fillId="18" borderId="0" xfId="0" applyFont="1" applyFill="1" applyAlignment="1" applyProtection="1">
      <alignment horizontal="left" vertical="center"/>
      <protection hidden="1"/>
    </xf>
    <xf numFmtId="0" fontId="26" fillId="18" borderId="0" xfId="0" applyFont="1" applyFill="1" applyAlignment="1" applyProtection="1">
      <alignment horizontal="left" vertical="center"/>
      <protection hidden="1"/>
    </xf>
    <xf numFmtId="0" fontId="1" fillId="18" borderId="0" xfId="0" applyFont="1" applyFill="1" applyAlignment="1" applyProtection="1">
      <alignment horizontal="left" vertical="center" readingOrder="1"/>
      <protection hidden="1"/>
    </xf>
    <xf numFmtId="0" fontId="1" fillId="18" borderId="16" xfId="0" applyFont="1" applyFill="1" applyBorder="1" applyAlignment="1" applyProtection="1">
      <alignment horizontal="left" vertical="center"/>
      <protection hidden="1"/>
    </xf>
    <xf numFmtId="0" fontId="1" fillId="18" borderId="4" xfId="0" applyFont="1" applyFill="1" applyBorder="1" applyAlignment="1" applyProtection="1">
      <alignment horizontal="left" vertical="center" readingOrder="1"/>
      <protection hidden="1"/>
    </xf>
    <xf numFmtId="182" fontId="1" fillId="18" borderId="16" xfId="0" applyNumberFormat="1" applyFont="1" applyFill="1" applyBorder="1" applyAlignment="1" applyProtection="1">
      <alignment horizontal="right" vertical="center"/>
      <protection hidden="1"/>
    </xf>
    <xf numFmtId="0" fontId="1" fillId="18" borderId="0" xfId="0" applyFont="1" applyFill="1" applyAlignment="1" applyProtection="1">
      <alignment horizontal="right" vertical="center"/>
      <protection hidden="1"/>
    </xf>
    <xf numFmtId="0" fontId="49" fillId="17" borderId="0" xfId="109" applyFont="1" applyFill="1" applyAlignment="1" applyProtection="1">
      <alignment horizontal="center" vertical="center"/>
      <protection hidden="1"/>
    </xf>
    <xf numFmtId="0" fontId="32" fillId="18" borderId="0" xfId="0" applyFont="1" applyFill="1" applyProtection="1">
      <alignment vertical="center"/>
      <protection hidden="1"/>
    </xf>
    <xf numFmtId="182" fontId="1" fillId="19" borderId="16" xfId="0" applyNumberFormat="1" applyFont="1" applyFill="1" applyBorder="1" applyAlignment="1" applyProtection="1">
      <alignment horizontal="right" vertical="center"/>
      <protection locked="0"/>
    </xf>
    <xf numFmtId="182" fontId="1" fillId="18" borderId="18" xfId="160" applyNumberFormat="1" applyFont="1" applyFill="1" applyBorder="1" applyAlignment="1" applyProtection="1">
      <alignment horizontal="right" vertical="center"/>
      <protection hidden="1"/>
    </xf>
    <xf numFmtId="182" fontId="21" fillId="18" borderId="4" xfId="53" applyNumberFormat="1" applyFont="1" applyFill="1" applyBorder="1" applyAlignment="1" applyProtection="1">
      <alignment horizontal="right" vertical="center"/>
      <protection hidden="1"/>
    </xf>
    <xf numFmtId="182" fontId="21" fillId="18" borderId="16" xfId="1" applyNumberFormat="1" applyFont="1" applyFill="1" applyBorder="1" applyAlignment="1" applyProtection="1">
      <alignment horizontal="right" vertical="center"/>
      <protection hidden="1"/>
    </xf>
    <xf numFmtId="0" fontId="32" fillId="18" borderId="0" xfId="0" applyFont="1" applyFill="1" applyAlignment="1" applyProtection="1">
      <alignment horizontal="right" vertical="center"/>
      <protection hidden="1"/>
    </xf>
    <xf numFmtId="182" fontId="1" fillId="18" borderId="19" xfId="59" applyNumberFormat="1" applyFont="1" applyFill="1" applyBorder="1" applyAlignment="1" applyProtection="1">
      <alignment horizontal="right" vertical="center"/>
      <protection hidden="1"/>
    </xf>
    <xf numFmtId="182" fontId="1" fillId="18" borderId="16" xfId="1" applyNumberFormat="1" applyFont="1" applyFill="1" applyBorder="1" applyAlignment="1" applyProtection="1">
      <alignment horizontal="right" vertical="center"/>
      <protection hidden="1"/>
    </xf>
    <xf numFmtId="182" fontId="35" fillId="19" borderId="16" xfId="1" applyNumberFormat="1" applyFont="1" applyFill="1" applyBorder="1" applyAlignment="1">
      <alignment horizontal="right" vertical="center"/>
      <protection locked="0"/>
    </xf>
    <xf numFmtId="0" fontId="32" fillId="18" borderId="0" xfId="0" applyFont="1" applyFill="1" applyAlignment="1" applyProtection="1">
      <alignment horizontal="left" vertical="center"/>
      <protection hidden="1"/>
    </xf>
    <xf numFmtId="43" fontId="1" fillId="18" borderId="16" xfId="1" applyFont="1" applyFill="1" applyBorder="1" applyAlignment="1" applyProtection="1">
      <alignment horizontal="right" vertical="center"/>
      <protection hidden="1"/>
    </xf>
    <xf numFmtId="0" fontId="1" fillId="18" borderId="16" xfId="0" applyFont="1" applyFill="1" applyBorder="1" applyAlignment="1" applyProtection="1">
      <alignment horizontal="left" vertical="center" readingOrder="1"/>
      <protection hidden="1"/>
    </xf>
    <xf numFmtId="0" fontId="1" fillId="18" borderId="0" xfId="0" applyFont="1" applyFill="1" applyAlignment="1" applyProtection="1">
      <alignment horizontal="center" vertical="center" readingOrder="1"/>
      <protection hidden="1"/>
    </xf>
    <xf numFmtId="0" fontId="1" fillId="18" borderId="0" xfId="0" applyFont="1" applyFill="1" applyAlignment="1" applyProtection="1">
      <alignment horizontal="center" vertical="center"/>
      <protection hidden="1"/>
    </xf>
    <xf numFmtId="182" fontId="21" fillId="18" borderId="4" xfId="1" applyNumberFormat="1" applyFont="1" applyFill="1" applyBorder="1" applyAlignment="1" applyProtection="1">
      <alignment horizontal="right" vertical="center"/>
      <protection hidden="1"/>
    </xf>
    <xf numFmtId="0" fontId="33" fillId="18" borderId="0" xfId="0" applyFont="1" applyFill="1" applyAlignment="1" applyProtection="1">
      <alignment horizontal="right" vertical="center"/>
      <protection hidden="1"/>
    </xf>
    <xf numFmtId="0" fontId="4" fillId="18" borderId="0" xfId="94" applyFont="1" applyFill="1" applyAlignment="1" applyProtection="1">
      <alignment horizontal="left" vertical="center"/>
      <protection hidden="1"/>
    </xf>
    <xf numFmtId="182" fontId="21" fillId="18" borderId="12" xfId="1" applyNumberFormat="1" applyFont="1" applyFill="1" applyBorder="1" applyAlignment="1" applyProtection="1">
      <alignment horizontal="right" vertical="center"/>
      <protection hidden="1"/>
    </xf>
    <xf numFmtId="182" fontId="21" fillId="18" borderId="21" xfId="1" applyNumberFormat="1" applyFont="1" applyFill="1" applyBorder="1" applyAlignment="1" applyProtection="1">
      <alignment horizontal="right" vertical="center"/>
      <protection hidden="1"/>
    </xf>
    <xf numFmtId="182" fontId="21" fillId="18" borderId="22" xfId="1" applyNumberFormat="1" applyFont="1" applyFill="1" applyBorder="1" applyAlignment="1" applyProtection="1">
      <alignment horizontal="right" vertical="center"/>
      <protection hidden="1"/>
    </xf>
    <xf numFmtId="0" fontId="1" fillId="18" borderId="0" xfId="0" applyFont="1" applyFill="1" applyAlignment="1" applyProtection="1">
      <alignment horizontal="left" vertical="center"/>
      <protection locked="0"/>
    </xf>
    <xf numFmtId="182" fontId="1" fillId="18" borderId="18" xfId="0" applyNumberFormat="1" applyFont="1" applyFill="1" applyBorder="1" applyAlignment="1" applyProtection="1">
      <alignment horizontal="right" vertical="center"/>
      <protection hidden="1"/>
    </xf>
    <xf numFmtId="0" fontId="1" fillId="18" borderId="0" xfId="0" applyFont="1" applyFill="1" applyProtection="1">
      <alignment vertical="center"/>
      <protection hidden="1"/>
    </xf>
    <xf numFmtId="182" fontId="21" fillId="18" borderId="21" xfId="0" applyNumberFormat="1" applyFont="1" applyFill="1" applyBorder="1" applyAlignment="1" applyProtection="1">
      <alignment horizontal="center" vertical="center"/>
      <protection hidden="1"/>
    </xf>
    <xf numFmtId="182" fontId="21" fillId="18" borderId="22" xfId="0" applyNumberFormat="1" applyFont="1" applyFill="1" applyBorder="1" applyAlignment="1" applyProtection="1">
      <alignment horizontal="center" vertical="center"/>
      <protection hidden="1"/>
    </xf>
    <xf numFmtId="0" fontId="27" fillId="18" borderId="0" xfId="0" applyFont="1" applyFill="1" applyAlignment="1" applyProtection="1">
      <alignment horizontal="center" vertical="center"/>
      <protection hidden="1"/>
    </xf>
    <xf numFmtId="0" fontId="34" fillId="17" borderId="14" xfId="0" applyFont="1" applyFill="1" applyBorder="1" applyAlignment="1" applyProtection="1">
      <alignment horizontal="center" vertical="center" wrapText="1"/>
      <protection hidden="1"/>
    </xf>
    <xf numFmtId="170" fontId="1" fillId="18" borderId="0" xfId="1" applyNumberFormat="1" applyFont="1" applyFill="1" applyAlignment="1" applyProtection="1">
      <alignment horizontal="right" vertical="center"/>
      <protection hidden="1"/>
    </xf>
    <xf numFmtId="171" fontId="25" fillId="17" borderId="14" xfId="0" applyNumberFormat="1" applyFont="1" applyFill="1" applyBorder="1" applyAlignment="1" applyProtection="1">
      <alignment horizontal="center" vertical="center" wrapText="1"/>
      <protection hidden="1"/>
    </xf>
    <xf numFmtId="0" fontId="25" fillId="19" borderId="20" xfId="0" applyFont="1" applyFill="1" applyBorder="1" applyAlignment="1" applyProtection="1">
      <alignment horizontal="center" vertical="center"/>
      <protection locked="0"/>
    </xf>
    <xf numFmtId="0" fontId="25" fillId="19" borderId="14" xfId="0" applyFont="1" applyFill="1" applyBorder="1" applyAlignment="1" applyProtection="1">
      <alignment horizontal="center" vertical="center"/>
      <protection locked="0"/>
    </xf>
    <xf numFmtId="0" fontId="26" fillId="18" borderId="16" xfId="0" applyFont="1" applyFill="1" applyBorder="1" applyAlignment="1" applyProtection="1">
      <alignment horizontal="right" vertical="center"/>
      <protection hidden="1"/>
    </xf>
    <xf numFmtId="0" fontId="1" fillId="18" borderId="16" xfId="0" applyFont="1" applyFill="1" applyBorder="1" applyAlignment="1" applyProtection="1">
      <alignment horizontal="center" vertical="center" readingOrder="1"/>
      <protection hidden="1"/>
    </xf>
    <xf numFmtId="182" fontId="32" fillId="18" borderId="16" xfId="1" applyNumberFormat="1" applyFont="1" applyFill="1" applyBorder="1" applyAlignment="1" applyProtection="1">
      <alignment horizontal="right" vertical="center"/>
      <protection hidden="1"/>
    </xf>
    <xf numFmtId="9" fontId="49" fillId="17" borderId="0" xfId="0" applyNumberFormat="1" applyFont="1" applyFill="1" applyAlignment="1" applyProtection="1">
      <alignment horizontal="left" vertical="center"/>
      <protection hidden="1"/>
    </xf>
    <xf numFmtId="0" fontId="49" fillId="17" borderId="0" xfId="0" applyFont="1" applyFill="1" applyAlignment="1" applyProtection="1">
      <alignment horizontal="right" vertical="center" wrapText="1"/>
      <protection hidden="1"/>
    </xf>
    <xf numFmtId="171" fontId="49" fillId="17" borderId="0" xfId="0" applyNumberFormat="1" applyFont="1" applyFill="1" applyAlignment="1" applyProtection="1">
      <alignment horizontal="left" vertical="center"/>
      <protection hidden="1"/>
    </xf>
    <xf numFmtId="0" fontId="49" fillId="17" borderId="0" xfId="0" applyFont="1" applyFill="1" applyAlignment="1" applyProtection="1">
      <alignment horizontal="left" vertical="center"/>
      <protection hidden="1"/>
    </xf>
    <xf numFmtId="0" fontId="1" fillId="18" borderId="14" xfId="0" applyFont="1" applyFill="1" applyBorder="1" applyAlignment="1" applyProtection="1">
      <alignment horizontal="left" vertical="center"/>
      <protection hidden="1"/>
    </xf>
    <xf numFmtId="0" fontId="1" fillId="18" borderId="14" xfId="0" applyFont="1" applyFill="1" applyBorder="1" applyProtection="1">
      <alignment vertical="center"/>
      <protection hidden="1"/>
    </xf>
    <xf numFmtId="0" fontId="1" fillId="18" borderId="14" xfId="0" applyFont="1" applyFill="1" applyBorder="1" applyAlignment="1" applyProtection="1">
      <alignment horizontal="right" vertical="center"/>
      <protection hidden="1"/>
    </xf>
    <xf numFmtId="182" fontId="1" fillId="18" borderId="19" xfId="56" applyNumberFormat="1" applyFont="1" applyFill="1" applyBorder="1" applyAlignment="1" applyProtection="1">
      <alignment horizontal="right" vertical="center"/>
      <protection hidden="1"/>
    </xf>
    <xf numFmtId="0" fontId="23" fillId="18" borderId="0" xfId="108" applyFont="1" applyFill="1" applyAlignment="1" applyProtection="1">
      <alignment horizontal="left" vertical="center" wrapText="1"/>
      <protection hidden="1"/>
    </xf>
  </cellXfs>
  <cellStyles count="269">
    <cellStyle name="??                          " xfId="2" xr:uid="{00000000-0005-0000-0000-000006000000}"/>
    <cellStyle name="•W€_G7ATD" xfId="3" xr:uid="{00000000-0005-0000-0000-000007000000}"/>
    <cellStyle name="20% - Accent1 2" xfId="4" xr:uid="{00000000-0005-0000-0000-000009000000}"/>
    <cellStyle name="20% - Accent1 3" xfId="5" xr:uid="{00000000-0005-0000-0000-00000A000000}"/>
    <cellStyle name="20% - Accent1 4" xfId="163" xr:uid="{00000000-0005-0000-0000-0000D0000000}"/>
    <cellStyle name="20% - Accent1 5" xfId="212" xr:uid="{00000000-0005-0000-0000-000001010000}"/>
    <cellStyle name="20% - Accent1 6" xfId="215" xr:uid="{00000000-0005-0000-0000-000004010000}"/>
    <cellStyle name="20% - Accent2 2" xfId="6" xr:uid="{00000000-0005-0000-0000-00000C000000}"/>
    <cellStyle name="20% - Accent2 3" xfId="7" xr:uid="{00000000-0005-0000-0000-00000D000000}"/>
    <cellStyle name="20% - Accent2 4" xfId="165" xr:uid="{00000000-0005-0000-0000-0000D2000000}"/>
    <cellStyle name="20% - Accent2 5" xfId="211" xr:uid="{00000000-0005-0000-0000-000000010000}"/>
    <cellStyle name="20% - Accent2 6" xfId="216" xr:uid="{00000000-0005-0000-0000-000005010000}"/>
    <cellStyle name="20% - Accent3 2" xfId="8" xr:uid="{00000000-0005-0000-0000-00000F000000}"/>
    <cellStyle name="20% - Accent3 3" xfId="9" xr:uid="{00000000-0005-0000-0000-000010000000}"/>
    <cellStyle name="20% - Accent3 4" xfId="166" xr:uid="{00000000-0005-0000-0000-0000D3000000}"/>
    <cellStyle name="20% - Accent3 5" xfId="210" xr:uid="{00000000-0005-0000-0000-0000FF000000}"/>
    <cellStyle name="20% - Accent3 6" xfId="217" xr:uid="{00000000-0005-0000-0000-000006010000}"/>
    <cellStyle name="20% - Accent4 2" xfId="10" xr:uid="{00000000-0005-0000-0000-000012000000}"/>
    <cellStyle name="20% - Accent4 3" xfId="11" xr:uid="{00000000-0005-0000-0000-000013000000}"/>
    <cellStyle name="20% - Accent4 4" xfId="168" xr:uid="{00000000-0005-0000-0000-0000D5000000}"/>
    <cellStyle name="20% - Accent4 5" xfId="209" xr:uid="{00000000-0005-0000-0000-0000FE000000}"/>
    <cellStyle name="20% - Accent4 6" xfId="218" xr:uid="{00000000-0005-0000-0000-000007010000}"/>
    <cellStyle name="20% - Accent5 2" xfId="12" xr:uid="{00000000-0005-0000-0000-000015000000}"/>
    <cellStyle name="20% - Accent5 3" xfId="13" xr:uid="{00000000-0005-0000-0000-000016000000}"/>
    <cellStyle name="20% - Accent5 4" xfId="170" xr:uid="{00000000-0005-0000-0000-0000D7000000}"/>
    <cellStyle name="20% - Accent5 5" xfId="208" xr:uid="{00000000-0005-0000-0000-0000FD000000}"/>
    <cellStyle name="20% - Accent5 6" xfId="219" xr:uid="{00000000-0005-0000-0000-000008010000}"/>
    <cellStyle name="20% - Accent6 2" xfId="14" xr:uid="{00000000-0005-0000-0000-000018000000}"/>
    <cellStyle name="20% - Accent6 3" xfId="15" xr:uid="{00000000-0005-0000-0000-000019000000}"/>
    <cellStyle name="20% - Accent6 4" xfId="171" xr:uid="{00000000-0005-0000-0000-0000D8000000}"/>
    <cellStyle name="20% - Accent6 5" xfId="207" xr:uid="{00000000-0005-0000-0000-0000FC000000}"/>
    <cellStyle name="20% - Accent6 6" xfId="220" xr:uid="{00000000-0005-0000-0000-000009010000}"/>
    <cellStyle name="40% - Accent1 2" xfId="16" xr:uid="{00000000-0005-0000-0000-00001B000000}"/>
    <cellStyle name="40% - Accent1 3" xfId="17" xr:uid="{00000000-0005-0000-0000-00001C000000}"/>
    <cellStyle name="40% - Accent1 4" xfId="173" xr:uid="{00000000-0005-0000-0000-0000DA000000}"/>
    <cellStyle name="40% - Accent1 5" xfId="205" xr:uid="{00000000-0005-0000-0000-0000FA000000}"/>
    <cellStyle name="40% - Accent1 6" xfId="221" xr:uid="{00000000-0005-0000-0000-00000A010000}"/>
    <cellStyle name="40% - Accent2 2" xfId="18" xr:uid="{00000000-0005-0000-0000-00001E000000}"/>
    <cellStyle name="40% - Accent2 3" xfId="19" xr:uid="{00000000-0005-0000-0000-00001F000000}"/>
    <cellStyle name="40% - Accent2 4" xfId="174" xr:uid="{00000000-0005-0000-0000-0000DB000000}"/>
    <cellStyle name="40% - Accent2 5" xfId="203" xr:uid="{00000000-0005-0000-0000-0000F8000000}"/>
    <cellStyle name="40% - Accent2 6" xfId="222" xr:uid="{00000000-0005-0000-0000-00000B010000}"/>
    <cellStyle name="40% - Accent3 2" xfId="20" xr:uid="{00000000-0005-0000-0000-000021000000}"/>
    <cellStyle name="40% - Accent3 3" xfId="21" xr:uid="{00000000-0005-0000-0000-000022000000}"/>
    <cellStyle name="40% - Accent3 4" xfId="175" xr:uid="{00000000-0005-0000-0000-0000DC000000}"/>
    <cellStyle name="40% - Accent3 5" xfId="201" xr:uid="{00000000-0005-0000-0000-0000F6000000}"/>
    <cellStyle name="40% - Accent3 6" xfId="223" xr:uid="{00000000-0005-0000-0000-00000C010000}"/>
    <cellStyle name="40% - Accent4 2" xfId="22" xr:uid="{00000000-0005-0000-0000-000024000000}"/>
    <cellStyle name="40% - Accent4 3" xfId="23" xr:uid="{00000000-0005-0000-0000-000025000000}"/>
    <cellStyle name="40% - Accent4 4" xfId="176" xr:uid="{00000000-0005-0000-0000-0000DD000000}"/>
    <cellStyle name="40% - Accent4 5" xfId="199" xr:uid="{00000000-0005-0000-0000-0000F4000000}"/>
    <cellStyle name="40% - Accent4 6" xfId="224" xr:uid="{00000000-0005-0000-0000-00000D010000}"/>
    <cellStyle name="40% - Accent5 2" xfId="24" xr:uid="{00000000-0005-0000-0000-000027000000}"/>
    <cellStyle name="40% - Accent5 3" xfId="25" xr:uid="{00000000-0005-0000-0000-000028000000}"/>
    <cellStyle name="40% - Accent5 4" xfId="177" xr:uid="{00000000-0005-0000-0000-0000DE000000}"/>
    <cellStyle name="40% - Accent5 5" xfId="196" xr:uid="{00000000-0005-0000-0000-0000F1000000}"/>
    <cellStyle name="40% - Accent5 6" xfId="225" xr:uid="{00000000-0005-0000-0000-00000E010000}"/>
    <cellStyle name="40% - Accent6 2" xfId="26" xr:uid="{00000000-0005-0000-0000-00002A000000}"/>
    <cellStyle name="40% - Accent6 3" xfId="27" xr:uid="{00000000-0005-0000-0000-00002B000000}"/>
    <cellStyle name="40% - Accent6 4" xfId="178" xr:uid="{00000000-0005-0000-0000-0000DF000000}"/>
    <cellStyle name="40% - Accent6 5" xfId="195" xr:uid="{00000000-0005-0000-0000-0000F0000000}"/>
    <cellStyle name="40% - Accent6 6" xfId="226" xr:uid="{00000000-0005-0000-0000-00000F010000}"/>
    <cellStyle name="AeE­ [0]_INQUIRY ¿μ¾÷AßAø " xfId="28" xr:uid="{00000000-0005-0000-0000-000038000000}"/>
    <cellStyle name="AeE­_INQUIRY ¿μ¾÷AßAø " xfId="29" xr:uid="{00000000-0005-0000-0000-000039000000}"/>
    <cellStyle name="AÞ¸¶ [0]_INQUIRY ¿?¾÷AßAø " xfId="30" xr:uid="{00000000-0005-0000-0000-00003A000000}"/>
    <cellStyle name="AÞ¸¶_INQUIRY ¿?¾÷AßAø " xfId="31" xr:uid="{00000000-0005-0000-0000-00003B000000}"/>
    <cellStyle name="Black" xfId="32" xr:uid="{00000000-0005-0000-0000-00003D000000}"/>
    <cellStyle name="Border" xfId="33" xr:uid="{00000000-0005-0000-0000-00003E000000}"/>
    <cellStyle name="C?AØ_¿?¾÷CoE² " xfId="34" xr:uid="{00000000-0005-0000-0000-00003F000000}"/>
    <cellStyle name="C￥AØ_¿μ¾÷CoE² " xfId="35" xr:uid="{00000000-0005-0000-0000-000040000000}"/>
    <cellStyle name="Comma" xfId="1" builtinId="3"/>
    <cellStyle name="Comma 10" xfId="36" xr:uid="{00000000-0005-0000-0000-000043000000}"/>
    <cellStyle name="Comma 10 2" xfId="227" xr:uid="{00000000-0005-0000-0000-000010010000}"/>
    <cellStyle name="Comma 11" xfId="37" xr:uid="{00000000-0005-0000-0000-000044000000}"/>
    <cellStyle name="Comma 11 2" xfId="228" xr:uid="{00000000-0005-0000-0000-000011010000}"/>
    <cellStyle name="Comma 12" xfId="38" xr:uid="{00000000-0005-0000-0000-000045000000}"/>
    <cellStyle name="Comma 12 2" xfId="229" xr:uid="{00000000-0005-0000-0000-000012010000}"/>
    <cellStyle name="Comma 13" xfId="39" xr:uid="{00000000-0005-0000-0000-000046000000}"/>
    <cellStyle name="Comma 13 2" xfId="230" xr:uid="{00000000-0005-0000-0000-000013010000}"/>
    <cellStyle name="Comma 14" xfId="40" xr:uid="{00000000-0005-0000-0000-000047000000}"/>
    <cellStyle name="Comma 14 2" xfId="231" xr:uid="{00000000-0005-0000-0000-000014010000}"/>
    <cellStyle name="Comma 2" xfId="41" xr:uid="{00000000-0005-0000-0000-000048000000}"/>
    <cellStyle name="Comma 2 10" xfId="181" xr:uid="{00000000-0005-0000-0000-0000E2000000}"/>
    <cellStyle name="Comma 2 11" xfId="192" xr:uid="{00000000-0005-0000-0000-0000ED000000}"/>
    <cellStyle name="Comma 2 12" xfId="232" xr:uid="{00000000-0005-0000-0000-000015010000}"/>
    <cellStyle name="Comma 2 2" xfId="42" xr:uid="{00000000-0005-0000-0000-000049000000}"/>
    <cellStyle name="Comma 2 3" xfId="43" xr:uid="{00000000-0005-0000-0000-00004A000000}"/>
    <cellStyle name="Comma 2 4" xfId="44" xr:uid="{00000000-0005-0000-0000-00004B000000}"/>
    <cellStyle name="Comma 2 5" xfId="45" xr:uid="{00000000-0005-0000-0000-00004C000000}"/>
    <cellStyle name="Comma 2 6" xfId="46" xr:uid="{00000000-0005-0000-0000-00004D000000}"/>
    <cellStyle name="Comma 2 7" xfId="47" xr:uid="{00000000-0005-0000-0000-00004E000000}"/>
    <cellStyle name="Comma 2 8" xfId="48" xr:uid="{00000000-0005-0000-0000-00004F000000}"/>
    <cellStyle name="Comma 2 9" xfId="49" xr:uid="{00000000-0005-0000-0000-000050000000}"/>
    <cellStyle name="Comma 3" xfId="50" xr:uid="{00000000-0005-0000-0000-000051000000}"/>
    <cellStyle name="Comma 3 2" xfId="51" xr:uid="{00000000-0005-0000-0000-000052000000}"/>
    <cellStyle name="Comma 3 3" xfId="52" xr:uid="{00000000-0005-0000-0000-000053000000}"/>
    <cellStyle name="Comma 3 4" xfId="182" xr:uid="{00000000-0005-0000-0000-0000E3000000}"/>
    <cellStyle name="Comma 3 5" xfId="191" xr:uid="{00000000-0005-0000-0000-0000EC000000}"/>
    <cellStyle name="Comma 3 6" xfId="233" xr:uid="{00000000-0005-0000-0000-000016010000}"/>
    <cellStyle name="Comma 4" xfId="53" xr:uid="{00000000-0005-0000-0000-000054000000}"/>
    <cellStyle name="Comma 4 2" xfId="54" xr:uid="{00000000-0005-0000-0000-000055000000}"/>
    <cellStyle name="Comma 4 3" xfId="55" xr:uid="{00000000-0005-0000-0000-000056000000}"/>
    <cellStyle name="Comma 4 4" xfId="183" xr:uid="{00000000-0005-0000-0000-0000E4000000}"/>
    <cellStyle name="Comma 4 5" xfId="190" xr:uid="{00000000-0005-0000-0000-0000EB000000}"/>
    <cellStyle name="Comma 4 6" xfId="234" xr:uid="{00000000-0005-0000-0000-000017010000}"/>
    <cellStyle name="Comma 5" xfId="56" xr:uid="{00000000-0005-0000-0000-000057000000}"/>
    <cellStyle name="Comma 5 2" xfId="57" xr:uid="{00000000-0005-0000-0000-000058000000}"/>
    <cellStyle name="Comma 5 3" xfId="58" xr:uid="{00000000-0005-0000-0000-000059000000}"/>
    <cellStyle name="Comma 5 4" xfId="184" xr:uid="{00000000-0005-0000-0000-0000E5000000}"/>
    <cellStyle name="Comma 5 5" xfId="189" xr:uid="{00000000-0005-0000-0000-0000EA000000}"/>
    <cellStyle name="Comma 5 6" xfId="235" xr:uid="{00000000-0005-0000-0000-000018010000}"/>
    <cellStyle name="Comma 6" xfId="59" xr:uid="{00000000-0005-0000-0000-00005A000000}"/>
    <cellStyle name="Comma 6 2" xfId="60" xr:uid="{00000000-0005-0000-0000-00005B000000}"/>
    <cellStyle name="Comma 6 3" xfId="61" xr:uid="{00000000-0005-0000-0000-00005C000000}"/>
    <cellStyle name="Comma 6 4" xfId="185" xr:uid="{00000000-0005-0000-0000-0000E6000000}"/>
    <cellStyle name="Comma 6 5" xfId="188" xr:uid="{00000000-0005-0000-0000-0000E9000000}"/>
    <cellStyle name="Comma 6 6" xfId="236" xr:uid="{00000000-0005-0000-0000-000019010000}"/>
    <cellStyle name="Comma 7" xfId="62" xr:uid="{00000000-0005-0000-0000-00005D000000}"/>
    <cellStyle name="Comma 7 2" xfId="63" xr:uid="{00000000-0005-0000-0000-00005E000000}"/>
    <cellStyle name="Comma 7 3" xfId="64" xr:uid="{00000000-0005-0000-0000-00005F000000}"/>
    <cellStyle name="Comma 7 4" xfId="186" xr:uid="{00000000-0005-0000-0000-0000E7000000}"/>
    <cellStyle name="Comma 7 5" xfId="187" xr:uid="{00000000-0005-0000-0000-0000E8000000}"/>
    <cellStyle name="Comma 7 6" xfId="237" xr:uid="{00000000-0005-0000-0000-00001A010000}"/>
    <cellStyle name="Comma 8" xfId="65" xr:uid="{00000000-0005-0000-0000-000060000000}"/>
    <cellStyle name="Comma 8 2" xfId="238" xr:uid="{00000000-0005-0000-0000-00001B010000}"/>
    <cellStyle name="Comma 9" xfId="66" xr:uid="{00000000-0005-0000-0000-000061000000}"/>
    <cellStyle name="Comma 9 2" xfId="239" xr:uid="{00000000-0005-0000-0000-00001C010000}"/>
    <cellStyle name="Comma0" xfId="67" xr:uid="{00000000-0005-0000-0000-000062000000}"/>
    <cellStyle name="Currency0" xfId="68" xr:uid="{00000000-0005-0000-0000-000063000000}"/>
    <cellStyle name="Date" xfId="69" xr:uid="{00000000-0005-0000-0000-000064000000}"/>
    <cellStyle name="Dezimal [0]_laroux" xfId="70" xr:uid="{00000000-0005-0000-0000-000065000000}"/>
    <cellStyle name="Dezimal_laroux" xfId="71" xr:uid="{00000000-0005-0000-0000-000066000000}"/>
    <cellStyle name="Euro" xfId="72" xr:uid="{00000000-0005-0000-0000-000067000000}"/>
    <cellStyle name="Fixed" xfId="73" xr:uid="{00000000-0005-0000-0000-000069000000}"/>
    <cellStyle name="Grey" xfId="74" xr:uid="{00000000-0005-0000-0000-00006B000000}"/>
    <cellStyle name="Hyperlink 10" xfId="75" xr:uid="{00000000-0005-0000-0000-000070000000}"/>
    <cellStyle name="Hyperlink 10 2" xfId="240" xr:uid="{00000000-0005-0000-0000-00001D010000}"/>
    <cellStyle name="Hyperlink 11" xfId="76" xr:uid="{00000000-0005-0000-0000-000071000000}"/>
    <cellStyle name="Hyperlink 11 2" xfId="241" xr:uid="{00000000-0005-0000-0000-00001E010000}"/>
    <cellStyle name="Hyperlink 12" xfId="77" xr:uid="{00000000-0005-0000-0000-000072000000}"/>
    <cellStyle name="Hyperlink 12 2" xfId="242" xr:uid="{00000000-0005-0000-0000-00001F010000}"/>
    <cellStyle name="Hyperlink 13" xfId="78" xr:uid="{00000000-0005-0000-0000-000073000000}"/>
    <cellStyle name="Hyperlink 13 2" xfId="243" xr:uid="{00000000-0005-0000-0000-000020010000}"/>
    <cellStyle name="Hyperlink 14" xfId="79" xr:uid="{00000000-0005-0000-0000-000074000000}"/>
    <cellStyle name="Hyperlink 14 2" xfId="244" xr:uid="{00000000-0005-0000-0000-000021010000}"/>
    <cellStyle name="Hyperlink 2" xfId="80" xr:uid="{00000000-0005-0000-0000-000075000000}"/>
    <cellStyle name="Hyperlink 3" xfId="81" xr:uid="{00000000-0005-0000-0000-000076000000}"/>
    <cellStyle name="Hyperlink 4" xfId="82" xr:uid="{00000000-0005-0000-0000-000077000000}"/>
    <cellStyle name="Hyperlink 5" xfId="83" xr:uid="{00000000-0005-0000-0000-000078000000}"/>
    <cellStyle name="Hyperlink 6" xfId="84" xr:uid="{00000000-0005-0000-0000-000079000000}"/>
    <cellStyle name="Hyperlink 7" xfId="85" xr:uid="{00000000-0005-0000-0000-00007A000000}"/>
    <cellStyle name="Hyperlink 8" xfId="86" xr:uid="{00000000-0005-0000-0000-00007B000000}"/>
    <cellStyle name="Hyperlink 8 2" xfId="245" xr:uid="{00000000-0005-0000-0000-000022010000}"/>
    <cellStyle name="Hyperlink 9" xfId="87" xr:uid="{00000000-0005-0000-0000-00007C000000}"/>
    <cellStyle name="Hyperlink 9 2" xfId="246" xr:uid="{00000000-0005-0000-0000-000023010000}"/>
    <cellStyle name="Input [yellow]" xfId="88" xr:uid="{00000000-0005-0000-0000-00007E000000}"/>
    <cellStyle name="Milliers [0]_laroux" xfId="89" xr:uid="{00000000-0005-0000-0000-000080000000}"/>
    <cellStyle name="Milliers_laroux" xfId="90" xr:uid="{00000000-0005-0000-0000-000081000000}"/>
    <cellStyle name="Non défini" xfId="91" xr:uid="{00000000-0005-0000-0000-000083000000}"/>
    <cellStyle name="Normal" xfId="0" builtinId="0"/>
    <cellStyle name="Normal - Style1" xfId="92" xr:uid="{00000000-0005-0000-0000-000084000000}"/>
    <cellStyle name="Normal 10" xfId="93" xr:uid="{00000000-0005-0000-0000-000085000000}"/>
    <cellStyle name="Normal 10 2" xfId="193" xr:uid="{00000000-0005-0000-0000-0000EE000000}"/>
    <cellStyle name="Normal 10 3" xfId="180" xr:uid="{00000000-0005-0000-0000-0000E1000000}"/>
    <cellStyle name="Normal 10 4" xfId="247" xr:uid="{00000000-0005-0000-0000-000024010000}"/>
    <cellStyle name="Normal 11" xfId="94" xr:uid="{00000000-0005-0000-0000-000086000000}"/>
    <cellStyle name="Normal 12" xfId="95" xr:uid="{00000000-0005-0000-0000-000087000000}"/>
    <cellStyle name="Normal 13" xfId="96" xr:uid="{00000000-0005-0000-0000-000088000000}"/>
    <cellStyle name="Normal 13 2" xfId="248" xr:uid="{00000000-0005-0000-0000-000025010000}"/>
    <cellStyle name="Normal 14" xfId="159" xr:uid="{00000000-0005-0000-0000-0000CC000000}"/>
    <cellStyle name="Normal 15" xfId="160" xr:uid="{00000000-0005-0000-0000-0000CD000000}"/>
    <cellStyle name="Normal 16" xfId="161" xr:uid="{00000000-0005-0000-0000-0000CE000000}"/>
    <cellStyle name="Normal 17" xfId="162" xr:uid="{00000000-0005-0000-0000-0000CF000000}"/>
    <cellStyle name="Normal 19" xfId="268" xr:uid="{00000000-0005-0000-0000-000039010000}"/>
    <cellStyle name="Normal 2" xfId="97" xr:uid="{00000000-0005-0000-0000-000089000000}"/>
    <cellStyle name="Normal 2 10" xfId="98" xr:uid="{00000000-0005-0000-0000-00008A000000}"/>
    <cellStyle name="Normal 2 11" xfId="99" xr:uid="{00000000-0005-0000-0000-00008B000000}"/>
    <cellStyle name="Normal 2 12" xfId="100" xr:uid="{00000000-0005-0000-0000-00008C000000}"/>
    <cellStyle name="Normal 2 12 2" xfId="250" xr:uid="{00000000-0005-0000-0000-000027010000}"/>
    <cellStyle name="Normal 2 13" xfId="194" xr:uid="{00000000-0005-0000-0000-0000EF000000}"/>
    <cellStyle name="Normal 2 14" xfId="179" xr:uid="{00000000-0005-0000-0000-0000E0000000}"/>
    <cellStyle name="Normal 2 15" xfId="249" xr:uid="{00000000-0005-0000-0000-000026010000}"/>
    <cellStyle name="Normal 2 2" xfId="101" xr:uid="{00000000-0005-0000-0000-00008D000000}"/>
    <cellStyle name="Normal 2 3" xfId="102" xr:uid="{00000000-0005-0000-0000-00008E000000}"/>
    <cellStyle name="Normal 2 4" xfId="103" xr:uid="{00000000-0005-0000-0000-00008F000000}"/>
    <cellStyle name="Normal 2 5" xfId="104" xr:uid="{00000000-0005-0000-0000-000090000000}"/>
    <cellStyle name="Normal 2 6" xfId="105" xr:uid="{00000000-0005-0000-0000-000091000000}"/>
    <cellStyle name="Normal 2 7" xfId="106" xr:uid="{00000000-0005-0000-0000-000092000000}"/>
    <cellStyle name="Normal 2 8" xfId="107" xr:uid="{00000000-0005-0000-0000-000093000000}"/>
    <cellStyle name="Normal 2 9" xfId="108" xr:uid="{00000000-0005-0000-0000-000094000000}"/>
    <cellStyle name="Normal 3" xfId="109" xr:uid="{00000000-0005-0000-0000-000095000000}"/>
    <cellStyle name="Normal 3 10" xfId="110" xr:uid="{00000000-0005-0000-0000-000096000000}"/>
    <cellStyle name="Normal 3 10 2" xfId="251" xr:uid="{00000000-0005-0000-0000-000028010000}"/>
    <cellStyle name="Normal 3 11" xfId="111" xr:uid="{00000000-0005-0000-0000-000097000000}"/>
    <cellStyle name="Normal 3 11 2" xfId="252" xr:uid="{00000000-0005-0000-0000-000029010000}"/>
    <cellStyle name="Normal 3 12" xfId="112" xr:uid="{00000000-0005-0000-0000-000098000000}"/>
    <cellStyle name="Normal 3 12 2" xfId="253" xr:uid="{00000000-0005-0000-0000-00002A010000}"/>
    <cellStyle name="Normal 3 13" xfId="113" xr:uid="{00000000-0005-0000-0000-000099000000}"/>
    <cellStyle name="Normal 3 13 2" xfId="254" xr:uid="{00000000-0005-0000-0000-00002B010000}"/>
    <cellStyle name="Normal 3 14" xfId="114" xr:uid="{00000000-0005-0000-0000-00009A000000}"/>
    <cellStyle name="Normal 3 14 2" xfId="255" xr:uid="{00000000-0005-0000-0000-00002C010000}"/>
    <cellStyle name="Normal 3 15" xfId="115" xr:uid="{00000000-0005-0000-0000-00009B000000}"/>
    <cellStyle name="Normal 3 15 2" xfId="256" xr:uid="{00000000-0005-0000-0000-00002D010000}"/>
    <cellStyle name="Normal 3 2" xfId="116" xr:uid="{00000000-0005-0000-0000-00009C000000}"/>
    <cellStyle name="Normal 3 3" xfId="117" xr:uid="{00000000-0005-0000-0000-00009D000000}"/>
    <cellStyle name="Normal 3 3 2" xfId="118" xr:uid="{00000000-0005-0000-0000-00009E000000}"/>
    <cellStyle name="Normal 3 3 2 2" xfId="257" xr:uid="{00000000-0005-0000-0000-00002E010000}"/>
    <cellStyle name="Normal 3 4" xfId="119" xr:uid="{00000000-0005-0000-0000-00009F000000}"/>
    <cellStyle name="Normal 3 5" xfId="120" xr:uid="{00000000-0005-0000-0000-0000A0000000}"/>
    <cellStyle name="Normal 3 6" xfId="121" xr:uid="{00000000-0005-0000-0000-0000A1000000}"/>
    <cellStyle name="Normal 3 7" xfId="122" xr:uid="{00000000-0005-0000-0000-0000A2000000}"/>
    <cellStyle name="Normal 3 8" xfId="123" xr:uid="{00000000-0005-0000-0000-0000A3000000}"/>
    <cellStyle name="Normal 3 8 2" xfId="258" xr:uid="{00000000-0005-0000-0000-00002F010000}"/>
    <cellStyle name="Normal 3 9" xfId="124" xr:uid="{00000000-0005-0000-0000-0000A4000000}"/>
    <cellStyle name="Normal 3 9 2" xfId="259" xr:uid="{00000000-0005-0000-0000-000030010000}"/>
    <cellStyle name="Normal 4" xfId="125" xr:uid="{00000000-0005-0000-0000-0000A5000000}"/>
    <cellStyle name="Normal 4 2" xfId="126" xr:uid="{00000000-0005-0000-0000-0000A6000000}"/>
    <cellStyle name="Normal 4 3" xfId="127" xr:uid="{00000000-0005-0000-0000-0000A7000000}"/>
    <cellStyle name="Normal 4 4" xfId="197" xr:uid="{00000000-0005-0000-0000-0000F2000000}"/>
    <cellStyle name="Normal 4 5" xfId="172" xr:uid="{00000000-0005-0000-0000-0000D9000000}"/>
    <cellStyle name="Normal 4 6" xfId="260" xr:uid="{00000000-0005-0000-0000-000031010000}"/>
    <cellStyle name="Normal 5" xfId="128" xr:uid="{00000000-0005-0000-0000-0000A8000000}"/>
    <cellStyle name="Normal 5 2" xfId="129" xr:uid="{00000000-0005-0000-0000-0000A9000000}"/>
    <cellStyle name="Normal 5 3" xfId="130" xr:uid="{00000000-0005-0000-0000-0000AA000000}"/>
    <cellStyle name="Normal 5 4" xfId="198" xr:uid="{00000000-0005-0000-0000-0000F3000000}"/>
    <cellStyle name="Normal 5 5" xfId="169" xr:uid="{00000000-0005-0000-0000-0000D6000000}"/>
    <cellStyle name="Normal 5 6" xfId="261" xr:uid="{00000000-0005-0000-0000-000032010000}"/>
    <cellStyle name="Normal 6" xfId="131" xr:uid="{00000000-0005-0000-0000-0000AB000000}"/>
    <cellStyle name="Normal 6 2" xfId="132" xr:uid="{00000000-0005-0000-0000-0000AC000000}"/>
    <cellStyle name="Normal 6 3" xfId="133" xr:uid="{00000000-0005-0000-0000-0000AD000000}"/>
    <cellStyle name="Normal 6 4" xfId="134" xr:uid="{00000000-0005-0000-0000-0000AE000000}"/>
    <cellStyle name="Normal 6 4 2" xfId="263" xr:uid="{00000000-0005-0000-0000-000034010000}"/>
    <cellStyle name="Normal 6 5" xfId="200" xr:uid="{00000000-0005-0000-0000-0000F5000000}"/>
    <cellStyle name="Normal 6 6" xfId="167" xr:uid="{00000000-0005-0000-0000-0000D4000000}"/>
    <cellStyle name="Normal 6 7" xfId="262" xr:uid="{00000000-0005-0000-0000-000033010000}"/>
    <cellStyle name="Normal 7" xfId="135" xr:uid="{00000000-0005-0000-0000-0000AF000000}"/>
    <cellStyle name="Normal 7 2" xfId="136" xr:uid="{00000000-0005-0000-0000-0000B0000000}"/>
    <cellStyle name="Normal 7 3" xfId="137" xr:uid="{00000000-0005-0000-0000-0000B1000000}"/>
    <cellStyle name="Normal 7 4" xfId="138" xr:uid="{00000000-0005-0000-0000-0000B2000000}"/>
    <cellStyle name="Normal 7 4 2" xfId="265" xr:uid="{00000000-0005-0000-0000-000036010000}"/>
    <cellStyle name="Normal 7 5" xfId="202" xr:uid="{00000000-0005-0000-0000-0000F7000000}"/>
    <cellStyle name="Normal 7 6" xfId="164" xr:uid="{00000000-0005-0000-0000-0000D1000000}"/>
    <cellStyle name="Normal 7 7" xfId="264" xr:uid="{00000000-0005-0000-0000-000035010000}"/>
    <cellStyle name="Normal 8" xfId="139" xr:uid="{00000000-0005-0000-0000-0000B3000000}"/>
    <cellStyle name="Normal 8 2" xfId="140" xr:uid="{00000000-0005-0000-0000-0000B4000000}"/>
    <cellStyle name="Normal 8 3" xfId="141" xr:uid="{00000000-0005-0000-0000-0000B5000000}"/>
    <cellStyle name="Normal 8 4" xfId="204" xr:uid="{00000000-0005-0000-0000-0000F9000000}"/>
    <cellStyle name="Normal 8 5" xfId="213" xr:uid="{00000000-0005-0000-0000-000002010000}"/>
    <cellStyle name="Normal 8 6" xfId="266" xr:uid="{00000000-0005-0000-0000-000037010000}"/>
    <cellStyle name="Normal 9" xfId="142" xr:uid="{00000000-0005-0000-0000-0000B6000000}"/>
    <cellStyle name="Normal 9 2" xfId="206" xr:uid="{00000000-0005-0000-0000-0000FB000000}"/>
    <cellStyle name="Normal 9 3" xfId="214" xr:uid="{00000000-0005-0000-0000-000003010000}"/>
    <cellStyle name="Normal 9 4" xfId="267" xr:uid="{00000000-0005-0000-0000-000038010000}"/>
    <cellStyle name="Percent [2]" xfId="143" xr:uid="{00000000-0005-0000-0000-0000B9000000}"/>
    <cellStyle name="Red" xfId="144" xr:uid="{00000000-0005-0000-0000-0000BA000000}"/>
    <cellStyle name="Style 1" xfId="145" xr:uid="{00000000-0005-0000-0000-0000BB000000}"/>
    <cellStyle name="Währung [0]_RESULTS" xfId="146" xr:uid="{00000000-0005-0000-0000-0000BE000000}"/>
    <cellStyle name="Währung_RESULTS" xfId="147" xr:uid="{00000000-0005-0000-0000-0000BF000000}"/>
    <cellStyle name="똿뗦먛귟 [0.00]_PRODUCT DETAIL Q1" xfId="148" xr:uid="{00000000-0005-0000-0000-0000C1000000}"/>
    <cellStyle name="똿뗦먛귟_PRODUCT DETAIL Q1" xfId="149" xr:uid="{00000000-0005-0000-0000-0000C2000000}"/>
    <cellStyle name="믅됞 [0.00]_PRODUCT DETAIL Q1" xfId="150" xr:uid="{00000000-0005-0000-0000-0000C3000000}"/>
    <cellStyle name="믅됞_PRODUCT DETAIL Q1" xfId="151" xr:uid="{00000000-0005-0000-0000-0000C4000000}"/>
    <cellStyle name="백분율_HOBONG" xfId="152" xr:uid="{00000000-0005-0000-0000-0000C5000000}"/>
    <cellStyle name="뷭?_BOOKSHIP" xfId="153" xr:uid="{00000000-0005-0000-0000-0000C6000000}"/>
    <cellStyle name="콤마 [0]_1202" xfId="154" xr:uid="{00000000-0005-0000-0000-0000C7000000}"/>
    <cellStyle name="콤마_1202" xfId="155" xr:uid="{00000000-0005-0000-0000-0000C8000000}"/>
    <cellStyle name="통화 [0]_1202" xfId="156" xr:uid="{00000000-0005-0000-0000-0000C9000000}"/>
    <cellStyle name="통화_1202" xfId="157" xr:uid="{00000000-0005-0000-0000-0000CA000000}"/>
    <cellStyle name="표준_(정보부문)월별인원계획" xfId="158" xr:uid="{00000000-0005-0000-0000-0000CB000000}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revisionHeaders" Target="revisions/revisionHeader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40</xdr:row>
      <xdr:rowOff>114300</xdr:rowOff>
    </xdr:from>
    <xdr:to>
      <xdr:col>17</xdr:col>
      <xdr:colOff>142875</xdr:colOff>
      <xdr:row>40</xdr:row>
      <xdr:rowOff>114300</xdr:rowOff>
    </xdr:to>
    <xdr:cxnSp macro="">
      <xdr:nvCxnSpPr>
        <xdr:cNvPr id="2" name="AutoShap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 bwMode="auto">
        <a:xfrm>
          <a:off x="2295525" y="7505700"/>
          <a:ext cx="1752600" cy="0"/>
        </a:xfrm>
        <a:prstGeom prst="straightConnector1">
          <a:avLst/>
        </a:prstGeom>
        <a:noFill/>
        <a:ln w="19050">
          <a:solidFill>
            <a:srgbClr val="010000"/>
          </a:solidFill>
          <a:round/>
          <a:tailEnd type="arrow" w="med" len="med"/>
        </a:ln>
        <a:effectLst>
          <a:outerShdw dist="20000" dir="5400000" rotWithShape="0">
            <a:srgbClr val="000000">
              <a:alpha val="37999"/>
            </a:srgbClr>
          </a:outerShdw>
        </a:effec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40</xdr:row>
      <xdr:rowOff>114300</xdr:rowOff>
    </xdr:from>
    <xdr:to>
      <xdr:col>17</xdr:col>
      <xdr:colOff>142875</xdr:colOff>
      <xdr:row>40</xdr:row>
      <xdr:rowOff>114300</xdr:rowOff>
    </xdr:to>
    <xdr:cxnSp macro="">
      <xdr:nvCxnSpPr>
        <xdr:cNvPr id="3289" name="AutoShape 217">
          <a:extLst>
            <a:ext uri="{FF2B5EF4-FFF2-40B4-BE49-F238E27FC236}">
              <a16:creationId xmlns:a16="http://schemas.microsoft.com/office/drawing/2014/main" id="{00000000-0008-0000-0200-0000D90C0000}"/>
            </a:ext>
          </a:extLst>
        </xdr:cNvPr>
        <xdr:cNvCxnSpPr>
          <a:cxnSpLocks noChangeShapeType="1"/>
        </xdr:cNvCxnSpPr>
      </xdr:nvCxnSpPr>
      <xdr:spPr bwMode="auto">
        <a:xfrm>
          <a:off x="2295525" y="7486650"/>
          <a:ext cx="1752600" cy="0"/>
        </a:xfrm>
        <a:prstGeom prst="straightConnector1">
          <a:avLst/>
        </a:prstGeom>
        <a:noFill/>
        <a:ln w="19050">
          <a:solidFill>
            <a:srgbClr val="010000"/>
          </a:solidFill>
          <a:round/>
          <a:tailEnd type="arrow" w="med" len="med"/>
        </a:ln>
        <a:effectLst>
          <a:outerShdw dist="20000" dir="5400000" rotWithShape="0">
            <a:srgbClr val="000000">
              <a:alpha val="37999"/>
            </a:srgbClr>
          </a:outerShdw>
        </a:effec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leman\AppData\Local\Microsoft\Windows\INetCache\IE\LZHMHXKU\Advance%20Tax%20Calculation%2020-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All Teacher Data"/>
      <sheetName val="DATA"/>
      <sheetName val="PAGAR SLIP"/>
      <sheetName val="pre calculation OLD"/>
      <sheetName val="pre calculation NEW"/>
      <sheetName val="Sheet1"/>
    </sheetNames>
    <sheetDataSet>
      <sheetData sheetId="0"/>
      <sheetData sheetId="1">
        <row r="2">
          <cell r="B2" t="str">
            <v>જનરલ ડેટા</v>
          </cell>
          <cell r="C2" t="str">
            <v>EXP.</v>
          </cell>
          <cell r="D2">
            <v>1</v>
          </cell>
          <cell r="E2">
            <v>2</v>
          </cell>
          <cell r="F2">
            <v>3</v>
          </cell>
          <cell r="G2">
            <v>4</v>
          </cell>
          <cell r="H2">
            <v>5</v>
          </cell>
          <cell r="I2">
            <v>6</v>
          </cell>
          <cell r="J2">
            <v>7</v>
          </cell>
          <cell r="K2">
            <v>8</v>
          </cell>
          <cell r="L2">
            <v>9</v>
          </cell>
          <cell r="M2">
            <v>10</v>
          </cell>
          <cell r="N2">
            <v>11</v>
          </cell>
          <cell r="O2">
            <v>12</v>
          </cell>
          <cell r="P2">
            <v>13</v>
          </cell>
          <cell r="Q2">
            <v>14</v>
          </cell>
          <cell r="R2">
            <v>15</v>
          </cell>
          <cell r="S2">
            <v>16</v>
          </cell>
          <cell r="T2">
            <v>17</v>
          </cell>
          <cell r="U2">
            <v>18</v>
          </cell>
          <cell r="V2">
            <v>19</v>
          </cell>
          <cell r="W2">
            <v>20</v>
          </cell>
          <cell r="X2">
            <v>21</v>
          </cell>
          <cell r="Y2">
            <v>22</v>
          </cell>
          <cell r="Z2">
            <v>23</v>
          </cell>
          <cell r="AA2">
            <v>24</v>
          </cell>
          <cell r="AB2">
            <v>25</v>
          </cell>
          <cell r="AC2">
            <v>26</v>
          </cell>
          <cell r="AD2">
            <v>27</v>
          </cell>
          <cell r="AE2">
            <v>28</v>
          </cell>
          <cell r="AF2">
            <v>29</v>
          </cell>
          <cell r="AG2">
            <v>30</v>
          </cell>
          <cell r="AH2">
            <v>31</v>
          </cell>
          <cell r="AI2">
            <v>32</v>
          </cell>
          <cell r="AJ2">
            <v>33</v>
          </cell>
          <cell r="AK2">
            <v>34</v>
          </cell>
          <cell r="AL2">
            <v>35</v>
          </cell>
          <cell r="AM2">
            <v>36</v>
          </cell>
          <cell r="AN2">
            <v>37</v>
          </cell>
          <cell r="AO2">
            <v>38</v>
          </cell>
          <cell r="AP2">
            <v>39</v>
          </cell>
          <cell r="AQ2">
            <v>40</v>
          </cell>
          <cell r="AR2">
            <v>41</v>
          </cell>
          <cell r="AS2">
            <v>42</v>
          </cell>
          <cell r="AT2">
            <v>43</v>
          </cell>
          <cell r="AU2">
            <v>44</v>
          </cell>
          <cell r="AV2">
            <v>45</v>
          </cell>
          <cell r="AW2">
            <v>46</v>
          </cell>
          <cell r="AX2">
            <v>47</v>
          </cell>
          <cell r="AY2">
            <v>48</v>
          </cell>
          <cell r="AZ2">
            <v>49</v>
          </cell>
          <cell r="BA2">
            <v>50</v>
          </cell>
          <cell r="BB2">
            <v>51</v>
          </cell>
          <cell r="BC2">
            <v>52</v>
          </cell>
          <cell r="BD2">
            <v>53</v>
          </cell>
          <cell r="BE2">
            <v>54</v>
          </cell>
          <cell r="BF2">
            <v>55</v>
          </cell>
          <cell r="BG2">
            <v>56</v>
          </cell>
          <cell r="BH2">
            <v>57</v>
          </cell>
          <cell r="BI2">
            <v>58</v>
          </cell>
          <cell r="BJ2">
            <v>59</v>
          </cell>
          <cell r="BK2">
            <v>60</v>
          </cell>
          <cell r="BL2">
            <v>61</v>
          </cell>
          <cell r="BM2">
            <v>62</v>
          </cell>
          <cell r="BN2">
            <v>63</v>
          </cell>
          <cell r="BO2">
            <v>64</v>
          </cell>
          <cell r="BP2">
            <v>65</v>
          </cell>
          <cell r="BQ2">
            <v>66</v>
          </cell>
          <cell r="BR2">
            <v>67</v>
          </cell>
          <cell r="BS2">
            <v>68</v>
          </cell>
          <cell r="BT2">
            <v>69</v>
          </cell>
          <cell r="BU2">
            <v>70</v>
          </cell>
          <cell r="BV2">
            <v>71</v>
          </cell>
          <cell r="BW2">
            <v>72</v>
          </cell>
          <cell r="BX2">
            <v>73</v>
          </cell>
          <cell r="BY2">
            <v>74</v>
          </cell>
          <cell r="BZ2">
            <v>75</v>
          </cell>
          <cell r="CA2">
            <v>76</v>
          </cell>
          <cell r="CB2">
            <v>77</v>
          </cell>
          <cell r="CC2">
            <v>78</v>
          </cell>
          <cell r="CD2">
            <v>79</v>
          </cell>
          <cell r="CE2">
            <v>80</v>
          </cell>
          <cell r="CF2">
            <v>81</v>
          </cell>
          <cell r="CG2">
            <v>82</v>
          </cell>
          <cell r="CH2">
            <v>83</v>
          </cell>
          <cell r="CI2">
            <v>84</v>
          </cell>
          <cell r="CJ2">
            <v>85</v>
          </cell>
          <cell r="CK2">
            <v>86</v>
          </cell>
          <cell r="CL2">
            <v>87</v>
          </cell>
          <cell r="CM2">
            <v>88</v>
          </cell>
          <cell r="CN2">
            <v>89</v>
          </cell>
          <cell r="CO2">
            <v>90</v>
          </cell>
          <cell r="CP2">
            <v>91</v>
          </cell>
          <cell r="CQ2">
            <v>92</v>
          </cell>
          <cell r="CR2">
            <v>93</v>
          </cell>
          <cell r="CS2">
            <v>94</v>
          </cell>
          <cell r="CT2">
            <v>95</v>
          </cell>
          <cell r="CU2">
            <v>96</v>
          </cell>
          <cell r="CV2">
            <v>97</v>
          </cell>
          <cell r="CW2">
            <v>98</v>
          </cell>
          <cell r="CX2">
            <v>99</v>
          </cell>
          <cell r="CY2">
            <v>100</v>
          </cell>
        </row>
        <row r="3">
          <cell r="B3" t="str">
            <v>કર્મચારીનું નામ :</v>
          </cell>
          <cell r="C3" t="str">
            <v>PATEL JAGDISHKUMAR MAHADEVBHAI</v>
          </cell>
          <cell r="D3" t="str">
            <v>PATEL JAGDISHKUMAR MAHADEVBHAI</v>
          </cell>
        </row>
        <row r="4">
          <cell r="B4" t="str">
            <v>હોદો :</v>
          </cell>
          <cell r="C4" t="str">
            <v>ASS.TEACHER</v>
          </cell>
          <cell r="D4" t="str">
            <v>ASS.TEACHER</v>
          </cell>
        </row>
        <row r="5">
          <cell r="B5" t="str">
            <v>સંસ્થા કચેરીનું નામ  :</v>
          </cell>
          <cell r="C5" t="str">
            <v>MANIPUR PRIMARY SCHOOL</v>
          </cell>
          <cell r="D5" t="str">
            <v>MANIPUR PRIMARY SCHOOL</v>
          </cell>
        </row>
        <row r="6">
          <cell r="B6" t="str">
            <v>પાનકાર્ડ નંબર :</v>
          </cell>
          <cell r="C6" t="str">
            <v>XXXXXXXXXX</v>
          </cell>
          <cell r="D6" t="str">
            <v>XXXXXXXXXX</v>
          </cell>
        </row>
        <row r="7">
          <cell r="B7" t="str">
            <v>રેગ્યુલર માટે  0 સી.પી.એફ. માટે  1
વિઘાસહાયક માટે  2</v>
          </cell>
          <cell r="C7">
            <v>1</v>
          </cell>
          <cell r="D7">
            <v>0</v>
          </cell>
        </row>
        <row r="8">
          <cell r="B8" t="str">
            <v>પગાર : માર્ચ -20</v>
          </cell>
        </row>
        <row r="9">
          <cell r="B9" t="str">
            <v>6 Th Pay પગાર :</v>
          </cell>
          <cell r="C9">
            <v>24470</v>
          </cell>
          <cell r="D9">
            <v>24470</v>
          </cell>
        </row>
        <row r="10">
          <cell r="B10" t="str">
            <v>7 Th Pay પગાર :</v>
          </cell>
          <cell r="C10">
            <v>64100</v>
          </cell>
          <cell r="D10">
            <v>64100</v>
          </cell>
        </row>
        <row r="11">
          <cell r="B11" t="str">
            <v>6 Pay મકાનભાડુ ટકા :</v>
          </cell>
          <cell r="C11">
            <v>10</v>
          </cell>
          <cell r="D11">
            <v>10</v>
          </cell>
        </row>
        <row r="12">
          <cell r="B12" t="str">
            <v>મેડીકલ :</v>
          </cell>
          <cell r="C12">
            <v>300</v>
          </cell>
          <cell r="D12">
            <v>300</v>
          </cell>
        </row>
        <row r="13">
          <cell r="B13" t="str">
            <v>કુ.નિ.ઇજાફો :</v>
          </cell>
          <cell r="C13">
            <v>150</v>
          </cell>
          <cell r="D13">
            <v>150</v>
          </cell>
        </row>
        <row r="14">
          <cell r="B14" t="str">
            <v>હેડ એલા. :</v>
          </cell>
          <cell r="C14">
            <v>0</v>
          </cell>
          <cell r="D14">
            <v>0</v>
          </cell>
        </row>
        <row r="15">
          <cell r="B15" t="str">
            <v>કપાતની વિગત  :</v>
          </cell>
          <cell r="G15">
            <v>0</v>
          </cell>
          <cell r="H15">
            <v>0</v>
          </cell>
        </row>
        <row r="16">
          <cell r="B16" t="str">
            <v>જી.પી.એફ.  :</v>
          </cell>
          <cell r="C16">
            <v>15000</v>
          </cell>
          <cell r="D16">
            <v>15000</v>
          </cell>
        </row>
        <row r="17">
          <cell r="B17" t="str">
            <v>જૂથવીમો  :</v>
          </cell>
          <cell r="C17">
            <v>200</v>
          </cell>
          <cell r="D17">
            <v>200</v>
          </cell>
        </row>
        <row r="18">
          <cell r="B18" t="str">
            <v>વ્ય.વેરો  :</v>
          </cell>
          <cell r="C18">
            <v>200</v>
          </cell>
          <cell r="D18">
            <v>200</v>
          </cell>
        </row>
        <row r="19">
          <cell r="B19" t="str">
            <v>એલ.આઇ.સી  :</v>
          </cell>
          <cell r="D19">
            <v>0</v>
          </cell>
        </row>
        <row r="20">
          <cell r="B20" t="str">
            <v>મકાન લોન  :</v>
          </cell>
          <cell r="D20">
            <v>0</v>
          </cell>
        </row>
        <row r="21">
          <cell r="B21" t="str">
            <v>80C ના અન્ય તમામ રોકાણ :</v>
          </cell>
          <cell r="D21">
            <v>32730</v>
          </cell>
        </row>
        <row r="22">
          <cell r="B22" t="str">
            <v>ગત વર્ષના બાકી અથવા ચાલુ વર્ષના પુરવણી બીલો</v>
          </cell>
        </row>
        <row r="23">
          <cell r="B23" t="str">
            <v>DA પુરવણી બીલ :</v>
          </cell>
          <cell r="D23">
            <v>19230</v>
          </cell>
        </row>
        <row r="24">
          <cell r="B24" t="str">
            <v>DA પુરવણી બીલ :</v>
          </cell>
        </row>
        <row r="25">
          <cell r="B25" t="str">
            <v>૯,૨૦,૩૧ પુરવણી :</v>
          </cell>
        </row>
        <row r="26">
          <cell r="B26" t="str">
            <v>એલ.ટી.સી. બીલ :</v>
          </cell>
        </row>
        <row r="27">
          <cell r="B27" t="str">
            <v>7 Th Pay પુરવણી :</v>
          </cell>
          <cell r="D27">
            <v>0</v>
          </cell>
        </row>
        <row r="28">
          <cell r="B28" t="str">
            <v>અન્ય પુરવણી બીલ :</v>
          </cell>
        </row>
        <row r="30">
          <cell r="B30" t="str">
            <v>મકાનલોન વ્યાજ  :</v>
          </cell>
        </row>
        <row r="31">
          <cell r="B31" t="str">
            <v>મેડીક્લેમ તથા અન્ય ૧૫૦૦૦૦ ઉ૫રની કપાત :</v>
          </cell>
          <cell r="C31">
            <v>14223</v>
          </cell>
          <cell r="D31">
            <v>14223</v>
          </cell>
        </row>
        <row r="32">
          <cell r="B32" t="str">
            <v>વિકલાંગને મળતી કપાતની રકમ લખો :</v>
          </cell>
        </row>
        <row r="33">
          <cell r="B33" t="str">
            <v>મોંઘવારી ટકા માસવાર લેવાપાત્ર</v>
          </cell>
        </row>
        <row r="34">
          <cell r="B34">
            <v>43891</v>
          </cell>
          <cell r="C34">
            <v>20</v>
          </cell>
        </row>
        <row r="35">
          <cell r="B35">
            <v>43922</v>
          </cell>
          <cell r="C35">
            <v>20</v>
          </cell>
        </row>
        <row r="36">
          <cell r="B36">
            <v>43952</v>
          </cell>
          <cell r="C36">
            <v>20</v>
          </cell>
        </row>
        <row r="37">
          <cell r="B37">
            <v>43983</v>
          </cell>
          <cell r="C37">
            <v>20</v>
          </cell>
        </row>
        <row r="38">
          <cell r="B38">
            <v>44013</v>
          </cell>
          <cell r="C38">
            <v>20</v>
          </cell>
        </row>
        <row r="39">
          <cell r="B39">
            <v>44044</v>
          </cell>
          <cell r="C39">
            <v>20</v>
          </cell>
        </row>
        <row r="40">
          <cell r="B40">
            <v>44075</v>
          </cell>
          <cell r="C40">
            <v>20</v>
          </cell>
        </row>
        <row r="41">
          <cell r="B41">
            <v>44105</v>
          </cell>
          <cell r="C41">
            <v>20</v>
          </cell>
        </row>
        <row r="42">
          <cell r="B42">
            <v>44136</v>
          </cell>
          <cell r="C42">
            <v>20</v>
          </cell>
        </row>
        <row r="43">
          <cell r="B43">
            <v>44166</v>
          </cell>
          <cell r="C43">
            <v>20</v>
          </cell>
        </row>
        <row r="44">
          <cell r="B44">
            <v>44197</v>
          </cell>
          <cell r="C44">
            <v>20</v>
          </cell>
        </row>
        <row r="45">
          <cell r="B45">
            <v>44228</v>
          </cell>
          <cell r="C45">
            <v>20</v>
          </cell>
        </row>
      </sheetData>
      <sheetData sheetId="2"/>
      <sheetData sheetId="3">
        <row r="7">
          <cell r="AF7">
            <v>31</v>
          </cell>
        </row>
        <row r="8">
          <cell r="AF8">
            <v>30</v>
          </cell>
        </row>
        <row r="9">
          <cell r="AF9">
            <v>31</v>
          </cell>
        </row>
        <row r="10">
          <cell r="AF10">
            <v>30</v>
          </cell>
        </row>
        <row r="11">
          <cell r="AF11">
            <v>31</v>
          </cell>
        </row>
        <row r="12">
          <cell r="AF12">
            <v>31</v>
          </cell>
        </row>
        <row r="13">
          <cell r="AF13">
            <v>30</v>
          </cell>
        </row>
        <row r="14">
          <cell r="AF14">
            <v>31</v>
          </cell>
        </row>
        <row r="15">
          <cell r="AF15">
            <v>30</v>
          </cell>
        </row>
        <row r="16">
          <cell r="AF16">
            <v>31</v>
          </cell>
        </row>
        <row r="17">
          <cell r="AF17">
            <v>31</v>
          </cell>
        </row>
        <row r="18">
          <cell r="AF18">
            <v>29</v>
          </cell>
          <cell r="AT18">
            <v>1300</v>
          </cell>
          <cell r="AU18">
            <v>14800</v>
          </cell>
          <cell r="AV18">
            <v>15200</v>
          </cell>
          <cell r="AW18">
            <v>15700</v>
          </cell>
          <cell r="AX18">
            <v>16200</v>
          </cell>
          <cell r="AY18">
            <v>16700</v>
          </cell>
          <cell r="AZ18">
            <v>17200</v>
          </cell>
          <cell r="BA18">
            <v>17700</v>
          </cell>
          <cell r="BB18">
            <v>18200</v>
          </cell>
          <cell r="BC18">
            <v>18700</v>
          </cell>
          <cell r="BD18">
            <v>19300</v>
          </cell>
          <cell r="BE18">
            <v>19900</v>
          </cell>
          <cell r="BF18">
            <v>20500</v>
          </cell>
          <cell r="BG18">
            <v>21100</v>
          </cell>
          <cell r="BH18">
            <v>21700</v>
          </cell>
          <cell r="BI18">
            <v>22400</v>
          </cell>
          <cell r="BJ18">
            <v>23100</v>
          </cell>
          <cell r="BK18">
            <v>23800</v>
          </cell>
          <cell r="BL18">
            <v>24500</v>
          </cell>
          <cell r="BM18">
            <v>25200</v>
          </cell>
          <cell r="BN18">
            <v>26000</v>
          </cell>
          <cell r="BO18">
            <v>26800</v>
          </cell>
          <cell r="BP18">
            <v>27600</v>
          </cell>
          <cell r="BQ18">
            <v>28400</v>
          </cell>
          <cell r="BR18">
            <v>29300</v>
          </cell>
          <cell r="BS18">
            <v>30200</v>
          </cell>
          <cell r="BT18">
            <v>31100</v>
          </cell>
          <cell r="BU18">
            <v>32000</v>
          </cell>
          <cell r="BV18">
            <v>33000</v>
          </cell>
          <cell r="BW18">
            <v>34000</v>
          </cell>
          <cell r="BX18">
            <v>35000</v>
          </cell>
          <cell r="BY18">
            <v>36100</v>
          </cell>
          <cell r="BZ18">
            <v>37200</v>
          </cell>
          <cell r="CA18">
            <v>38300</v>
          </cell>
          <cell r="CB18">
            <v>39400</v>
          </cell>
          <cell r="CC18">
            <v>40600</v>
          </cell>
          <cell r="CD18">
            <v>41800</v>
          </cell>
          <cell r="CE18">
            <v>43100</v>
          </cell>
          <cell r="CF18">
            <v>44400</v>
          </cell>
          <cell r="CG18">
            <v>45700</v>
          </cell>
          <cell r="CH18">
            <v>47100</v>
          </cell>
        </row>
        <row r="19">
          <cell r="AT19">
            <v>1400</v>
          </cell>
          <cell r="AU19">
            <v>15000</v>
          </cell>
          <cell r="AV19">
            <v>15500</v>
          </cell>
          <cell r="AW19">
            <v>16000</v>
          </cell>
          <cell r="AX19">
            <v>16500</v>
          </cell>
          <cell r="AY19">
            <v>17000</v>
          </cell>
          <cell r="AZ19">
            <v>17500</v>
          </cell>
          <cell r="BA19">
            <v>18000</v>
          </cell>
          <cell r="BB19">
            <v>18500</v>
          </cell>
          <cell r="BC19">
            <v>19100</v>
          </cell>
          <cell r="BD19">
            <v>19700</v>
          </cell>
          <cell r="BE19">
            <v>20300</v>
          </cell>
          <cell r="BF19">
            <v>20900</v>
          </cell>
          <cell r="BG19">
            <v>21500</v>
          </cell>
          <cell r="BH19">
            <v>22100</v>
          </cell>
          <cell r="BI19">
            <v>22800</v>
          </cell>
          <cell r="BJ19">
            <v>23500</v>
          </cell>
          <cell r="BK19">
            <v>24200</v>
          </cell>
          <cell r="BL19">
            <v>24900</v>
          </cell>
          <cell r="BM19">
            <v>25600</v>
          </cell>
          <cell r="BN19">
            <v>26400</v>
          </cell>
          <cell r="BO19">
            <v>27200</v>
          </cell>
          <cell r="BP19">
            <v>28000</v>
          </cell>
          <cell r="BQ19">
            <v>28800</v>
          </cell>
          <cell r="BR19">
            <v>29700</v>
          </cell>
          <cell r="BS19">
            <v>30600</v>
          </cell>
          <cell r="BT19">
            <v>31500</v>
          </cell>
          <cell r="BU19">
            <v>32400</v>
          </cell>
          <cell r="BV19">
            <v>33400</v>
          </cell>
          <cell r="BW19">
            <v>34400</v>
          </cell>
          <cell r="BX19">
            <v>35400</v>
          </cell>
          <cell r="BY19">
            <v>36500</v>
          </cell>
          <cell r="BZ19">
            <v>37600</v>
          </cell>
          <cell r="CA19">
            <v>38700</v>
          </cell>
          <cell r="CB19">
            <v>39900</v>
          </cell>
          <cell r="CC19">
            <v>41100</v>
          </cell>
          <cell r="CD19">
            <v>42300</v>
          </cell>
          <cell r="CE19">
            <v>43600</v>
          </cell>
          <cell r="CF19">
            <v>44900</v>
          </cell>
          <cell r="CG19">
            <v>46200</v>
          </cell>
          <cell r="CH19">
            <v>47600</v>
          </cell>
        </row>
        <row r="20">
          <cell r="AT20">
            <v>1650</v>
          </cell>
          <cell r="AU20">
            <v>15700</v>
          </cell>
          <cell r="AV20">
            <v>16200</v>
          </cell>
          <cell r="AW20">
            <v>16700</v>
          </cell>
          <cell r="AX20">
            <v>17200</v>
          </cell>
          <cell r="AY20">
            <v>17700</v>
          </cell>
          <cell r="AZ20">
            <v>18200</v>
          </cell>
          <cell r="BA20">
            <v>18700</v>
          </cell>
          <cell r="BB20">
            <v>19300</v>
          </cell>
          <cell r="BC20">
            <v>19900</v>
          </cell>
          <cell r="BD20">
            <v>20500</v>
          </cell>
          <cell r="BE20">
            <v>21100</v>
          </cell>
          <cell r="BF20">
            <v>21700</v>
          </cell>
          <cell r="BG20">
            <v>22400</v>
          </cell>
          <cell r="BH20">
            <v>23100</v>
          </cell>
          <cell r="BI20">
            <v>23800</v>
          </cell>
          <cell r="BJ20">
            <v>24500</v>
          </cell>
          <cell r="BK20">
            <v>25200</v>
          </cell>
          <cell r="BL20">
            <v>26000</v>
          </cell>
          <cell r="BM20">
            <v>26800</v>
          </cell>
          <cell r="BN20">
            <v>27600</v>
          </cell>
          <cell r="BO20">
            <v>28400</v>
          </cell>
          <cell r="BP20">
            <v>29300</v>
          </cell>
          <cell r="BQ20">
            <v>30200</v>
          </cell>
          <cell r="BR20">
            <v>31100</v>
          </cell>
          <cell r="BS20">
            <v>32000</v>
          </cell>
          <cell r="BT20">
            <v>33000</v>
          </cell>
          <cell r="BU20">
            <v>34000</v>
          </cell>
          <cell r="BV20">
            <v>35000</v>
          </cell>
          <cell r="BW20">
            <v>36100</v>
          </cell>
          <cell r="BX20">
            <v>37200</v>
          </cell>
          <cell r="BY20">
            <v>38300</v>
          </cell>
          <cell r="BZ20">
            <v>39400</v>
          </cell>
          <cell r="CA20">
            <v>40600</v>
          </cell>
          <cell r="CB20">
            <v>41800</v>
          </cell>
          <cell r="CC20">
            <v>43100</v>
          </cell>
          <cell r="CD20">
            <v>44400</v>
          </cell>
          <cell r="CE20">
            <v>45700</v>
          </cell>
          <cell r="CF20">
            <v>47100</v>
          </cell>
          <cell r="CG20">
            <v>48500</v>
          </cell>
          <cell r="CH20">
            <v>50000</v>
          </cell>
        </row>
        <row r="21">
          <cell r="AT21">
            <v>1800</v>
          </cell>
          <cell r="AU21">
            <v>18000</v>
          </cell>
          <cell r="AV21">
            <v>18500</v>
          </cell>
          <cell r="AW21">
            <v>19100</v>
          </cell>
          <cell r="AX21">
            <v>19700</v>
          </cell>
          <cell r="AY21">
            <v>20300</v>
          </cell>
          <cell r="AZ21">
            <v>20900</v>
          </cell>
          <cell r="BA21">
            <v>21500</v>
          </cell>
          <cell r="BB21">
            <v>22100</v>
          </cell>
          <cell r="BC21">
            <v>22800</v>
          </cell>
          <cell r="BD21">
            <v>23500</v>
          </cell>
          <cell r="BE21">
            <v>24200</v>
          </cell>
          <cell r="BF21">
            <v>24900</v>
          </cell>
          <cell r="BG21">
            <v>25600</v>
          </cell>
          <cell r="BH21">
            <v>26400</v>
          </cell>
          <cell r="BI21">
            <v>27200</v>
          </cell>
          <cell r="BJ21">
            <v>28000</v>
          </cell>
          <cell r="BK21">
            <v>28800</v>
          </cell>
          <cell r="BL21">
            <v>29700</v>
          </cell>
          <cell r="BM21">
            <v>30600</v>
          </cell>
          <cell r="BN21">
            <v>31500</v>
          </cell>
          <cell r="BO21">
            <v>32400</v>
          </cell>
          <cell r="BP21">
            <v>33400</v>
          </cell>
          <cell r="BQ21">
            <v>34400</v>
          </cell>
          <cell r="BR21">
            <v>35400</v>
          </cell>
          <cell r="BS21">
            <v>36500</v>
          </cell>
          <cell r="BT21">
            <v>37600</v>
          </cell>
          <cell r="BU21">
            <v>38700</v>
          </cell>
          <cell r="BV21">
            <v>39900</v>
          </cell>
          <cell r="BW21">
            <v>41100</v>
          </cell>
          <cell r="BX21">
            <v>42300</v>
          </cell>
          <cell r="BY21">
            <v>43600</v>
          </cell>
          <cell r="BZ21">
            <v>44900</v>
          </cell>
          <cell r="CA21">
            <v>46200</v>
          </cell>
          <cell r="CB21">
            <v>47600</v>
          </cell>
          <cell r="CC21">
            <v>49000</v>
          </cell>
          <cell r="CD21">
            <v>50500</v>
          </cell>
          <cell r="CE21">
            <v>52000</v>
          </cell>
          <cell r="CF21">
            <v>53600</v>
          </cell>
          <cell r="CG21">
            <v>55200</v>
          </cell>
          <cell r="CH21">
            <v>56900</v>
          </cell>
        </row>
        <row r="22">
          <cell r="AT22">
            <v>1900</v>
          </cell>
          <cell r="AU22">
            <v>19900</v>
          </cell>
          <cell r="AV22">
            <v>20500</v>
          </cell>
          <cell r="AW22">
            <v>21100</v>
          </cell>
          <cell r="AX22">
            <v>21700</v>
          </cell>
          <cell r="AY22">
            <v>22400</v>
          </cell>
          <cell r="AZ22">
            <v>23100</v>
          </cell>
          <cell r="BA22">
            <v>23800</v>
          </cell>
          <cell r="BB22">
            <v>24500</v>
          </cell>
          <cell r="BC22">
            <v>25200</v>
          </cell>
          <cell r="BD22">
            <v>26000</v>
          </cell>
          <cell r="BE22">
            <v>26800</v>
          </cell>
          <cell r="BF22">
            <v>27600</v>
          </cell>
          <cell r="BG22">
            <v>28400</v>
          </cell>
          <cell r="BH22">
            <v>29300</v>
          </cell>
          <cell r="BI22">
            <v>30200</v>
          </cell>
          <cell r="BJ22">
            <v>31100</v>
          </cell>
          <cell r="BK22">
            <v>32000</v>
          </cell>
          <cell r="BL22">
            <v>33000</v>
          </cell>
          <cell r="BM22">
            <v>34000</v>
          </cell>
          <cell r="BN22">
            <v>35000</v>
          </cell>
          <cell r="BO22">
            <v>36100</v>
          </cell>
          <cell r="BP22">
            <v>37200</v>
          </cell>
          <cell r="BQ22">
            <v>38300</v>
          </cell>
          <cell r="BR22">
            <v>39400</v>
          </cell>
          <cell r="BS22">
            <v>40600</v>
          </cell>
          <cell r="BT22">
            <v>41800</v>
          </cell>
          <cell r="BU22">
            <v>43100</v>
          </cell>
          <cell r="BV22">
            <v>44400</v>
          </cell>
          <cell r="BW22">
            <v>45700</v>
          </cell>
          <cell r="BX22">
            <v>47100</v>
          </cell>
          <cell r="BY22">
            <v>48500</v>
          </cell>
          <cell r="BZ22">
            <v>50000</v>
          </cell>
          <cell r="CA22">
            <v>51500</v>
          </cell>
          <cell r="CB22">
            <v>53000</v>
          </cell>
          <cell r="CC22">
            <v>54600</v>
          </cell>
          <cell r="CD22">
            <v>56200</v>
          </cell>
          <cell r="CE22">
            <v>57900</v>
          </cell>
          <cell r="CF22">
            <v>59600</v>
          </cell>
          <cell r="CG22">
            <v>61400</v>
          </cell>
          <cell r="CH22">
            <v>63200</v>
          </cell>
        </row>
        <row r="23">
          <cell r="AT23">
            <v>2000</v>
          </cell>
          <cell r="AU23">
            <v>21700</v>
          </cell>
          <cell r="AV23">
            <v>22400</v>
          </cell>
          <cell r="AW23">
            <v>23100</v>
          </cell>
          <cell r="AX23">
            <v>23800</v>
          </cell>
          <cell r="AY23">
            <v>24500</v>
          </cell>
          <cell r="AZ23">
            <v>25200</v>
          </cell>
          <cell r="BA23">
            <v>26000</v>
          </cell>
          <cell r="BB23">
            <v>26800</v>
          </cell>
          <cell r="BC23">
            <v>27600</v>
          </cell>
          <cell r="BD23">
            <v>28400</v>
          </cell>
          <cell r="BE23">
            <v>29300</v>
          </cell>
          <cell r="BF23">
            <v>30200</v>
          </cell>
          <cell r="BG23">
            <v>31100</v>
          </cell>
          <cell r="BH23">
            <v>32000</v>
          </cell>
          <cell r="BI23">
            <v>33000</v>
          </cell>
          <cell r="BJ23">
            <v>34000</v>
          </cell>
          <cell r="BK23">
            <v>35000</v>
          </cell>
          <cell r="BL23">
            <v>36100</v>
          </cell>
          <cell r="BM23">
            <v>37200</v>
          </cell>
          <cell r="BN23">
            <v>38300</v>
          </cell>
          <cell r="BO23">
            <v>39400</v>
          </cell>
          <cell r="BP23">
            <v>40600</v>
          </cell>
          <cell r="BQ23">
            <v>41800</v>
          </cell>
          <cell r="BR23">
            <v>43100</v>
          </cell>
          <cell r="BS23">
            <v>44400</v>
          </cell>
          <cell r="BT23">
            <v>45700</v>
          </cell>
          <cell r="BU23">
            <v>47100</v>
          </cell>
          <cell r="BV23">
            <v>48500</v>
          </cell>
          <cell r="BW23">
            <v>50000</v>
          </cell>
          <cell r="BX23">
            <v>51500</v>
          </cell>
          <cell r="BY23">
            <v>53000</v>
          </cell>
          <cell r="BZ23">
            <v>54600</v>
          </cell>
          <cell r="CA23">
            <v>56200</v>
          </cell>
          <cell r="CB23">
            <v>57900</v>
          </cell>
          <cell r="CC23">
            <v>59600</v>
          </cell>
          <cell r="CD23">
            <v>61400</v>
          </cell>
          <cell r="CE23">
            <v>63200</v>
          </cell>
          <cell r="CF23">
            <v>65100</v>
          </cell>
          <cell r="CG23">
            <v>67100</v>
          </cell>
          <cell r="CH23">
            <v>69100</v>
          </cell>
        </row>
        <row r="24">
          <cell r="AT24">
            <v>2400</v>
          </cell>
          <cell r="AU24">
            <v>25500</v>
          </cell>
          <cell r="AV24">
            <v>26300</v>
          </cell>
          <cell r="AW24">
            <v>27100</v>
          </cell>
          <cell r="AX24">
            <v>27900</v>
          </cell>
          <cell r="AY24">
            <v>28700</v>
          </cell>
          <cell r="AZ24">
            <v>29600</v>
          </cell>
          <cell r="BA24">
            <v>30500</v>
          </cell>
          <cell r="BB24">
            <v>31400</v>
          </cell>
          <cell r="BC24">
            <v>32300</v>
          </cell>
          <cell r="BD24">
            <v>33300</v>
          </cell>
          <cell r="BE24">
            <v>34300</v>
          </cell>
          <cell r="BF24">
            <v>35300</v>
          </cell>
          <cell r="BG24">
            <v>36400</v>
          </cell>
          <cell r="BH24">
            <v>37500</v>
          </cell>
          <cell r="BI24">
            <v>38600</v>
          </cell>
          <cell r="BJ24">
            <v>39800</v>
          </cell>
          <cell r="BK24">
            <v>41000</v>
          </cell>
          <cell r="BL24">
            <v>42200</v>
          </cell>
          <cell r="BM24">
            <v>43500</v>
          </cell>
          <cell r="BN24">
            <v>44800</v>
          </cell>
          <cell r="BO24">
            <v>46100</v>
          </cell>
          <cell r="BP24">
            <v>47500</v>
          </cell>
          <cell r="BQ24">
            <v>48900</v>
          </cell>
          <cell r="BR24">
            <v>50400</v>
          </cell>
          <cell r="BS24">
            <v>51900</v>
          </cell>
          <cell r="BT24">
            <v>53500</v>
          </cell>
          <cell r="BU24">
            <v>55100</v>
          </cell>
          <cell r="BV24">
            <v>56800</v>
          </cell>
          <cell r="BW24">
            <v>58500</v>
          </cell>
          <cell r="BX24">
            <v>60300</v>
          </cell>
          <cell r="BY24">
            <v>62100</v>
          </cell>
          <cell r="BZ24">
            <v>64000</v>
          </cell>
          <cell r="CA24">
            <v>65900</v>
          </cell>
          <cell r="CB24">
            <v>67900</v>
          </cell>
          <cell r="CC24">
            <v>69900</v>
          </cell>
          <cell r="CD24">
            <v>72000</v>
          </cell>
          <cell r="CE24">
            <v>74200</v>
          </cell>
          <cell r="CF24">
            <v>76400</v>
          </cell>
          <cell r="CG24">
            <v>78700</v>
          </cell>
          <cell r="CH24">
            <v>81100</v>
          </cell>
        </row>
        <row r="26">
          <cell r="AT26">
            <v>2800</v>
          </cell>
          <cell r="AU26">
            <v>29200</v>
          </cell>
          <cell r="AV26">
            <v>30100</v>
          </cell>
          <cell r="AW26">
            <v>31000</v>
          </cell>
          <cell r="AX26">
            <v>31900</v>
          </cell>
          <cell r="AY26">
            <v>32900</v>
          </cell>
          <cell r="AZ26">
            <v>33900</v>
          </cell>
          <cell r="BA26">
            <v>34900</v>
          </cell>
          <cell r="BB26">
            <v>35900</v>
          </cell>
          <cell r="BC26">
            <v>37000</v>
          </cell>
          <cell r="BD26">
            <v>38100</v>
          </cell>
          <cell r="BE26">
            <v>39200</v>
          </cell>
          <cell r="BF26">
            <v>40400</v>
          </cell>
          <cell r="BG26">
            <v>41600</v>
          </cell>
          <cell r="BH26">
            <v>42800</v>
          </cell>
          <cell r="BI26">
            <v>44100</v>
          </cell>
          <cell r="BJ26">
            <v>45400</v>
          </cell>
          <cell r="BK26">
            <v>46800</v>
          </cell>
          <cell r="BL26">
            <v>48200</v>
          </cell>
          <cell r="BM26">
            <v>49600</v>
          </cell>
          <cell r="BN26">
            <v>51100</v>
          </cell>
          <cell r="BO26">
            <v>52600</v>
          </cell>
          <cell r="BP26">
            <v>54200</v>
          </cell>
          <cell r="BQ26">
            <v>55800</v>
          </cell>
          <cell r="BR26">
            <v>57500</v>
          </cell>
          <cell r="BS26">
            <v>59200</v>
          </cell>
          <cell r="BT26">
            <v>61000</v>
          </cell>
          <cell r="BU26">
            <v>62800</v>
          </cell>
          <cell r="BV26">
            <v>64700</v>
          </cell>
          <cell r="BW26">
            <v>66600</v>
          </cell>
          <cell r="BX26">
            <v>68600</v>
          </cell>
          <cell r="BY26">
            <v>70700</v>
          </cell>
          <cell r="BZ26">
            <v>72800</v>
          </cell>
          <cell r="CA26">
            <v>75000</v>
          </cell>
          <cell r="CB26">
            <v>77300</v>
          </cell>
          <cell r="CC26">
            <v>79600</v>
          </cell>
          <cell r="CD26">
            <v>82000</v>
          </cell>
          <cell r="CE26">
            <v>84500</v>
          </cell>
          <cell r="CF26">
            <v>87000</v>
          </cell>
          <cell r="CG26">
            <v>89600</v>
          </cell>
          <cell r="CH26">
            <v>92300</v>
          </cell>
        </row>
        <row r="27">
          <cell r="AT27">
            <v>5400</v>
          </cell>
          <cell r="AU27">
            <v>53100</v>
          </cell>
          <cell r="AV27">
            <v>54700</v>
          </cell>
          <cell r="AW27">
            <v>56300</v>
          </cell>
          <cell r="AX27">
            <v>58000</v>
          </cell>
          <cell r="AY27">
            <v>59700</v>
          </cell>
          <cell r="AZ27">
            <v>61500</v>
          </cell>
          <cell r="BA27">
            <v>63300</v>
          </cell>
          <cell r="BB27">
            <v>65200</v>
          </cell>
          <cell r="BC27">
            <v>67200</v>
          </cell>
          <cell r="BD27">
            <v>69200</v>
          </cell>
          <cell r="BE27">
            <v>71300</v>
          </cell>
          <cell r="BF27">
            <v>73400</v>
          </cell>
          <cell r="BG27">
            <v>75600</v>
          </cell>
          <cell r="BH27">
            <v>77900</v>
          </cell>
          <cell r="BI27">
            <v>80200</v>
          </cell>
          <cell r="BJ27">
            <v>82600</v>
          </cell>
          <cell r="BK27">
            <v>85100</v>
          </cell>
          <cell r="BL27">
            <v>87700</v>
          </cell>
          <cell r="BM27">
            <v>90300</v>
          </cell>
          <cell r="BN27">
            <v>93000</v>
          </cell>
          <cell r="BO27">
            <v>95800</v>
          </cell>
          <cell r="BP27">
            <v>98700</v>
          </cell>
          <cell r="BQ27">
            <v>101700</v>
          </cell>
          <cell r="BR27">
            <v>104800</v>
          </cell>
          <cell r="BS27">
            <v>107900</v>
          </cell>
          <cell r="BT27">
            <v>111100</v>
          </cell>
          <cell r="BU27">
            <v>114400</v>
          </cell>
          <cell r="BV27">
            <v>117800</v>
          </cell>
          <cell r="BW27">
            <v>121300</v>
          </cell>
          <cell r="BX27">
            <v>124900</v>
          </cell>
          <cell r="BY27">
            <v>128600</v>
          </cell>
          <cell r="BZ27">
            <v>132500</v>
          </cell>
          <cell r="CA27">
            <v>136500</v>
          </cell>
          <cell r="CB27">
            <v>140600</v>
          </cell>
          <cell r="CC27">
            <v>144800</v>
          </cell>
          <cell r="CD27">
            <v>149100</v>
          </cell>
          <cell r="CE27">
            <v>153600</v>
          </cell>
          <cell r="CF27">
            <v>158200</v>
          </cell>
          <cell r="CG27">
            <v>162900</v>
          </cell>
          <cell r="CH27">
            <v>167800</v>
          </cell>
        </row>
        <row r="28">
          <cell r="AT28">
            <v>5400</v>
          </cell>
          <cell r="AU28">
            <v>56100</v>
          </cell>
          <cell r="AV28">
            <v>57800</v>
          </cell>
          <cell r="AW28">
            <v>59500</v>
          </cell>
          <cell r="AX28">
            <v>61300</v>
          </cell>
          <cell r="AY28">
            <v>63100</v>
          </cell>
          <cell r="AZ28">
            <v>65000</v>
          </cell>
          <cell r="BA28">
            <v>67000</v>
          </cell>
          <cell r="BB28">
            <v>69000</v>
          </cell>
          <cell r="BC28">
            <v>71100</v>
          </cell>
          <cell r="BD28">
            <v>73200</v>
          </cell>
          <cell r="BE28">
            <v>75400</v>
          </cell>
          <cell r="BF28">
            <v>77700</v>
          </cell>
          <cell r="BG28">
            <v>80000</v>
          </cell>
          <cell r="BH28">
            <v>82400</v>
          </cell>
          <cell r="BI28">
            <v>84900</v>
          </cell>
          <cell r="BJ28">
            <v>87400</v>
          </cell>
          <cell r="BK28">
            <v>90000</v>
          </cell>
          <cell r="BL28">
            <v>92700</v>
          </cell>
          <cell r="BM28">
            <v>95500</v>
          </cell>
          <cell r="BN28">
            <v>98400</v>
          </cell>
          <cell r="BO28">
            <v>101400</v>
          </cell>
          <cell r="BP28">
            <v>104400</v>
          </cell>
          <cell r="BQ28">
            <v>107500</v>
          </cell>
          <cell r="BR28">
            <v>110700</v>
          </cell>
          <cell r="BS28">
            <v>114000</v>
          </cell>
          <cell r="BT28">
            <v>117400</v>
          </cell>
          <cell r="BU28">
            <v>120900</v>
          </cell>
          <cell r="BV28">
            <v>124500</v>
          </cell>
          <cell r="BW28">
            <v>128200</v>
          </cell>
          <cell r="BX28">
            <v>132000</v>
          </cell>
          <cell r="BY28">
            <v>136000</v>
          </cell>
          <cell r="BZ28">
            <v>140100</v>
          </cell>
          <cell r="CA28">
            <v>144300</v>
          </cell>
          <cell r="CB28">
            <v>148600</v>
          </cell>
          <cell r="CC28">
            <v>153100</v>
          </cell>
          <cell r="CD28">
            <v>157700</v>
          </cell>
          <cell r="CE28">
            <v>162400</v>
          </cell>
          <cell r="CF28">
            <v>167300</v>
          </cell>
          <cell r="CG28">
            <v>172300</v>
          </cell>
          <cell r="CH28">
            <v>177500</v>
          </cell>
        </row>
        <row r="29">
          <cell r="AT29">
            <v>6600</v>
          </cell>
          <cell r="AU29">
            <v>67700</v>
          </cell>
          <cell r="AV29">
            <v>69700</v>
          </cell>
          <cell r="AW29">
            <v>71800</v>
          </cell>
          <cell r="AX29">
            <v>74000</v>
          </cell>
          <cell r="AY29">
            <v>76200</v>
          </cell>
          <cell r="AZ29">
            <v>78500</v>
          </cell>
          <cell r="BA29">
            <v>80900</v>
          </cell>
          <cell r="BB29">
            <v>83300</v>
          </cell>
          <cell r="BC29">
            <v>85800</v>
          </cell>
          <cell r="BD29">
            <v>88400</v>
          </cell>
          <cell r="BE29">
            <v>91100</v>
          </cell>
          <cell r="BF29">
            <v>93800</v>
          </cell>
          <cell r="BG29">
            <v>96600</v>
          </cell>
          <cell r="BH29">
            <v>99500</v>
          </cell>
          <cell r="BI29">
            <v>102500</v>
          </cell>
          <cell r="BJ29">
            <v>105600</v>
          </cell>
          <cell r="BK29">
            <v>108800</v>
          </cell>
          <cell r="BL29">
            <v>112100</v>
          </cell>
          <cell r="BM29">
            <v>115500</v>
          </cell>
          <cell r="BN29">
            <v>119000</v>
          </cell>
          <cell r="BO29">
            <v>122600</v>
          </cell>
          <cell r="BP29">
            <v>126300</v>
          </cell>
          <cell r="BQ29">
            <v>130100</v>
          </cell>
          <cell r="BR29">
            <v>134000</v>
          </cell>
          <cell r="BS29">
            <v>138000</v>
          </cell>
          <cell r="BT29">
            <v>142100</v>
          </cell>
          <cell r="BU29">
            <v>146400</v>
          </cell>
          <cell r="BV29">
            <v>150800</v>
          </cell>
          <cell r="BW29">
            <v>155300</v>
          </cell>
          <cell r="BX29">
            <v>160000</v>
          </cell>
          <cell r="BY29">
            <v>164800</v>
          </cell>
          <cell r="BZ29">
            <v>169700</v>
          </cell>
          <cell r="CA29">
            <v>174800</v>
          </cell>
          <cell r="CB29">
            <v>180000</v>
          </cell>
          <cell r="CC29">
            <v>185400</v>
          </cell>
          <cell r="CD29">
            <v>191000</v>
          </cell>
          <cell r="CE29">
            <v>196700</v>
          </cell>
          <cell r="CF29">
            <v>202600</v>
          </cell>
          <cell r="CG29">
            <v>208700</v>
          </cell>
        </row>
        <row r="30">
          <cell r="AT30">
            <v>7600</v>
          </cell>
          <cell r="AU30">
            <v>78800</v>
          </cell>
          <cell r="AV30">
            <v>81200</v>
          </cell>
          <cell r="AW30">
            <v>83600</v>
          </cell>
          <cell r="AX30">
            <v>86100</v>
          </cell>
          <cell r="AY30">
            <v>88700</v>
          </cell>
          <cell r="AZ30">
            <v>91400</v>
          </cell>
          <cell r="BA30">
            <v>94100</v>
          </cell>
          <cell r="BB30">
            <v>96900</v>
          </cell>
          <cell r="BC30">
            <v>99800</v>
          </cell>
          <cell r="BD30">
            <v>102800</v>
          </cell>
          <cell r="BE30">
            <v>105900</v>
          </cell>
          <cell r="BF30">
            <v>109100</v>
          </cell>
          <cell r="BG30">
            <v>112400</v>
          </cell>
          <cell r="BH30">
            <v>115800</v>
          </cell>
          <cell r="BI30">
            <v>119300</v>
          </cell>
          <cell r="BJ30">
            <v>122900</v>
          </cell>
          <cell r="BK30">
            <v>126600</v>
          </cell>
          <cell r="BL30">
            <v>130400</v>
          </cell>
          <cell r="BM30">
            <v>134300</v>
          </cell>
          <cell r="BN30">
            <v>138300</v>
          </cell>
          <cell r="BO30">
            <v>142400</v>
          </cell>
          <cell r="BP30">
            <v>146700</v>
          </cell>
          <cell r="BQ30">
            <v>151100</v>
          </cell>
          <cell r="BR30">
            <v>155600</v>
          </cell>
          <cell r="BS30">
            <v>160300</v>
          </cell>
          <cell r="BT30">
            <v>165100</v>
          </cell>
          <cell r="BU30">
            <v>170100</v>
          </cell>
          <cell r="BV30">
            <v>175200</v>
          </cell>
          <cell r="BW30">
            <v>180500</v>
          </cell>
          <cell r="BX30">
            <v>185900</v>
          </cell>
          <cell r="BY30">
            <v>191500</v>
          </cell>
          <cell r="BZ30">
            <v>197200</v>
          </cell>
          <cell r="CA30">
            <v>203100</v>
          </cell>
          <cell r="CB30">
            <v>209200</v>
          </cell>
        </row>
        <row r="31">
          <cell r="AT31">
            <v>8700</v>
          </cell>
          <cell r="AU31">
            <v>118500</v>
          </cell>
          <cell r="AV31">
            <v>122100</v>
          </cell>
          <cell r="AW31">
            <v>125800</v>
          </cell>
          <cell r="AX31">
            <v>129600</v>
          </cell>
          <cell r="AY31">
            <v>133500</v>
          </cell>
          <cell r="AZ31">
            <v>137500</v>
          </cell>
          <cell r="BA31">
            <v>141600</v>
          </cell>
          <cell r="BB31">
            <v>145800</v>
          </cell>
          <cell r="BC31">
            <v>150200</v>
          </cell>
          <cell r="BD31">
            <v>154700</v>
          </cell>
          <cell r="BE31">
            <v>159300</v>
          </cell>
          <cell r="BF31">
            <v>164100</v>
          </cell>
          <cell r="BG31">
            <v>169000</v>
          </cell>
          <cell r="BH31">
            <v>174100</v>
          </cell>
          <cell r="BI31">
            <v>179300</v>
          </cell>
          <cell r="BJ31">
            <v>184700</v>
          </cell>
          <cell r="BK31">
            <v>190200</v>
          </cell>
          <cell r="BL31">
            <v>195900</v>
          </cell>
          <cell r="BM31">
            <v>201800</v>
          </cell>
          <cell r="BN31">
            <v>207900</v>
          </cell>
          <cell r="BO31">
            <v>214100</v>
          </cell>
        </row>
        <row r="32">
          <cell r="AT32">
            <v>8900</v>
          </cell>
          <cell r="AU32">
            <v>131100</v>
          </cell>
          <cell r="AV32">
            <v>135000</v>
          </cell>
          <cell r="AW32">
            <v>139100</v>
          </cell>
          <cell r="AX32">
            <v>143300</v>
          </cell>
          <cell r="AY32">
            <v>147600</v>
          </cell>
          <cell r="AZ32">
            <v>152000</v>
          </cell>
          <cell r="BA32">
            <v>156600</v>
          </cell>
          <cell r="BB32">
            <v>161300</v>
          </cell>
          <cell r="BC32">
            <v>166100</v>
          </cell>
          <cell r="BD32">
            <v>171100</v>
          </cell>
          <cell r="BE32">
            <v>176200</v>
          </cell>
          <cell r="BF32">
            <v>181500</v>
          </cell>
          <cell r="BG32">
            <v>186900</v>
          </cell>
          <cell r="BH32">
            <v>192500</v>
          </cell>
          <cell r="BI32">
            <v>198300</v>
          </cell>
          <cell r="BJ32">
            <v>204200</v>
          </cell>
          <cell r="BK32">
            <v>210300</v>
          </cell>
          <cell r="BL32">
            <v>216600</v>
          </cell>
        </row>
        <row r="33">
          <cell r="AT33">
            <v>10000</v>
          </cell>
          <cell r="AU33">
            <v>144200</v>
          </cell>
          <cell r="AV33">
            <v>148500</v>
          </cell>
          <cell r="AW33">
            <v>153000</v>
          </cell>
          <cell r="AX33">
            <v>157600</v>
          </cell>
          <cell r="AY33">
            <v>162300</v>
          </cell>
          <cell r="AZ33">
            <v>167200</v>
          </cell>
          <cell r="BA33">
            <v>172200</v>
          </cell>
          <cell r="BB33">
            <v>177400</v>
          </cell>
          <cell r="BC33">
            <v>182700</v>
          </cell>
          <cell r="BD33">
            <v>188200</v>
          </cell>
          <cell r="BE33">
            <v>193800</v>
          </cell>
          <cell r="BF33">
            <v>199600</v>
          </cell>
          <cell r="BG33">
            <v>205600</v>
          </cell>
          <cell r="BH33">
            <v>211800</v>
          </cell>
          <cell r="BI33">
            <v>218200</v>
          </cell>
        </row>
        <row r="34">
          <cell r="AT34" t="str">
            <v>HAG</v>
          </cell>
          <cell r="AU34">
            <v>182200</v>
          </cell>
          <cell r="AV34">
            <v>187700</v>
          </cell>
          <cell r="AW34">
            <v>193300</v>
          </cell>
          <cell r="AX34">
            <v>199100</v>
          </cell>
          <cell r="AY34">
            <v>205100</v>
          </cell>
          <cell r="AZ34">
            <v>211300</v>
          </cell>
          <cell r="BA34">
            <v>217600</v>
          </cell>
          <cell r="BB34">
            <v>224100</v>
          </cell>
        </row>
        <row r="35">
          <cell r="AT35" t="str">
            <v>CS</v>
          </cell>
          <cell r="AU35">
            <v>225000</v>
          </cell>
        </row>
      </sheetData>
      <sheetData sheetId="4">
        <row r="1">
          <cell r="L1" t="str">
            <v>_NIL_</v>
          </cell>
        </row>
      </sheetData>
      <sheetData sheetId="5"/>
      <sheetData sheetId="6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1.xml"/><Relationship Id="rId13" Type="http://schemas.openxmlformats.org/officeDocument/2006/relationships/revisionLog" Target="revisionLog6.xml"/><Relationship Id="rId18" Type="http://schemas.openxmlformats.org/officeDocument/2006/relationships/revisionLog" Target="revisionLog13.xml"/><Relationship Id="rId3" Type="http://schemas.openxmlformats.org/officeDocument/2006/relationships/revisionLog" Target="revisionLog11.xml"/><Relationship Id="rId7" Type="http://schemas.openxmlformats.org/officeDocument/2006/relationships/revisionLog" Target="revisionLog12.xml"/><Relationship Id="rId12" Type="http://schemas.openxmlformats.org/officeDocument/2006/relationships/revisionLog" Target="revisionLog5.xml"/><Relationship Id="rId17" Type="http://schemas.openxmlformats.org/officeDocument/2006/relationships/revisionLog" Target="revisionLog10.xml"/><Relationship Id="rId2" Type="http://schemas.openxmlformats.org/officeDocument/2006/relationships/revisionLog" Target="revisionLog111.xml"/><Relationship Id="rId16" Type="http://schemas.openxmlformats.org/officeDocument/2006/relationships/revisionLog" Target="revisionLog9.xml"/><Relationship Id="rId1" Type="http://schemas.openxmlformats.org/officeDocument/2006/relationships/revisionLog" Target="revisionLog1111.xml"/><Relationship Id="rId6" Type="http://schemas.openxmlformats.org/officeDocument/2006/relationships/revisionLog" Target="revisionLog121.xml"/><Relationship Id="rId11" Type="http://schemas.openxmlformats.org/officeDocument/2006/relationships/revisionLog" Target="revisionLog4.xml"/><Relationship Id="rId5" Type="http://schemas.openxmlformats.org/officeDocument/2006/relationships/revisionLog" Target="revisionLog1211.xml"/><Relationship Id="rId15" Type="http://schemas.openxmlformats.org/officeDocument/2006/relationships/revisionLog" Target="revisionLog8.xml"/><Relationship Id="rId10" Type="http://schemas.openxmlformats.org/officeDocument/2006/relationships/revisionLog" Target="revisionLog3.xml"/><Relationship Id="rId19" Type="http://schemas.openxmlformats.org/officeDocument/2006/relationships/revisionLog" Target="revisionLog14.xml"/><Relationship Id="rId4" Type="http://schemas.openxmlformats.org/officeDocument/2006/relationships/revisionLog" Target="revisionLog12111.xml"/><Relationship Id="rId9" Type="http://schemas.openxmlformats.org/officeDocument/2006/relationships/revisionLog" Target="revisionLog2.xml"/><Relationship Id="rId14" Type="http://schemas.openxmlformats.org/officeDocument/2006/relationships/revisionLog" Target="revisionLog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3BC7D86-B3E3-4D9B-95F7-FF7B25A7D554}" diskRevisions="1" revisionId="375" version="3" protected="1">
  <header guid="{D195D607-5B74-47EF-ACB6-5BC72F6E6CF5}" dateTime="2023-12-15T02:13:06" maxSheetId="5" userName="admin" r:id="rId1">
    <sheetIdMap count="4">
      <sheetId val="1"/>
      <sheetId val="2"/>
      <sheetId val="3"/>
      <sheetId val="4"/>
    </sheetIdMap>
  </header>
  <header guid="{9F677C9D-FF83-4BAC-9470-2494344D946F}" dateTime="2023-12-15T02:28:31" maxSheetId="5" userName="admin" r:id="rId2" minRId="1" maxRId="69">
    <sheetIdMap count="4">
      <sheetId val="1"/>
      <sheetId val="2"/>
      <sheetId val="3"/>
      <sheetId val="4"/>
    </sheetIdMap>
  </header>
  <header guid="{F8FFA468-849D-4203-9CED-849E238A2313}" dateTime="2023-12-15T02:28:51" maxSheetId="5" userName="admin" r:id="rId3">
    <sheetIdMap count="4">
      <sheetId val="1"/>
      <sheetId val="2"/>
      <sheetId val="3"/>
      <sheetId val="4"/>
    </sheetIdMap>
  </header>
  <header guid="{F2053B30-C490-4867-AD16-26092FC70367}" dateTime="2023-12-15T02:29:20" maxSheetId="5" userName="admin" r:id="rId4">
    <sheetIdMap count="4">
      <sheetId val="1"/>
      <sheetId val="2"/>
      <sheetId val="3"/>
      <sheetId val="4"/>
    </sheetIdMap>
  </header>
  <header guid="{2791EB0E-19F4-4048-A6F7-D6C2D2338C9D}" dateTime="2023-12-15T02:29:36" maxSheetId="5" userName="admin" r:id="rId5">
    <sheetIdMap count="4">
      <sheetId val="1"/>
      <sheetId val="2"/>
      <sheetId val="3"/>
      <sheetId val="4"/>
    </sheetIdMap>
  </header>
  <header guid="{0EBAB963-593B-46A9-9530-608E2315BCDE}" dateTime="2023-12-15T02:30:48" maxSheetId="5" userName="admin" r:id="rId6" minRId="114" maxRId="124">
    <sheetIdMap count="4">
      <sheetId val="1"/>
      <sheetId val="2"/>
      <sheetId val="3"/>
      <sheetId val="4"/>
    </sheetIdMap>
  </header>
  <header guid="{80C2E85A-C387-4BE2-A6B2-72DDAB6B5EDD}" dateTime="2023-12-15T02:31:22" maxSheetId="5" userName="admin" r:id="rId7" minRId="136" maxRId="145">
    <sheetIdMap count="4">
      <sheetId val="1"/>
      <sheetId val="2"/>
      <sheetId val="3"/>
      <sheetId val="4"/>
    </sheetIdMap>
  </header>
  <header guid="{9B7EA6EF-19F9-4CC5-83E8-5631078A953E}" dateTime="2023-12-15T02:31:43" maxSheetId="5" userName="admin" r:id="rId8">
    <sheetIdMap count="4">
      <sheetId val="1"/>
      <sheetId val="2"/>
      <sheetId val="3"/>
      <sheetId val="4"/>
    </sheetIdMap>
  </header>
  <header guid="{EDB0AD43-DF30-4703-A136-B27019D7B15D}" dateTime="2023-12-21T18:45:13" maxSheetId="5" userName="RAEES" r:id="rId9" minRId="168" maxRId="176">
    <sheetIdMap count="4">
      <sheetId val="1"/>
      <sheetId val="2"/>
      <sheetId val="3"/>
      <sheetId val="4"/>
    </sheetIdMap>
  </header>
  <header guid="{CD1EA247-A411-41A2-999F-EF88281085CF}" dateTime="2023-12-21T19:45:47" maxSheetId="6" userName="RAEES" r:id="rId10" minRId="188" maxRId="198">
    <sheetIdMap count="5">
      <sheetId val="1"/>
      <sheetId val="2"/>
      <sheetId val="3"/>
      <sheetId val="4"/>
      <sheetId val="5"/>
    </sheetIdMap>
  </header>
  <header guid="{B7D33496-8A42-4670-9851-9AA5E6CED788}" dateTime="2023-12-22T13:24:34" maxSheetId="6" userName="RAEES" r:id="rId11" minRId="210" maxRId="314">
    <sheetIdMap count="5">
      <sheetId val="1"/>
      <sheetId val="2"/>
      <sheetId val="3"/>
      <sheetId val="4"/>
      <sheetId val="5"/>
    </sheetIdMap>
  </header>
  <header guid="{D24096FC-74A7-4DA4-B9E6-A4BE14E99CED}" dateTime="2023-12-22T14:39:04" maxSheetId="6" userName="RAEES" r:id="rId12">
    <sheetIdMap count="5">
      <sheetId val="1"/>
      <sheetId val="2"/>
      <sheetId val="3"/>
      <sheetId val="4"/>
      <sheetId val="5"/>
    </sheetIdMap>
  </header>
  <header guid="{56977AA4-F508-4C5C-8699-E21E74F2F7D2}" dateTime="2023-12-22T14:55:17" maxSheetId="6" userName="RAEES" r:id="rId13">
    <sheetIdMap count="5">
      <sheetId val="1"/>
      <sheetId val="2"/>
      <sheetId val="3"/>
      <sheetId val="4"/>
      <sheetId val="5"/>
    </sheetIdMap>
  </header>
  <header guid="{163B6C2B-1898-44F5-8574-BBA9596B84CE}" dateTime="2023-12-22T14:55:50" maxSheetId="6" userName="RAEES" r:id="rId14" minRId="337" maxRId="338">
    <sheetIdMap count="5">
      <sheetId val="1"/>
      <sheetId val="2"/>
      <sheetId val="3"/>
      <sheetId val="4"/>
      <sheetId val="5"/>
    </sheetIdMap>
  </header>
  <header guid="{78601B0B-A833-4C14-A0FB-76500B7ED461}" dateTime="2023-12-22T14:56:16" maxSheetId="6" userName="RAEES" r:id="rId15">
    <sheetIdMap count="5">
      <sheetId val="1"/>
      <sheetId val="2"/>
      <sheetId val="3"/>
      <sheetId val="4"/>
      <sheetId val="5"/>
    </sheetIdMap>
  </header>
  <header guid="{81A3F8C5-F104-4950-A497-BE6CFEA8B93E}" dateTime="2023-12-22T15:02:30" maxSheetId="6" userName="RAEES" r:id="rId16">
    <sheetIdMap count="5">
      <sheetId val="1"/>
      <sheetId val="2"/>
      <sheetId val="3"/>
      <sheetId val="4"/>
      <sheetId val="5"/>
    </sheetIdMap>
  </header>
  <header guid="{B3641ADD-4A96-47B4-8181-9C3B2399F29E}" dateTime="2023-12-22T15:03:57" maxSheetId="6" userName="RAEES" r:id="rId17" minRId="350">
    <sheetIdMap count="5">
      <sheetId val="1"/>
      <sheetId val="2"/>
      <sheetId val="3"/>
      <sheetId val="4"/>
      <sheetId val="5"/>
    </sheetIdMap>
  </header>
  <header guid="{7752C608-C41A-4D0C-BEFC-EFA2F568B8C9}" dateTime="2023-12-22T15:12:08" maxSheetId="6" userName="RAEES" r:id="rId18" minRId="351" maxRId="353">
    <sheetIdMap count="5">
      <sheetId val="1"/>
      <sheetId val="2"/>
      <sheetId val="3"/>
      <sheetId val="4"/>
      <sheetId val="5"/>
    </sheetIdMap>
  </header>
  <header guid="{13BC7D86-B3E3-4D9B-95F7-FF7B25A7D554}" dateTime="2023-12-22T15:20:39" maxSheetId="6" userName="RAEES" r:id="rId19">
    <sheetIdMap count="5">
      <sheetId val="1"/>
      <sheetId val="2"/>
      <sheetId val="3"/>
      <sheetId val="4"/>
      <sheetId val="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" sId="1">
    <oc r="G4">
      <v>7</v>
    </oc>
    <nc r="G4">
      <v>5</v>
    </nc>
  </rcc>
  <rcc rId="169" sId="1">
    <oc r="H4">
      <v>2</v>
    </oc>
    <nc r="H4">
      <v>1</v>
    </nc>
  </rcc>
  <rcc rId="170" sId="1">
    <oc r="I4">
      <v>5</v>
    </oc>
    <nc r="I4">
      <v>0</v>
    </nc>
  </rcc>
  <rcc rId="171" sId="1">
    <oc r="J4">
      <v>3</v>
    </oc>
    <nc r="J4">
      <v>1</v>
    </nc>
  </rcc>
  <rcc rId="172" sId="1">
    <oc r="K4">
      <v>9</v>
    </oc>
    <nc r="K4">
      <v>2</v>
    </nc>
  </rcc>
  <rcc rId="173" sId="1">
    <oc r="L4">
      <v>0</v>
    </oc>
    <nc r="L4">
      <v>9</v>
    </nc>
  </rcc>
  <rcc rId="174" sId="1">
    <oc r="M4">
      <v>1</v>
    </oc>
    <nc r="M4">
      <v>6</v>
    </nc>
  </rcc>
  <rcc rId="175" sId="1">
    <oc r="O4">
      <v>2</v>
    </oc>
    <nc r="O4">
      <v>3</v>
    </nc>
  </rcc>
  <rcc rId="176" sId="1">
    <oc r="I8" t="inlineStr">
      <is>
        <t xml:space="preserve">Bhovaniya Suleman Ibrahimbhai </t>
      </is>
    </oc>
    <nc r="I8" t="inlineStr">
      <is>
        <t>RAEES Y PATEL</t>
      </is>
    </nc>
  </rcc>
  <rfmt sheetId="3" sqref="A63:AG1048576">
    <dxf>
      <fill>
        <patternFill>
          <bgColor theme="1"/>
        </patternFill>
      </fill>
    </dxf>
  </rfmt>
  <rfmt sheetId="3" sqref="A63:AG1048576" start="0" length="2147483647">
    <dxf>
      <font>
        <color auto="1"/>
      </font>
    </dxf>
  </rfmt>
  <rfmt sheetId="1" sqref="A61:AG61">
    <dxf>
      <fill>
        <patternFill>
          <bgColor theme="1"/>
        </patternFill>
      </fill>
    </dxf>
  </rfmt>
  <rfmt sheetId="1" sqref="A61:AG61" start="0" length="2147483647">
    <dxf>
      <font>
        <color auto="1"/>
      </font>
    </dxf>
  </rfmt>
  <rfmt sheetId="2" sqref="A45:P45" start="0" length="2147483647">
    <dxf>
      <font>
        <color auto="1"/>
      </font>
    </dxf>
  </rfmt>
  <rfmt sheetId="1" sqref="A1:XFD1048576" start="0" length="2147483647">
    <dxf>
      <font>
        <name val="SHREE_GUJ_OTF_0768"/>
        <charset val="1"/>
      </font>
    </dxf>
  </rfmt>
  <rfmt sheetId="2" sqref="A1:XFD1048576" start="0" length="2147483647">
    <dxf>
      <font>
        <name val="SHREE_GUJ_OTF_0768"/>
        <charset val="1"/>
      </font>
    </dxf>
  </rfmt>
  <rdn rId="0" localSheetId="1" customView="1" name="Z_0E659955_9737_492F_945A_95AC3E0C4088_.wvu.PrintArea" hidden="1" oldHidden="1">
    <formula>OLD!$B$2:$AF$60</formula>
  </rdn>
  <rdn rId="0" localSheetId="1" customView="1" name="Z_0E659955_9737_492F_945A_95AC3E0C4088_.wvu.Rows" hidden="1" oldHidden="1">
    <formula>OLD!$349:$1048576,OLD!$62:$348</formula>
  </rdn>
  <rdn rId="0" localSheetId="1" customView="1" name="Z_0E659955_9737_492F_945A_95AC3E0C4088_.wvu.Cols" hidden="1" oldHidden="1">
    <formula>OLD!$AH:$XFD</formula>
  </rdn>
  <rdn rId="0" localSheetId="2" customView="1" name="Z_0E659955_9737_492F_945A_95AC3E0C4088_.wvu.PrintArea" hidden="1" oldHidden="1">
    <formula>'KPAT PTRK '!$B$2:$O$44</formula>
  </rdn>
  <rdn rId="0" localSheetId="2" customView="1" name="Z_0E659955_9737_492F_945A_95AC3E0C4088_.wvu.Rows" hidden="1" oldHidden="1">
    <formula>'KPAT PTRK '!$1003:$1048576,'KPAT PTRK '!$46:$1002</formula>
  </rdn>
  <rdn rId="0" localSheetId="2" customView="1" name="Z_0E659955_9737_492F_945A_95AC3E0C4088_.wvu.Cols" hidden="1" oldHidden="1">
    <formula>'KPAT PTRK '!$Q:$XFD</formula>
  </rdn>
  <rdn rId="0" localSheetId="3" customView="1" name="Z_0E659955_9737_492F_945A_95AC3E0C4088_.wvu.PrintArea" hidden="1" oldHidden="1">
    <formula>NEW!$B$2:$AF$62</formula>
  </rdn>
  <rdn rId="0" localSheetId="3" customView="1" name="Z_0E659955_9737_492F_945A_95AC3E0C4088_.wvu.Rows" hidden="1" oldHidden="1">
    <formula>NEW!$351:$1048576,NEW!$64:$350</formula>
  </rdn>
  <rdn rId="0" localSheetId="3" customView="1" name="Z_0E659955_9737_492F_945A_95AC3E0C4088_.wvu.Cols" hidden="1" oldHidden="1">
    <formula>NEW!$AH:$XFD</formula>
  </rdn>
  <rdn rId="0" localSheetId="4" customView="1" name="Z_0E659955_9737_492F_945A_95AC3E0C4088_.wvu.Rows" hidden="1" oldHidden="1">
    <formula>Sheet1!$65537:$1048576,Sheet1!$1:$65536</formula>
  </rdn>
  <rdn rId="0" localSheetId="4" customView="1" name="Z_0E659955_9737_492F_945A_95AC3E0C4088_.wvu.Cols" hidden="1" oldHidden="1">
    <formula>Sheet1!$1:$1048576</formula>
  </rdn>
  <rcv guid="{0E659955-9737-492F-945A-95AC3E0C4088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2" start="0" length="0">
    <dxf>
      <font>
        <u/>
        <sz val="10"/>
        <color auto="1"/>
        <name val="Arial"/>
        <family val="2"/>
        <scheme val="none"/>
      </font>
    </dxf>
  </rfmt>
  <rfmt sheetId="5" sqref="A2" start="0" length="2147483647">
    <dxf>
      <font>
        <b/>
      </font>
    </dxf>
  </rfmt>
  <rfmt sheetId="5" sqref="A2" start="0" length="2147483647">
    <dxf>
      <font>
        <u val="none"/>
      </font>
    </dxf>
  </rfmt>
  <rfmt sheetId="5" sqref="A2" start="0" length="2147483647">
    <dxf>
      <font>
        <b val="0"/>
      </font>
    </dxf>
  </rfmt>
  <rfmt sheetId="5" sqref="A2" start="0" length="2147483647">
    <dxf>
      <font>
        <b/>
      </font>
    </dxf>
  </rfmt>
  <rfmt sheetId="5" sqref="A2" start="0" length="0">
    <dxf>
      <font>
        <u/>
      </font>
    </dxf>
  </rfmt>
  <rfmt sheetId="5" sqref="A1:XFD1048576" start="0" length="2147483647">
    <dxf>
      <font>
        <name val="SHREE_GUJ_OTF_0768"/>
        <charset val="1"/>
      </font>
    </dxf>
  </rfmt>
  <rrc rId="188" sId="5" eol="1" ref="A3:XFD3" action="insertRow"/>
  <rcc rId="189" sId="5" odxf="1" dxf="1" numFmtId="4">
    <nc r="B3">
      <v>1</v>
    </nc>
    <odxf>
      <numFmt numFmtId="0" formatCode="General"/>
    </odxf>
    <ndxf>
      <numFmt numFmtId="171" formatCode="[$-7000447]0"/>
    </ndxf>
  </rcc>
  <rrc rId="190" sId="5" eol="1" ref="A4:XFD4" action="insertRow"/>
  <rcc rId="191" sId="5" odxf="1" dxf="1" numFmtId="4">
    <nc r="B4">
      <v>2</v>
    </nc>
    <odxf>
      <numFmt numFmtId="0" formatCode="General"/>
    </odxf>
    <ndxf>
      <numFmt numFmtId="171" formatCode="[$-7000447]0"/>
    </ndxf>
  </rcc>
  <rcc rId="192" sId="5">
    <nc r="A2" t="inlineStr">
      <is>
        <t>સૂચના મુજબ ફોર્મ ભરવુ</t>
      </is>
    </nc>
  </rcc>
  <rrc rId="193" sId="5" eol="1" ref="A5:XFD5" action="insertRow"/>
  <rcc rId="194" sId="5" odxf="1" dxf="1" numFmtId="4">
    <nc r="B5">
      <v>3</v>
    </nc>
    <odxf>
      <numFmt numFmtId="0" formatCode="General"/>
    </odxf>
    <ndxf>
      <numFmt numFmtId="171" formatCode="[$-7000447]0"/>
    </ndxf>
  </rcc>
  <rfmt sheetId="5" sqref="A2:C5" start="0" length="2147483647">
    <dxf>
      <font>
        <sz val="14"/>
      </font>
    </dxf>
  </rfmt>
  <rcc rId="195" sId="5">
    <nc r="C5" t="inlineStr">
      <is>
        <t xml:space="preserve">પર્સનલ માહિતી જેમકે નામ,પાનકાર્ડ નંબર,આધાર કાર્ડ નંબર,મોબાઈલ નંબર,વગેરે ની માહિતી જાતે ભરવાની રહશે </t>
      </is>
    </nc>
  </rcc>
  <rrc rId="196" sId="5" eol="1" ref="A6:XFD6" action="insertRow"/>
  <rfmt sheetId="5" sqref="B6" start="0" length="0">
    <dxf>
      <numFmt numFmtId="171" formatCode="[$-7000447]0"/>
    </dxf>
  </rfmt>
  <rcc rId="197" sId="5">
    <nc r="C3" t="inlineStr">
      <is>
        <t xml:space="preserve">આ ફોર્મ  સાથે આપેલ ગુજરાતી ફૉન્ટસ  ઇન્સ્ટોલ કરવા </t>
      </is>
    </nc>
  </rcc>
  <rcc rId="198" sId="5">
    <nc r="C4" t="inlineStr">
      <is>
        <t xml:space="preserve">સો પ્રથમ કપાત પત્રક કૉલમ મા માહિતી ભરવી જેમકે પગાર,એરિયર્સ,રોકાણ,ટેક્સ, ની માહિતી ભરવી </t>
      </is>
    </nc>
  </rcc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SLAB)'!$348:$1048575,'જૂન સ્લેબ મુજબ (OLD SLAB)'!$61:$347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'!$988:$1048561,'કપાટ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SLAB)'!$350:$1048576,'નવા સ્લેબ મુજબ (NEW SLAB)'!$63:$349</formula>
    <oldFormula>'નવા સ્લેબ મુજબ (NEW SLAB)'!$350:$1048575,'નવા સ્લેબ મુજબ (NEW SLAB)'!$63:$349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Sheet1!$65537:$1048576,Sheet1!$1:$65536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" sId="5" numFmtId="4">
    <nc r="B6">
      <v>4</v>
    </nc>
  </rcc>
  <rcc rId="211" sId="5">
    <nc r="C6" t="inlineStr">
      <is>
        <t xml:space="preserve">C.P.F. &amp; G.P.F.ત્થા </t>
      </is>
    </nc>
  </rcc>
  <rcc rId="212" sId="5">
    <nc r="C6" t="inlineStr">
      <is>
        <t xml:space="preserve">C.P.F. &amp; G.P.F.ત્થા NPS રોકાણ હોય તો તેની ડિટેલ્સ ફિલ કરવાની રેહેશે </t>
      </is>
    </nc>
  </rcc>
  <rrc rId="213" sId="5" eol="1" ref="A7:XFD7" action="insertRow"/>
  <rfmt sheetId="5" sqref="A9" start="0" length="0">
    <dxf>
      <numFmt numFmtId="171" formatCode="[$-7000447]0"/>
    </dxf>
  </rfmt>
  <rcc rId="214" sId="5">
    <nc r="C6" t="inlineStr">
      <is>
        <t xml:space="preserve">C.P.F. ત્થા G.P.F.ત્થા NPS રોકાણ હોય તો તેની ડિટેલ્સ ફિલ કરવાની રેહેશે </t>
      </is>
    </nc>
  </rcc>
  <rcc rId="215" sId="5">
    <nc r="C6" t="inlineStr">
      <is>
        <t xml:space="preserve">C.P.F. ત્થા G.P.F.ત્થા NPS રોકાણ હોય તો તેની ઓપ્શન  ફિલ કરવાની રેહેશે </t>
      </is>
    </nc>
  </rcc>
  <rcc rId="216" sId="5">
    <nc r="C6" t="inlineStr">
      <is>
        <t xml:space="preserve">C.P.F. ત્થા G.P.F.ત્થા NPS રોકાણ હોય તો તેની ઓપ્શન  ફિલ કરવાની રહશે </t>
      </is>
    </nc>
  </rcc>
  <rcc rId="217" sId="5">
    <nc r="C6" t="inlineStr">
      <is>
        <t xml:space="preserve">C.P.F. ત્થા G.P.F.ત્થા NPS રોકાણ હોય તો તેની ઓપ્શન  ફિલ કરવાની રહશે. </t>
      </is>
    </nc>
  </rcc>
  <rfmt sheetId="5" sqref="B6" start="0" length="2147483647">
    <dxf>
      <font>
        <sz val="14"/>
      </font>
    </dxf>
  </rfmt>
  <rfmt sheetId="5" sqref="C6" start="0" length="2147483647">
    <dxf>
      <font>
        <sz val="14"/>
      </font>
    </dxf>
  </rfmt>
  <rfmt sheetId="5" sqref="B3:C7" start="0" length="2147483647">
    <dxf/>
  </rfmt>
  <rfmt sheetId="5" sqref="B3:C7" start="0" length="2147483647">
    <dxf>
      <font>
        <sz val="14"/>
      </font>
    </dxf>
  </rfmt>
  <rfmt sheetId="5" sqref="A9" start="0" length="2147483647">
    <dxf>
      <font>
        <sz val="14"/>
      </font>
    </dxf>
  </rfmt>
  <rfmt sheetId="5" sqref="A9" start="0" length="2147483647">
    <dxf>
      <font>
        <b/>
      </font>
    </dxf>
  </rfmt>
  <rcc rId="218" sId="5">
    <nc r="A9" t="inlineStr">
      <is>
        <t xml:space="preserve">ફોર્મ સાથે જરૂરી </t>
      </is>
    </nc>
  </rcc>
  <rfmt sheetId="5" sqref="A9" start="0" length="2147483647">
    <dxf>
      <font>
        <b val="0"/>
      </font>
    </dxf>
  </rfmt>
  <rfmt sheetId="5" sqref="A9" start="0" length="2147483647">
    <dxf>
      <font>
        <u/>
      </font>
    </dxf>
  </rfmt>
  <rfmt sheetId="5" sqref="A9" start="0" length="2147483647">
    <dxf>
      <font>
        <b/>
      </font>
    </dxf>
  </rfmt>
  <rcc rId="219" sId="5" odxf="1" dxf="1" numFmtId="4">
    <nc r="B9">
      <v>1</v>
    </nc>
    <odxf>
      <numFmt numFmtId="0" formatCode="General"/>
    </odxf>
    <ndxf>
      <numFmt numFmtId="171" formatCode="[$-7000447]0"/>
    </ndxf>
  </rcc>
  <rcc rId="220" sId="5">
    <nc r="A9" t="inlineStr">
      <is>
        <t xml:space="preserve">ફોર્મ સાથે જરૂરી ડોક્યુમેન્ટ </t>
      </is>
    </nc>
  </rcc>
  <rrc rId="221" sId="5" eol="1" ref="A10:XFD10" action="insertRow"/>
  <rcc rId="222" sId="5" odxf="1" dxf="1" numFmtId="4">
    <nc r="B10">
      <v>2</v>
    </nc>
    <odxf>
      <numFmt numFmtId="0" formatCode="General"/>
    </odxf>
    <ndxf>
      <numFmt numFmtId="171" formatCode="[$-7000447]0"/>
    </ndxf>
  </rcc>
  <rrc rId="223" sId="5" eol="1" ref="A11:XFD11" action="insertRow"/>
  <rfmt sheetId="5" sqref="A18" start="0" length="0">
    <dxf>
      <numFmt numFmtId="171" formatCode="[$-7000447]0"/>
    </dxf>
  </rfmt>
  <rrc rId="224" sId="5" eol="1" ref="A12:XFD12" action="insertRow"/>
  <rfmt sheetId="5" sqref="A19" start="0" length="0">
    <dxf>
      <numFmt numFmtId="171" formatCode="[$-7000447]0"/>
    </dxf>
  </rfmt>
  <rcc rId="225" sId="5">
    <nc r="C12" t="inlineStr">
      <is>
        <t>તમામ રોકાણની ઝેરોક્ષ કોપી ફરજીયાત જોડવી</t>
      </is>
    </nc>
  </rcc>
  <rcc rId="226" sId="5" xfDxf="1" dxf="1">
    <nc r="C12" t="inlineStr">
      <is>
        <t>તમામ રોકાણની ઝેરોક્ષ કોપી ફરજીયાત જોડવી</t>
      </is>
    </nc>
    <ndxf>
      <font>
        <name val="SHREE_GUJ_OTF_0768"/>
        <charset val="1"/>
      </font>
    </ndxf>
  </rcc>
  <rcc rId="227" sId="5" xfDxf="1" dxf="1">
    <nc r="C13" t="inlineStr">
      <is>
        <t>શારીરીક ખોડ ખાપણ ૪૦% થી વધુ અને ૮૦% થી ઓછી હોય તો રૂ.૭૫૦૦૦ બાદ મળશે. અને ૮૦% થી વધુ અપંગતા હોય તો રૂ.૧,૨૫,૦૦૦ બાદ મળશે.</t>
      </is>
    </nc>
    <ndxf>
      <font>
        <name val="SHREE_GUJ_OTF_0768"/>
        <charset val="1"/>
      </font>
    </ndxf>
  </rcc>
  <rfmt sheetId="5" sqref="D19" start="0" length="0">
    <dxf>
      <numFmt numFmtId="171" formatCode="[$-7000447]0"/>
    </dxf>
  </rfmt>
  <rcc rId="228" sId="5">
    <nc r="C4" t="inlineStr">
      <is>
        <t xml:space="preserve">સો પ્રથમ ફોર્મ ની શરૂઆત કપાત પત્રક કૉલમ થી ચાલુ કરવી જેમકે પગાર,એરિયર્સ,રોકાણ,ટેક્સ,વગેરે ની માહિતી ભરવી </t>
      </is>
    </nc>
  </rcc>
  <rcc rId="229" sId="5">
    <nc r="C6" t="inlineStr">
      <is>
        <t xml:space="preserve">C.P.F. ત્થા G.P.F.ત્થા NPS રોકાણ હોય તો તેના ઓપ્શન  ફિલ કરવાની રહશે. </t>
      </is>
    </nc>
  </rcc>
  <rcc rId="230" sId="5" numFmtId="4">
    <nc r="B7">
      <v>5</v>
    </nc>
  </rcc>
  <rcc rId="231" sId="5">
    <nc r="C7" t="inlineStr">
      <is>
        <t xml:space="preserve">નવા સ્લેબ મુજબ સ્ટાન્ડર્ડ ડિડક્શન સિવાય અન્ય  કોઈ પણ રોકાણ બાદ મળશે નહિ </t>
      </is>
    </nc>
  </rcc>
  <rcc rId="232" sId="5">
    <nc r="C7" t="inlineStr">
      <is>
        <t xml:space="preserve">નવા સ્લેબ મુજબ સ્ટાન્ડર્ડ ડિડક્શન ૫૦૦૦૦/- સિવાય અન્ય  કોઈ પણ રોકાણ બાદ મળશે નહિ </t>
      </is>
    </nc>
  </rcc>
  <rfmt sheetId="5" sqref="B9:C13" start="0" length="2147483647">
    <dxf>
      <font>
        <sz val="14"/>
      </font>
    </dxf>
  </rfmt>
  <rcc rId="233" sId="5">
    <nc r="C7" t="inlineStr">
      <is>
        <t xml:space="preserve">નવા સ્લેબ મુજબ સ્ટાન્ડર્ડ ડિડક્શન ૫૦૦૦૦/- સિવાય અન્ય  કોઈપણ રોકાણ બાદ મળશે નહિ </t>
      </is>
    </nc>
  </rcc>
  <rcc rId="234" sId="5">
    <nc r="C7" t="inlineStr">
      <is>
        <t xml:space="preserve">નવા સ્લેબ મુજબ સ્ટાન્ડર્ડ ડિડક્શન ૫૦૦૦૦/- સિવાય અન્ય  કોઈપણ રોકાણ બાદ મળશે નહિ. </t>
      </is>
    </nc>
  </rcc>
  <rcc rId="235" sId="5">
    <nc r="C4" t="inlineStr">
      <is>
        <t xml:space="preserve">સો પ્રથમ ફોર્મ ની શરૂઆત કપાત પત્રક કૉલમ થી ચાલુ કરવી જેમકે પગાર,એરિયર્સ,રોકાણ,ટેક્સ,વગેરે ની માહિતી ભરવી. </t>
      </is>
    </nc>
  </rcc>
  <rcc rId="236" sId="5" odxf="1" dxf="1" numFmtId="4">
    <nc r="B8">
      <v>6</v>
    </nc>
    <odxf>
      <numFmt numFmtId="0" formatCode="General"/>
    </odxf>
    <ndxf>
      <numFmt numFmtId="171" formatCode="[$-7000447]0"/>
    </ndxf>
  </rcc>
  <rcc rId="237" sId="5">
    <nc r="C8" t="inlineStr">
      <is>
        <t>કપાત પત્રક કૉલમ માં વિગત ભરવાથી નવા ત્થા જૂન સ્લેબ ની ગણતરી ઓટો ફિલ થઈ જશે</t>
      </is>
    </nc>
  </rcc>
  <rrc rId="238" sId="5" ref="A9:XFD9" action="insertRow"/>
  <rfmt sheetId="5" sqref="B8:C8" start="0" length="2147483647">
    <dxf>
      <font>
        <sz val="14"/>
      </font>
    </dxf>
  </rfmt>
  <rcc rId="239" sId="5">
    <nc r="C10" t="inlineStr">
      <is>
        <t xml:space="preserve">આધારકાર્ડ ઝેરોક્ષ </t>
      </is>
    </nc>
  </rcc>
  <rcc rId="240" sId="5">
    <nc r="C11" t="inlineStr">
      <is>
        <t>પાન કાર્ડ ઝેરોક્ષ</t>
      </is>
    </nc>
  </rcc>
  <rcc rId="241" sId="5">
    <nc r="C12" t="inlineStr">
      <is>
        <t>બેન્ક પાસબુક ઝેરોક્ષ</t>
      </is>
    </nc>
  </rcc>
  <rrc rId="242" sId="5" ref="A10:XFD10" action="insertRow"/>
  <rrc rId="243" sId="5" eol="1" ref="A16:XFD16" action="insertRow"/>
  <rfmt sheetId="5" sqref="D20" start="0" length="0">
    <dxf>
      <numFmt numFmtId="171" formatCode="[$-7000447]0"/>
    </dxf>
  </rfmt>
  <rcc rId="244" sId="5">
    <nc r="C14" t="inlineStr">
      <is>
        <t xml:space="preserve">તમામ રોકાણની ઝેરોક્ષ કોપી ફરજીયાત જોડવી (૦૧/૦૪/૨૦૨૩ થી ૩૧/૦૩/૨૦૨૪) મકાન લોન વ્યાજ નું સર્ટીફિકેટ </t>
      </is>
    </nc>
  </rcc>
  <rcc rId="245" sId="5">
    <nc r="C14" t="inlineStr">
      <is>
        <t>તમામ રોકાણની ઝેરોક્ષ કોપી ફરજીયાત જોડવી (૦૧/૦૪/૨૦૨૩ થી ૩૧/૦૩/૨૦૨૪) મકાન લોન વ્યાજ નું સર્ટીફિકેટ ફરજિયાત જોડવાનુ RE</t>
      </is>
    </nc>
  </rcc>
  <rcc rId="246" sId="5">
    <nc r="C14" t="inlineStr">
      <is>
        <t xml:space="preserve">તમામ રોકાણની ઝેરોક્ષ કોપી ફરજીયાત જોડવી (૦૧/૦૪/૨૦૨૩ થી ૩૧/૦૩/૨૦૨૪) મકાન લોન વ્યાજ નું સર્ટીફિકેટ ફરજિયાત જોડવાનુ રહેશે </t>
      </is>
    </nc>
  </rcc>
  <rcc rId="247" sId="5">
    <nc r="C5" t="inlineStr">
      <is>
        <t xml:space="preserve">પર્સનલ માહિતી જેમકે નામ,પાનકાર્ડ નંબર,આધાર કાર્ડ નંબર,મોબાઈલ નંબર,વગેરે ની માહિતી જાતે ભરવાની રહેશે. </t>
      </is>
    </nc>
  </rcc>
  <rcc rId="248" sId="5">
    <nc r="C6" t="inlineStr">
      <is>
        <t xml:space="preserve">C.P.F. ત્થા G.P.F.ત્થા NPS રોકાણ હોય તો તેના ઓપ્શન  ફિલ કરવાની રહેશે. </t>
      </is>
    </nc>
  </rcc>
  <rcc rId="249" sId="5">
    <nc r="C11" t="inlineStr">
      <is>
        <t xml:space="preserve">આધારકાર્ડ ઝેરોક્ષ , </t>
      </is>
    </nc>
  </rcc>
  <rcc rId="250" sId="5">
    <nc r="C11" t="inlineStr">
      <is>
        <t xml:space="preserve">પાન કાર્ડ ઝેરોક્ષ, આધારકાર્ડ ઝેરોક્ષ , </t>
      </is>
    </nc>
  </rcc>
  <rcc rId="251" sId="5">
    <nc r="C11" t="inlineStr">
      <is>
        <t>પાન કાર્ડ ઝેરોક્ષ, આધારકાર્ડ ઝેરોક્ષ , બેન્ક પાસબુક ઝેરોક્ષ</t>
      </is>
    </nc>
  </rcc>
  <rcc rId="252" sId="5">
    <nc r="C12" t="inlineStr">
      <is>
        <t xml:space="preserve">તમામ રોકાણની ઝેરોક્ષ કોપી ફરજીયાત જોડવી (૦૧/૦૪/૨૦૨૩ થી ૩૧/૦૩/૨૦૨૪) મકાન લોન વ્યાજ નું સર્ટીફિકેટ ફરજિયાત જોડવાનુ રહેશે </t>
      </is>
    </nc>
  </rcc>
  <rrc rId="253" sId="5" ref="A11:XFD11" action="insertRow"/>
  <rcc rId="254" sId="5" numFmtId="4">
    <nc r="B9">
      <v>7</v>
    </nc>
  </rcc>
  <rcc rId="255" sId="5" numFmtId="4">
    <nc r="B14">
      <v>3</v>
    </nc>
  </rcc>
  <rm rId="256" sheetId="5" source="C16" destination="C14" sourceSheetId="5">
    <rfmt sheetId="5" sqref="C14" start="0" length="0">
      <dxf>
        <font>
          <sz val="14"/>
          <color auto="1"/>
          <name val="SHREE_GUJ_OTF_0768"/>
          <family val="2"/>
          <charset val="1"/>
          <scheme val="none"/>
        </font>
      </dxf>
    </rfmt>
  </rm>
  <rcc rId="257" sId="5">
    <nc r="C13" t="inlineStr">
      <is>
        <t xml:space="preserve">તમામ રોકાણ (૦૧/૦૪/૨૦૨૩ થી ૩૧/૦૩/૨૦૨૪) મકાન લોન વ્યાજ નું સર્ટીફિકેટ ફરજિયાત જોડવાનુ રહેશે </t>
      </is>
    </nc>
  </rcc>
  <rcc rId="258" sId="5">
    <nc r="C13" t="inlineStr">
      <is>
        <t xml:space="preserve">તમામ રોકાણની ઝેરોક્ષ કોપી ફરજીયાત જોડવી(૦૧/૦૪/૨૦૨૩ થી ૩૧/૦૩/૨૦૨૪) મકાન લોન વ્યાજ નું સર્ટીફિકેટ ફરજિયાત જોડવાનુ રહેશે </t>
      </is>
    </nc>
  </rcc>
  <rrc rId="259" sId="5" ref="A14:XFD14" action="insertRow"/>
  <rcc rId="260" sId="5">
    <nc r="C13" t="inlineStr">
      <is>
        <t xml:space="preserve">તમામ રોકાણની ઝેરોક્ષ કોપી ફરજીયાત જોડવી(૦૧/૦૪/૨૦૨૩ થી ૩૧/૦૩/૨૦૨૪) </t>
      </is>
    </nc>
  </rcc>
  <rcc rId="261" sId="5">
    <nc r="C14" t="inlineStr">
      <is>
        <t xml:space="preserve">મકાન લોન વ્યાજ નું સર્ટીફિકેટ ફરજિયાત જોડવાનુ રહેશે (૦૧/૦૪/૨૦૨૩ થી ૩૧/૦૩/૨૦૨૪) </t>
      </is>
    </nc>
  </rcc>
  <rcc rId="262" sId="5" numFmtId="4">
    <nc r="B14">
      <v>3</v>
    </nc>
  </rcc>
  <rcc rId="263" sId="5" numFmtId="4">
    <nc r="B15">
      <v>4</v>
    </nc>
  </rcc>
  <rcc rId="264" sId="5">
    <nc r="C9" t="inlineStr">
      <is>
        <t xml:space="preserve">બેન્ક વ્યાજ ત્થા ફિક્સ ડિપોજીત ના વ્યાજ ની રકમ આ ફોર્મ માં દર્શાવાની નથી ઇન્કમટેક્સ રિટર્ન ફાઇલ ના સમયે બતાવવાની રહેશે. </t>
      </is>
    </nc>
  </rcc>
  <rcc rId="265" sId="5">
    <nc r="C8" t="inlineStr">
      <is>
        <t>કપાત પત્રક કૉલમ માં વિગત ભરવાથી નવા ત્થા જૂન સ્લેબ ની ગણતરી ઓટો ફિલ થઈ જશે.</t>
      </is>
    </nc>
  </rcc>
  <rfmt sheetId="5" sqref="B9" start="0" length="2147483647">
    <dxf>
      <font>
        <sz val="14"/>
      </font>
    </dxf>
  </rfmt>
  <rfmt sheetId="5" sqref="C9" start="0" length="2147483647">
    <dxf>
      <font>
        <sz val="14"/>
      </font>
    </dxf>
  </rfmt>
  <rfmt sheetId="5" sqref="B3:C15" start="0" length="2147483647">
    <dxf>
      <font>
        <sz val="12"/>
      </font>
    </dxf>
  </rfmt>
  <rrc rId="266" sId="5" ref="A1:XFD1" action="insertRow"/>
  <rrc rId="267" sId="5" ref="A2:XFD2" action="insertRow"/>
  <rfmt sheetId="5" sqref="C1" start="0" length="2147483647">
    <dxf>
      <font>
        <sz val="28"/>
      </font>
    </dxf>
  </rfmt>
  <rcc rId="268" sId="5">
    <nc r="C1" t="inlineStr">
      <is>
        <t xml:space="preserve">તાલુકા પંચાયત શિક્ષણ શાખા જંબુસર </t>
      </is>
    </nc>
  </rcc>
  <rfmt sheetId="5" sqref="C1" start="0" length="2147483647">
    <dxf/>
  </rfmt>
  <rfmt sheetId="5" sqref="C1" start="0" length="2147483647">
    <dxf>
      <font>
        <b/>
      </font>
    </dxf>
  </rfmt>
  <rfmt sheetId="5" sqref="C1" start="0" length="2147483647">
    <dxf>
      <font>
        <sz val="50"/>
      </font>
    </dxf>
  </rfmt>
  <rfmt sheetId="5" sqref="C1" start="0" length="2147483647">
    <dxf>
      <font>
        <sz val="45"/>
      </font>
    </dxf>
  </rfmt>
  <rfmt sheetId="5" sqref="C1" start="0" length="2147483647">
    <dxf>
      <font>
        <sz val="40"/>
      </font>
    </dxf>
  </rfmt>
  <rcc rId="269" sId="5" odxf="1" dxf="1">
    <nc r="C1" t="inlineStr">
      <is>
        <t xml:space="preserve">તાલુકા પંચાયત શિક્ષણ શાખા જંબુસર </t>
      </is>
    </nc>
    <ndxf>
      <font>
        <u/>
        <sz val="40"/>
        <name val="SHREE_GUJ_OTF_0768"/>
        <charset val="1"/>
      </font>
    </ndxf>
  </rcc>
  <rcc rId="270" sId="5">
    <nc r="C17" t="inlineStr">
      <is>
        <t xml:space="preserve">શારીરીક ખોડ ખાપણ ૪૦% થી વધુ અને ૮૦% થી ઓછી હોય તો રૂ.૭૫૦૦૦ બાદ મળશે. </t>
      </is>
    </nc>
  </rcc>
  <rcc rId="271" sId="5">
    <nc r="C18" t="inlineStr">
      <is>
        <t>અને ૮૦% થી વધુ અપંગતા હોય તો રૂ.૧,૨૫,૦૦૦ બાદ મળશે.</t>
      </is>
    </nc>
  </rcc>
  <rm rId="272" sheetId="5" source="C1" destination="A1" sourceSheetId="5">
    <rfmt sheetId="5" sqref="A1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m>
  <rcc rId="273" sId="5">
    <nc r="A1" t="inlineStr">
      <is>
        <t xml:space="preserve">           તાલુકા પંચાયત શિક્ષણ શાખા જંબુસર </t>
      </is>
    </nc>
  </rcc>
  <rcc rId="274" sId="5">
    <nc r="A1" t="inlineStr">
      <is>
        <r>
          <rPr>
            <b/>
            <sz val="40"/>
            <rFont val="SHREE_GUJ_OTF_0768"/>
            <charset val="1"/>
          </rPr>
          <t xml:space="preserve">           </t>
        </r>
        <r>
          <rPr>
            <b/>
            <u/>
            <sz val="40"/>
            <rFont val="SHREE_GUJ_OTF_0768"/>
            <charset val="1"/>
          </rPr>
          <t xml:space="preserve">તાલુકા પંચાયત શિક્ષણ શાખા જંબુસર </t>
        </r>
      </is>
    </nc>
  </rcc>
  <rrc rId="275" sId="5" ref="B1:B1048576" action="insertCol"/>
  <rcc rId="276" sId="5" odxf="1" dxf="1" numFmtId="4">
    <nc r="B5">
      <v>1</v>
    </nc>
    <odxf>
      <font>
        <sz val="14"/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77" sId="5" odxf="1" dxf="1" numFmtId="4">
    <nc r="B6">
      <v>2</v>
    </nc>
    <odxf>
      <font>
        <sz val="14"/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78" sId="5" odxf="1" dxf="1" numFmtId="4">
    <nc r="B7">
      <v>3</v>
    </nc>
    <odxf>
      <font>
        <sz val="14"/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79" sId="5" odxf="1" dxf="1" numFmtId="4">
    <nc r="B8">
      <v>4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0" sId="5" odxf="1" dxf="1" numFmtId="4">
    <nc r="B9">
      <v>5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1" sId="5" odxf="1" dxf="1" numFmtId="4">
    <nc r="B10">
      <v>6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2" sId="5" odxf="1" dxf="1" numFmtId="4">
    <nc r="B11">
      <v>7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fmt sheetId="5" sqref="C12" start="0" length="0">
    <dxf>
      <font>
        <sz val="12"/>
        <name val="SHREE_GUJ_OTF_0768"/>
        <charset val="1"/>
      </font>
      <numFmt numFmtId="171" formatCode="[$-7000447]0"/>
    </dxf>
  </rfmt>
  <rfmt sheetId="5" sqref="C13" start="0" length="0">
    <dxf>
      <font>
        <sz val="12"/>
        <name val="SHREE_GUJ_OTF_0768"/>
        <charset val="1"/>
      </font>
      <numFmt numFmtId="171" formatCode="[$-7000447]0"/>
    </dxf>
  </rfmt>
  <rcc rId="283" sId="5" odxf="1" dxf="1" numFmtId="4">
    <nc r="B14">
      <v>1</v>
    </nc>
    <odxf>
      <font>
        <b/>
        <u/>
        <sz val="14"/>
        <name val="SHREE_GUJ_OTF_0768"/>
        <charset val="1"/>
      </font>
      <numFmt numFmtId="0" formatCode="General"/>
    </odxf>
    <ndxf>
      <font>
        <b val="0"/>
        <u val="none"/>
        <sz val="12"/>
        <name val="SHREE_GUJ_OTF_0768"/>
        <charset val="1"/>
      </font>
      <numFmt numFmtId="171" formatCode="[$-7000447]0"/>
    </ndxf>
  </rcc>
  <rcc rId="284" sId="5" odxf="1" dxf="1" numFmtId="4">
    <nc r="B15">
      <v>2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5" sId="5" odxf="1" dxf="1" numFmtId="4">
    <nc r="B16">
      <v>3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cc rId="286" sId="5" odxf="1" dxf="1" numFmtId="4">
    <nc r="B17">
      <v>4</v>
    </nc>
    <odxf>
      <font>
        <name val="SHREE_GUJ_OTF_0768"/>
        <charset val="1"/>
      </font>
      <numFmt numFmtId="0" formatCode="General"/>
    </odxf>
    <ndxf>
      <font>
        <sz val="12"/>
        <name val="SHREE_GUJ_OTF_0768"/>
        <charset val="1"/>
      </font>
      <numFmt numFmtId="171" formatCode="[$-7000447]0"/>
    </ndxf>
  </rcc>
  <rfmt sheetId="5" sqref="C18" start="0" length="0">
    <dxf>
      <font>
        <sz val="14"/>
        <name val="SHREE_GUJ_OTF_0768"/>
        <charset val="1"/>
      </font>
      <numFmt numFmtId="171" formatCode="[$-7000447]0"/>
    </dxf>
  </rfmt>
  <rrc rId="287" sId="5" ref="C1:C1048576" action="deleteCol">
    <rfmt sheetId="5" xfDxf="1" sqref="C1:C1048576" start="0" length="0">
      <dxf>
        <font>
          <name val="SHREE_GUJ_OTF_0768"/>
          <charset val="1"/>
        </font>
      </dxf>
    </rfmt>
    <rfmt sheetId="5" sqref="C4" start="0" length="0">
      <dxf>
        <font>
          <sz val="14"/>
          <name val="SHREE_GUJ_OTF_0768"/>
          <charset val="1"/>
        </font>
      </dxf>
    </rfmt>
    <rcc rId="0" sId="5" dxf="1" numFmtId="4">
      <nc r="C5">
        <v>1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6">
        <v>2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7">
        <v>3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8">
        <v>4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9">
        <v>5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0">
        <v>6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1">
        <v>7</v>
      </nc>
      <ndxf>
        <font>
          <sz val="12"/>
          <name val="SHREE_GUJ_OTF_0768"/>
          <charset val="1"/>
        </font>
        <numFmt numFmtId="171" formatCode="[$-7000447]0"/>
      </ndxf>
    </rcc>
    <rfmt sheetId="5" sqref="C12" start="0" length="0">
      <dxf>
        <font>
          <sz val="12"/>
          <name val="SHREE_GUJ_OTF_0768"/>
          <charset val="1"/>
        </font>
        <numFmt numFmtId="171" formatCode="[$-7000447]0"/>
      </dxf>
    </rfmt>
    <rfmt sheetId="5" sqref="C13" start="0" length="0">
      <dxf>
        <font>
          <sz val="12"/>
          <name val="SHREE_GUJ_OTF_0768"/>
          <charset val="1"/>
        </font>
        <numFmt numFmtId="171" formatCode="[$-7000447]0"/>
      </dxf>
    </rfmt>
    <rcc rId="0" sId="5" dxf="1" numFmtId="4">
      <nc r="C14">
        <v>1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5">
        <v>2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6">
        <v>3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C17">
        <v>4</v>
      </nc>
      <ndxf>
        <font>
          <sz val="12"/>
          <name val="SHREE_GUJ_OTF_0768"/>
          <charset val="1"/>
        </font>
        <numFmt numFmtId="171" formatCode="[$-7000447]0"/>
      </ndxf>
    </rcc>
    <rfmt sheetId="5" sqref="C18" start="0" length="0">
      <dxf>
        <font>
          <sz val="14"/>
          <name val="SHREE_GUJ_OTF_0768"/>
          <charset val="1"/>
        </font>
        <numFmt numFmtId="171" formatCode="[$-7000447]0"/>
      </dxf>
    </rfmt>
    <rfmt sheetId="5" sqref="C19" start="0" length="0">
      <dxf>
        <font>
          <sz val="14"/>
          <name val="SHREE_GUJ_OTF_0768"/>
          <charset val="1"/>
        </font>
        <numFmt numFmtId="171" formatCode="[$-7000447]0"/>
      </dxf>
    </rfmt>
    <rfmt sheetId="5" sqref="C20" start="0" length="0">
      <dxf>
        <numFmt numFmtId="171" formatCode="[$-7000447]0"/>
      </dxf>
    </rfmt>
  </rrc>
  <rcc rId="288" sId="5">
    <oc r="C5" t="inlineStr">
      <is>
        <t xml:space="preserve">આ ફોર્મ  સાથે આપેલ ગુજરાતી ફૉન્ટસ  ઇન્સ્ટોલ કરવા </t>
      </is>
    </oc>
    <nc r="C5" t="inlineStr">
      <is>
        <t xml:space="preserve">૧. આ ફોર્મ  સાથે આપેલ ગુજરાતી ફૉન્ટસ  ઇન્સ્ટોલ કરવા. </t>
      </is>
    </nc>
  </rcc>
  <rcc rId="289" sId="5">
    <oc r="C6" t="inlineStr">
      <is>
        <t xml:space="preserve">સો પ્રથમ કપાત પત્રક કૉલમ મા માહિતી ભરવી જેમકે પગાર,એરિયર્સ,રોકાણ,ટેક્સ, ની માહિતી ભરવી </t>
      </is>
    </oc>
    <nc r="C6" t="inlineStr">
      <is>
        <t xml:space="preserve">૨. સો પ્રથમ ફોર્મ ની શરૂઆત કપાત પત્રક કૉલમ થી ચાલુ કરવી જેમકે પગાર,એરિયર્સ,રોકાણ,ટેક્સ,વગેરે ની માહિતી ભરવી. </t>
      </is>
    </nc>
  </rcc>
  <rcc rId="290" sId="5">
    <oc r="C7" t="inlineStr">
      <is>
        <t xml:space="preserve">પર્સનલ માહિતી જેમકે નામ,પાનકાર્ડ નંબર,આધાર કાર્ડ નંબર,મોબાઈલ નંબર,વગેરે ની માહિતી જાતે ભરવાની રહશે </t>
      </is>
    </oc>
    <nc r="C7" t="inlineStr">
      <is>
        <t xml:space="preserve">૩. પર્સનલ માહિતી જેમકે નામ,પાનકાર્ડ નંબર,આધાર કાર્ડ નંબર,મોબાઈલ નંબર,વગેરે ની માહિતી જાતે ભરવાની રહેશે. </t>
      </is>
    </nc>
  </rcc>
  <rcc rId="291" sId="5">
    <nc r="C8" t="inlineStr">
      <is>
        <t xml:space="preserve">૪. C.P.F. ત્થા G.P.F.ત્થા NPS રોકાણ હોય તો તેના ઓપ્શન  ફિલ કરવાની રહેશે. </t>
      </is>
    </nc>
  </rcc>
  <rcc rId="292" sId="5">
    <nc r="C9" t="inlineStr">
      <is>
        <t xml:space="preserve">૫. નવા સ્લેબ મુજબ સ્ટાન્ડર્ડ ડિડક્શન ૫૦૦૦૦/- સિવાય અન્ય  કોઈપણ રોકાણ બાદ મળશે નહિ. </t>
      </is>
    </nc>
  </rcc>
  <rcc rId="293" sId="5">
    <nc r="C10" t="inlineStr">
      <is>
        <t>૬. કપાત પત્રક કૉલમ માં વિગત ભરવાથી નવા ત્થા જૂન સ્લેબ ની ગણતરી ઓટો ફિલ થઈ જશે.</t>
      </is>
    </nc>
  </rcc>
  <rcc rId="294" sId="5">
    <nc r="C11" t="inlineStr">
      <is>
        <t xml:space="preserve">૭. બેન્ક વ્યાજ ત્થા ફિક્સ ડિપોજીત ના વ્યાજ ની રકમ આ ફોર્મ માં દર્શાવાની નથી ઇન્કમટેક્સ રિટર્ન ફાઇલ ના સમયે બતાવવાની રહેશે. </t>
      </is>
    </nc>
  </rcc>
  <rcc rId="295" sId="5">
    <nc r="C14" t="inlineStr">
      <is>
        <t>૧. પાન કાર્ડ ઝેરોક્ષ, આધારકાર્ડ ઝેરોક્ષ , બેન્ક પાસબુક ઝેરોક્ષ</t>
      </is>
    </nc>
  </rcc>
  <rcc rId="296" sId="5">
    <nc r="C15" t="inlineStr">
      <is>
        <t xml:space="preserve">૨. તમામ રોકાણની ઝેરોક્ષ કોપી ફરજીયાત જોડવી(૦૧/૦૪/૨૦૨૩ થી ૩૧/૦૩/૨૦૨૪) </t>
      </is>
    </nc>
  </rcc>
  <rrc rId="297" sId="5" ref="A1:A1048576" action="insertCol"/>
  <rm rId="298" sheetId="5" source="B1:B1048576" destination="A1:A1048576" sourceSheetId="5">
    <rfmt sheetId="5" xfDxf="1" sqref="A1:A1048576" start="0" length="0">
      <dxf>
        <font>
          <name val="SHREE_GUJ_OTF_0768"/>
          <charset val="1"/>
        </font>
      </dxf>
    </rfmt>
  </rm>
  <rm rId="299" sheetId="5" source="D5:D18" destination="B5:B18" sourceSheetId="5">
    <rfmt sheetId="5" sqref="B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9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0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1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2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3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4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8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m>
  <rm rId="300" sheetId="5" source="B5:B11" destination="A5:A11" sourceSheetId="5">
    <rfmt sheetId="5" sqref="A5" start="0" length="0">
      <dxf>
        <font>
          <sz val="14"/>
          <color auto="1"/>
          <name val="SHREE_GUJ_OTF_0768"/>
          <family val="2"/>
          <charset val="1"/>
          <scheme val="none"/>
        </font>
      </dxf>
    </rfmt>
    <rfmt sheetId="5" sqref="A6" start="0" length="0">
      <dxf>
        <font>
          <sz val="14"/>
          <color auto="1"/>
          <name val="SHREE_GUJ_OTF_0768"/>
          <family val="2"/>
          <charset val="1"/>
          <scheme val="none"/>
        </font>
      </dxf>
    </rfmt>
    <rfmt sheetId="5" sqref="A7" start="0" length="0">
      <dxf>
        <font>
          <sz val="14"/>
          <color auto="1"/>
          <name val="SHREE_GUJ_OTF_0768"/>
          <family val="2"/>
          <charset val="1"/>
          <scheme val="none"/>
        </font>
      </dxf>
    </rfmt>
    <rfmt sheetId="5" sqref="A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9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0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1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m>
  <rm rId="301" sheetId="5" source="B14:B18" destination="A15:A19" sourceSheetId="5">
    <rfmt sheetId="5" sqref="A1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A19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m>
  <rcc rId="302" sId="5">
    <nc r="A1" t="inlineStr">
      <is>
        <r>
          <rPr>
            <b/>
            <sz val="40"/>
            <rFont val="SHREE_GUJ_OTF_0768"/>
            <charset val="1"/>
          </rPr>
          <t xml:space="preserve">    </t>
        </r>
        <r>
          <rPr>
            <b/>
            <u/>
            <sz val="40"/>
            <rFont val="SHREE_GUJ_OTF_0768"/>
            <charset val="1"/>
          </rPr>
          <t xml:space="preserve">તાલુકા પંચાયત શિક્ષણ શાખા જંબુસર </t>
        </r>
      </is>
    </nc>
  </rcc>
  <rfmt sheetId="5" sqref="A4">
    <dxf>
      <alignment horizontal="center"/>
    </dxf>
  </rfmt>
  <rfmt sheetId="5" sqref="A4" start="0" length="2147483647">
    <dxf>
      <font>
        <u val="none"/>
      </font>
    </dxf>
  </rfmt>
  <rfmt sheetId="5" sqref="A4" start="0" length="2147483647">
    <dxf>
      <font>
        <u/>
      </font>
    </dxf>
  </rfmt>
  <rfmt sheetId="5" sqref="A14">
    <dxf>
      <alignment horizontal="center"/>
    </dxf>
  </rfmt>
  <rcc rId="303" sId="5">
    <nc r="A1" t="inlineStr">
      <is>
        <r>
          <rPr>
            <b/>
            <sz val="40"/>
            <rFont val="SHREE_GUJ_OTF_0768"/>
            <charset val="1"/>
          </rPr>
          <t xml:space="preserve">  </t>
        </r>
        <r>
          <rPr>
            <b/>
            <u/>
            <sz val="40"/>
            <rFont val="SHREE_GUJ_OTF_0768"/>
            <charset val="1"/>
          </rPr>
          <t xml:space="preserve">તાલુકા પંચાયત શિક્ષણ શાખા જંબુસર </t>
        </r>
      </is>
    </nc>
  </rcc>
  <rrc rId="304" sId="5" ref="A1:A1048576" action="insertCol"/>
  <rrc rId="305" sId="5" ref="A1:A1048576" action="deleteCol">
    <rfmt sheetId="5" xfDxf="1" sqref="A1:A1048576" start="0" length="0">
      <dxf>
        <font>
          <name val="SHREE_GUJ_OTF_0768"/>
          <charset val="1"/>
        </font>
      </dxf>
    </rfmt>
  </rrc>
  <rfmt sheetId="5" sqref="A1" start="0" length="2147483647">
    <dxf>
      <font>
        <sz val="35"/>
      </font>
    </dxf>
  </rfmt>
  <rcc rId="306" sId="5">
    <nc r="A17" t="inlineStr">
      <is>
        <t xml:space="preserve">૩. મકાન લોન વ્યાજ નું સર્ટીફિકેટ ફરજિયાત જોડવાનુ રહેશે (૦૧/૦૪/૨૦૨૩ થી ૩૧/૦૩/૨૦૨૪) </t>
      </is>
    </nc>
  </rcc>
  <rcc rId="307" sId="5">
    <nc r="A18" t="inlineStr">
      <is>
        <t xml:space="preserve">૪. શારીરીક ખોડ ખાપણ ૪૦% થી વધુ અને ૮૦% થી ઓછી હોય તો રૂ.૭૫૦૦૦ બાદ મળશે. </t>
      </is>
    </nc>
  </rcc>
  <rcc rId="308" sId="5">
    <nc r="A23" t="inlineStr">
      <is>
        <t xml:space="preserve">કાનજીભાઇ પઢિયાર </t>
      </is>
    </nc>
  </rcc>
  <rrc rId="309" sId="5" eol="1" ref="A24:XFD24" action="insertRow"/>
  <rcc rId="310" sId="5">
    <nc r="A24" t="inlineStr">
      <is>
        <t xml:space="preserve">ટી. પી.ઈ . ઑ </t>
      </is>
    </nc>
  </rcc>
  <rrc rId="311" sId="5" eol="1" ref="A25:XFD25" action="insertRow"/>
  <rcc rId="312" sId="5">
    <nc r="A25" t="inlineStr">
      <is>
        <t xml:space="preserve">જંબુસર </t>
      </is>
    </nc>
  </rcc>
  <rrc rId="313" sId="5" eol="1" ref="A26:XFD26" action="insertRow"/>
  <rcc rId="314" sId="5">
    <nc r="A26">
      <v>9429036188</v>
    </nc>
  </rcc>
  <rfmt sheetId="5" sqref="A23:A26">
    <dxf>
      <alignment horizontal="center"/>
    </dxf>
  </rfmt>
  <rfmt sheetId="5" sqref="A23:A26" start="0" length="2147483647">
    <dxf>
      <font>
        <b/>
      </font>
    </dxf>
  </rfmt>
  <rfmt sheetId="5" sqref="A23:A26" start="0" length="2147483647">
    <dxf>
      <font>
        <u/>
      </font>
    </dxf>
  </rfmt>
  <rfmt sheetId="5" sqref="A23:A26" start="0" length="2147483647">
    <dxf>
      <font>
        <sz val="14"/>
      </font>
    </dxf>
  </rfmt>
  <rfmt sheetId="1" sqref="A103:AG1048576">
    <dxf>
      <fill>
        <patternFill>
          <bgColor rgb="FFFFFF00"/>
        </patternFill>
      </fill>
    </dxf>
  </rfmt>
  <rfmt sheetId="1" sqref="A103:AG1048576" start="0" length="2147483647">
    <dxf>
      <font>
        <color rgb="FFFF0000"/>
      </font>
    </dxf>
  </rfmt>
  <rfmt sheetId="1" sqref="A103:AG1048576" start="0" length="2147483647">
    <dxf>
      <font>
        <color theme="1"/>
      </font>
    </dxf>
  </rfmt>
  <rfmt sheetId="1" sqref="A103:AG1048576">
    <dxf>
      <fill>
        <patternFill>
          <bgColor theme="1"/>
        </patternFill>
      </fill>
    </dxf>
  </rfmt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SLAB)'!$350:$1048576,'નવા સ્લેબ મુજબ (NEW SLAB)'!$63:$349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C30:N30">
    <dxf>
      <alignment horizontal="left"/>
    </dxf>
  </rfmt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SLAB)'!$342:$1048576,'નવા સ્લેબ મુજબ (NEW SLAB)'!$63:$341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7" sId="5" ref="B1:B1048576" action="deleteCol">
    <rfmt sheetId="5" xfDxf="1" sqref="B1:B1048576" start="0" length="0"/>
    <rfmt sheetId="5" sqref="B1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2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3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4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9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0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1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2" start="0" length="0">
      <dxf>
        <font>
          <sz val="12"/>
          <color auto="1"/>
          <name val="SHREE_GUJ_OTF_0768"/>
          <family val="2"/>
          <charset val="1"/>
          <scheme val="none"/>
        </font>
      </dxf>
    </rfmt>
    <rfmt sheetId="5" sqref="B13" start="0" length="0">
      <dxf>
        <font>
          <sz val="12"/>
          <color auto="1"/>
          <name val="SHREE_GUJ_OTF_0768"/>
          <family val="2"/>
          <charset val="1"/>
          <scheme val="none"/>
        </font>
      </dxf>
    </rfmt>
    <rfmt sheetId="5" sqref="B14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5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6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7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8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19" start="0" length="0">
      <dxf>
        <font>
          <sz val="10"/>
          <color auto="1"/>
          <name val="SHREE_GUJ_OTF_0768"/>
          <family val="2"/>
          <charset val="1"/>
          <scheme val="none"/>
        </font>
      </dxf>
    </rfmt>
    <rfmt sheetId="5" sqref="B20" start="0" length="0">
      <dxf>
        <font>
          <sz val="10"/>
          <color auto="1"/>
          <name val="SHREE_GUJ_OTF_0768"/>
          <family val="2"/>
          <charset val="1"/>
          <scheme val="none"/>
        </font>
      </dxf>
    </rfmt>
  </rrc>
  <rrc rId="338" sId="5" ref="B1:B1048576" action="deleteCol">
    <rfmt sheetId="5" xfDxf="1" sqref="B1:B1048576" start="0" length="0">
      <dxf>
        <font>
          <name val="SHREE_GUJ_OTF_0768"/>
          <charset val="1"/>
        </font>
      </dxf>
    </rfmt>
    <rfmt sheetId="5" sqref="B1" start="0" length="0">
      <dxf>
        <font>
          <b/>
          <u/>
          <sz val="40"/>
          <name val="SHREE_GUJ_OTF_0768"/>
          <charset val="1"/>
        </font>
      </dxf>
    </rfmt>
    <rfmt sheetId="5" sqref="B4" start="0" length="0">
      <dxf>
        <font>
          <b/>
          <u/>
          <sz val="14"/>
          <name val="SHREE_GUJ_OTF_0768"/>
          <charset val="1"/>
        </font>
      </dxf>
    </rfmt>
    <rcc rId="0" sId="5" dxf="1" numFmtId="4">
      <nc r="B5">
        <v>1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6">
        <v>2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7">
        <v>3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8">
        <v>4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9">
        <v>5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0">
        <v>6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1">
        <v>7</v>
      </nc>
      <ndxf>
        <font>
          <sz val="12"/>
          <name val="SHREE_GUJ_OTF_0768"/>
          <charset val="1"/>
        </font>
        <numFmt numFmtId="171" formatCode="[$-7000447]0"/>
      </ndxf>
    </rcc>
    <rfmt sheetId="5" sqref="B12" start="0" length="0">
      <dxf>
        <font>
          <sz val="12"/>
          <name val="SHREE_GUJ_OTF_0768"/>
          <charset val="1"/>
        </font>
        <numFmt numFmtId="171" formatCode="[$-7000447]0"/>
      </dxf>
    </rfmt>
    <rfmt sheetId="5" sqref="B13" start="0" length="0">
      <dxf>
        <font>
          <sz val="12"/>
          <name val="SHREE_GUJ_OTF_0768"/>
          <charset val="1"/>
        </font>
        <numFmt numFmtId="171" formatCode="[$-7000447]0"/>
      </dxf>
    </rfmt>
    <rcc rId="0" sId="5" dxf="1" numFmtId="4">
      <nc r="B14">
        <v>1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5">
        <v>2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6">
        <v>3</v>
      </nc>
      <ndxf>
        <font>
          <sz val="12"/>
          <name val="SHREE_GUJ_OTF_0768"/>
          <charset val="1"/>
        </font>
        <numFmt numFmtId="171" formatCode="[$-7000447]0"/>
      </ndxf>
    </rcc>
    <rcc rId="0" sId="5" dxf="1" numFmtId="4">
      <nc r="B17">
        <v>4</v>
      </nc>
      <ndxf>
        <font>
          <sz val="12"/>
          <name val="SHREE_GUJ_OTF_0768"/>
          <charset val="1"/>
        </font>
        <numFmt numFmtId="171" formatCode="[$-7000447]0"/>
      </ndxf>
    </rcc>
    <rfmt sheetId="5" sqref="B18" start="0" length="0">
      <dxf>
        <font>
          <sz val="14"/>
          <name val="SHREE_GUJ_OTF_0768"/>
          <charset val="1"/>
        </font>
        <numFmt numFmtId="171" formatCode="[$-7000447]0"/>
      </dxf>
    </rfmt>
  </rr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SLAB)'!$342:$1048576,'નવા સ્લેબ મુજબ (NEW SLAB)'!$63:$341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6">
    <dxf>
      <protection locked="0"/>
    </dxf>
  </rfmt>
  <rfmt sheetId="5" sqref="B6">
    <dxf>
      <protection locked="1"/>
    </dxf>
  </rfmt>
  <rfmt sheetId="5" sqref="B12">
    <dxf>
      <protection locked="0"/>
    </dxf>
  </rfmt>
  <rfmt sheetId="5" sqref="B4">
    <dxf>
      <protection locked="0"/>
    </dxf>
  </rfmt>
  <rfmt sheetId="5" sqref="A1:A46">
    <dxf>
      <protection locked="0"/>
    </dxf>
  </rfmt>
  <rfmt sheetId="5" sqref="A1:A46">
    <dxf>
      <protection locked="1"/>
    </dxf>
  </rfmt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0" sId="5">
    <oc r="A7" t="inlineStr">
      <is>
        <t xml:space="preserve">૩. પર્સનલ માહિતી જેમકે નામ,પાનકાર્ડ નંબર,આધાર કાર્ડ નંબર,મોબાઈલ નંબર,વગેરે ની માહિતી જાતે ભરવાની રહેશે. </t>
      </is>
    </oc>
    <nc r="A7" t="inlineStr">
      <is>
        <t xml:space="preserve">૩. પર્સનલ માહિતી જેમકે નામ,પાનકાર્ડ નંબર,આધાર કાર્ડ નંબર,મોબાઈલ નંબર,બેન્ક માહિતી વગેરે ની માહિતી જાતે ભરવાની રહેશે. 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12.xml><?xml version="1.0" encoding="utf-8"?>
<revisions xmlns="http://schemas.openxmlformats.org/spreadsheetml/2006/main" xmlns:r="http://schemas.openxmlformats.org/officeDocument/2006/relationships">
  <rcc rId="136" sId="2">
    <oc r="E6">
      <v>1</v>
    </oc>
    <nc r="E6"/>
  </rcc>
  <rcc rId="137" sId="2">
    <oc r="F6">
      <v>1</v>
    </oc>
    <nc r="F6"/>
  </rcc>
  <rcc rId="138" sId="2">
    <oc r="G6">
      <v>1</v>
    </oc>
    <nc r="G6"/>
  </rcc>
  <rcc rId="139" sId="2">
    <oc r="H6">
      <v>1</v>
    </oc>
    <nc r="H6"/>
  </rcc>
  <rcc rId="140" sId="2">
    <oc r="I6">
      <v>1</v>
    </oc>
    <nc r="I6"/>
  </rcc>
  <rcc rId="141" sId="2">
    <oc r="J6">
      <v>1</v>
    </oc>
    <nc r="J6"/>
  </rcc>
  <rcc rId="142" sId="2">
    <oc r="K6">
      <v>1</v>
    </oc>
    <nc r="K6"/>
  </rcc>
  <rcc rId="143" sId="2">
    <oc r="L6">
      <v>1</v>
    </oc>
    <nc r="L6"/>
  </rcc>
  <rcc rId="144" sId="2">
    <oc r="M6">
      <v>1</v>
    </oc>
    <nc r="M6"/>
  </rcc>
  <rcc rId="145" sId="2">
    <oc r="N6">
      <v>1</v>
    </oc>
    <nc r="N6"/>
  </rcc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1" sId="5">
    <oc r="A23" t="inlineStr">
      <is>
        <t xml:space="preserve">કાનજીભાઇ પઢિયાર </t>
      </is>
    </oc>
    <nc r="A23" t="inlineStr">
      <is>
        <t xml:space="preserve">શબ્બીરભાઈ. એસ.  સાપા </t>
      </is>
    </nc>
  </rcc>
  <rcc rId="352" sId="5">
    <oc r="A25" t="inlineStr">
      <is>
        <t xml:space="preserve">જંબુસર </t>
      </is>
    </oc>
    <nc r="A25" t="inlineStr">
      <is>
        <t>આમોદ</t>
      </is>
    </nc>
  </rcc>
  <rcc rId="353" sId="5">
    <oc r="A26">
      <v>9429036188</v>
    </oc>
    <nc r="A26">
      <v>9904297366</v>
    </nc>
  </rcc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SLAB)'!$342:$1048576,'નવા સ્લેબ મુજબ (NEW SLAB)'!$63:$341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E659955-9737-492F-945A-95AC3E0C4088}" action="delete"/>
  <rdn rId="0" localSheetId="1" customView="1" name="Z_0E659955_9737_492F_945A_95AC3E0C4088_.wvu.PrintArea" hidden="1" oldHidden="1">
    <formula>'જૂન સ્લેબ મુજબ (OLD SLAB)'!$B$2:$AF$60</formula>
    <oldFormula>'જૂન સ્લેબ મુજબ (OLD SLAB)'!$B$2:$AF$60</oldFormula>
  </rdn>
  <rdn rId="0" localSheetId="1" customView="1" name="Z_0E659955_9737_492F_945A_95AC3E0C4088_.wvu.Rows" hidden="1" oldHidden="1">
    <formula>'જૂન સ્લેબ મુજબ (OLD SLAB)'!$348:$1048576,'જૂન સ્લેબ મુજબ (OLD SLAB)'!$61:$102,'જૂન સ્લેબ મુજબ (OLD SLAB)'!$104:$347</formula>
    <oldFormula>'જૂન સ્લેબ મુજબ (OLD SLAB)'!$348:$1048576,'જૂન સ્લેબ મુજબ (OLD SLAB)'!$61:$102,'જૂન સ્લેબ મુજબ (OLD SLAB)'!$104:$347</oldFormula>
  </rdn>
  <rdn rId="0" localSheetId="1" customView="1" name="Z_0E659955_9737_492F_945A_95AC3E0C4088_.wvu.Cols" hidden="1" oldHidden="1">
    <formula>'જૂન સ્લેબ મુજબ (OLD SLAB)'!$AH:$XFD</formula>
    <oldFormula>'જૂન સ્લેબ મુજબ (OLD SLAB)'!$AH:$XFD</oldFormula>
  </rdn>
  <rdn rId="0" localSheetId="2" customView="1" name="Z_0E659955_9737_492F_945A_95AC3E0C4088_.wvu.PrintArea" hidden="1" oldHidden="1">
    <formula>'કપાટ પત્રક પેહલા ભરવુ '!$B$2:$O$30</formula>
    <oldFormula>'કપાટ પત્રક પેહલા ભરવુ '!$B$2:$O$30</oldFormula>
  </rdn>
  <rdn rId="0" localSheetId="2" customView="1" name="Z_0E659955_9737_492F_945A_95AC3E0C4088_.wvu.Rows" hidden="1" oldHidden="1">
    <formula>'કપાટ પત્રક પેહલા ભરવુ '!$988:$1048576,'કપાટ પત્રક પેહલા ભરવુ '!$31:$987</formula>
    <oldFormula>'કપાટ પત્રક પેહલા ભરવુ '!$988:$1048576,'કપાટ પત્રક પેહલા ભરવુ '!$31:$987</oldFormula>
  </rdn>
  <rdn rId="0" localSheetId="2" customView="1" name="Z_0E659955_9737_492F_945A_95AC3E0C4088_.wvu.Cols" hidden="1" oldHidden="1">
    <formula>'કપાટ પત્રક પેહલા ભરવુ '!$Q:$XFD</formula>
    <oldFormula>'કપાટ પત્રક પેહલા ભરવુ '!$Q:$XFD</oldFormula>
  </rdn>
  <rdn rId="0" localSheetId="3" customView="1" name="Z_0E659955_9737_492F_945A_95AC3E0C4088_.wvu.PrintArea" hidden="1" oldHidden="1">
    <formula>'નવા સ્લેબ મુજબ (NEW SLAB)'!$B$2:$AF$62</formula>
    <oldFormula>'નવા સ્લેબ મુજબ (NEW SLAB)'!$B$2:$AF$62</oldFormula>
  </rdn>
  <rdn rId="0" localSheetId="3" customView="1" name="Z_0E659955_9737_492F_945A_95AC3E0C4088_.wvu.Rows" hidden="1" oldHidden="1">
    <formula>'નવા સ્લેબ મુજબ (NEW SLAB)'!$342:$1048576,'નવા સ્લેબ મુજબ (NEW SLAB)'!$63:$341</formula>
    <oldFormula>'નવા સ્લેબ મુજબ (NEW SLAB)'!$342:$1048576,'નવા સ્લેબ મુજબ (NEW SLAB)'!$63:$341</oldFormula>
  </rdn>
  <rdn rId="0" localSheetId="3" customView="1" name="Z_0E659955_9737_492F_945A_95AC3E0C4088_.wvu.Cols" hidden="1" oldHidden="1">
    <formula>'નવા સ્લેબ મુજબ (NEW SLAB)'!$AH:$XFD</formula>
    <oldFormula>'નવા સ્લેબ મુજબ (NEW SLAB)'!$AH:$XFD</oldFormula>
  </rdn>
  <rdn rId="0" localSheetId="4" customView="1" name="Z_0E659955_9737_492F_945A_95AC3E0C4088_.wvu.Rows" hidden="1" oldHidden="1">
    <formula>Sheet1!$169:$1048576,Sheet1!$1:$168</formula>
    <oldFormula>Sheet1!$169:$1048576,Sheet1!$1:$168</oldFormula>
  </rdn>
  <rdn rId="0" localSheetId="4" customView="1" name="Z_0E659955_9737_492F_945A_95AC3E0C4088_.wvu.Cols" hidden="1" oldHidden="1">
    <formula>Sheet1!$1:$1048576</formula>
    <oldFormula>Sheet1!$1:$1048576</oldFormula>
  </rdn>
  <rcv guid="{0E659955-9737-492F-945A-95AC3E0C4088}" action="add"/>
</revisions>
</file>

<file path=xl/revisions/revisionLog111.xml><?xml version="1.0" encoding="utf-8"?>
<revisions xmlns="http://schemas.openxmlformats.org/spreadsheetml/2006/main" xmlns:r="http://schemas.openxmlformats.org/officeDocument/2006/relationships">
  <rcc rId="1" sId="1">
    <oc r="K1" t="inlineStr">
      <is>
        <t>હા</t>
      </is>
    </oc>
    <nc r="K1" t="inlineStr">
      <is>
        <t>ના</t>
      </is>
    </nc>
  </rcc>
  <rcc rId="2" sId="1">
    <nc r="G17" t="inlineStr">
      <is>
        <t>અન્ય</t>
      </is>
    </nc>
  </rcc>
  <rcc rId="3" sId="1">
    <nc r="G18" t="inlineStr">
      <is>
        <t xml:space="preserve">અન્ય </t>
      </is>
    </nc>
  </rcc>
  <rcc rId="4" sId="1" numFmtId="34">
    <nc r="X21">
      <v>0</v>
    </nc>
  </rcc>
  <rcc rId="5" sId="1" numFmtId="34">
    <nc r="X22">
      <v>0</v>
    </nc>
  </rcc>
  <rcc rId="6" sId="1" numFmtId="34">
    <nc r="X23">
      <v>0</v>
    </nc>
  </rcc>
  <rcc rId="7" sId="1" numFmtId="34">
    <nc r="X24">
      <v>0</v>
    </nc>
  </rcc>
  <rcc rId="8" sId="1" numFmtId="34">
    <nc r="X25">
      <v>0</v>
    </nc>
  </rcc>
  <rcc rId="9" sId="1" numFmtId="34">
    <nc r="X26">
      <v>0</v>
    </nc>
  </rcc>
  <rcc rId="10" sId="1" numFmtId="34">
    <nc r="X27">
      <v>0</v>
    </nc>
  </rcc>
  <rcc rId="11" sId="3">
    <oc r="K1" t="inlineStr">
      <is>
        <t>ના</t>
      </is>
    </oc>
    <nc r="K1" t="inlineStr">
      <is>
        <t>હા</t>
      </is>
    </nc>
  </rcc>
  <rcc rId="12" sId="1">
    <nc r="F4">
      <v>9</v>
    </nc>
  </rcc>
  <rcc rId="13" sId="1">
    <nc r="G4">
      <v>7</v>
    </nc>
  </rcc>
  <rcc rId="14" sId="1">
    <nc r="H4">
      <v>2</v>
    </nc>
  </rcc>
  <rcc rId="15" sId="1">
    <nc r="I4">
      <v>5</v>
    </nc>
  </rcc>
  <rcc rId="16" sId="1">
    <nc r="J4">
      <v>3</v>
    </nc>
  </rcc>
  <rcc rId="17" sId="1">
    <nc r="K4">
      <v>9</v>
    </nc>
  </rcc>
  <rcc rId="18" sId="1">
    <nc r="L4">
      <v>0</v>
    </nc>
  </rcc>
  <rcc rId="19" sId="1">
    <nc r="M4">
      <v>1</v>
    </nc>
  </rcc>
  <rcc rId="20" sId="1">
    <nc r="N4">
      <v>9</v>
    </nc>
  </rcc>
  <rcc rId="21" sId="1">
    <nc r="O4">
      <v>2</v>
    </nc>
  </rcc>
  <rcc rId="22" sId="1">
    <nc r="I8" t="inlineStr">
      <is>
        <t xml:space="preserve">Bhovaniya Suleman Ibrahimbhai </t>
      </is>
    </nc>
  </rcc>
  <rcc rId="23" sId="1">
    <nc r="Z8" t="inlineStr">
      <is>
        <t>As Teachers</t>
      </is>
    </nc>
  </rcc>
  <rcc rId="24" sId="1">
    <nc r="I9" t="inlineStr">
      <is>
        <t xml:space="preserve">Dulasan Pri School </t>
      </is>
    </nc>
  </rcc>
  <rcc rId="25" sId="1" odxf="1" dxf="1">
    <nc r="Z9" t="inlineStr">
      <is>
        <t>*******</t>
      </is>
    </nc>
    <odxf/>
    <ndxf/>
  </rcc>
  <rcc rId="26" sId="1">
    <nc r="I10" t="inlineStr">
      <is>
        <t>*******</t>
      </is>
    </nc>
  </rcc>
  <rcc rId="27" sId="1">
    <nc r="R10" t="inlineStr">
      <is>
        <t>******</t>
      </is>
    </nc>
  </rcc>
  <rcc rId="28" sId="1">
    <nc r="Z10" t="inlineStr">
      <is>
        <t>*****</t>
      </is>
    </nc>
  </rcc>
  <rcc rId="29" sId="1">
    <nc r="V4" t="inlineStr">
      <is>
        <t>*</t>
      </is>
    </nc>
  </rcc>
  <rcc rId="30" sId="1">
    <nc r="W4" t="inlineStr">
      <is>
        <t>*</t>
      </is>
    </nc>
  </rcc>
  <rcc rId="31" sId="1">
    <nc r="X4" t="inlineStr">
      <is>
        <t>*</t>
      </is>
    </nc>
  </rcc>
  <rcc rId="32" sId="1">
    <nc r="Y4" t="inlineStr">
      <is>
        <t>*</t>
      </is>
    </nc>
  </rcc>
  <rcc rId="33" sId="1">
    <nc r="Z4" t="inlineStr">
      <is>
        <t>*</t>
      </is>
    </nc>
  </rcc>
  <rcc rId="34" sId="1">
    <nc r="AA4" t="inlineStr">
      <is>
        <t>*</t>
      </is>
    </nc>
  </rcc>
  <rcc rId="35" sId="1">
    <nc r="AB4" t="inlineStr">
      <is>
        <t>*</t>
      </is>
    </nc>
  </rcc>
  <rcc rId="36" sId="1">
    <nc r="AC4" t="inlineStr">
      <is>
        <t>*</t>
      </is>
    </nc>
  </rcc>
  <rcc rId="37" sId="1">
    <nc r="AD4" t="inlineStr">
      <is>
        <t>*</t>
      </is>
    </nc>
  </rcc>
  <rcc rId="38" sId="1">
    <nc r="AE4" t="inlineStr">
      <is>
        <t>*</t>
      </is>
    </nc>
  </rcc>
  <rcc rId="39" sId="1">
    <nc r="F6" t="inlineStr">
      <is>
        <t>*</t>
      </is>
    </nc>
  </rcc>
  <rcc rId="40" sId="1">
    <nc r="G6" t="inlineStr">
      <is>
        <t>*</t>
      </is>
    </nc>
  </rcc>
  <rcc rId="41" sId="1">
    <nc r="H6" t="inlineStr">
      <is>
        <t>*</t>
      </is>
    </nc>
  </rcc>
  <rcc rId="42" sId="1">
    <nc r="I6" t="inlineStr">
      <is>
        <t>*</t>
      </is>
    </nc>
  </rcc>
  <rcc rId="43" sId="1">
    <nc r="J6" t="inlineStr">
      <is>
        <t>*</t>
      </is>
    </nc>
  </rcc>
  <rcc rId="44" sId="1">
    <nc r="K6" t="inlineStr">
      <is>
        <t>*</t>
      </is>
    </nc>
  </rcc>
  <rcc rId="45" sId="1">
    <nc r="L6" t="inlineStr">
      <is>
        <t>*</t>
      </is>
    </nc>
  </rcc>
  <rcc rId="46" sId="1">
    <nc r="M6" t="inlineStr">
      <is>
        <t>*</t>
      </is>
    </nc>
  </rcc>
  <rcc rId="47" sId="1">
    <nc r="N6">
      <v>2</v>
    </nc>
  </rcc>
  <rcc rId="48" sId="1">
    <nc r="O6">
      <v>5</v>
    </nc>
  </rcc>
  <rcc rId="49" sId="1">
    <nc r="P6">
      <v>8</v>
    </nc>
  </rcc>
  <rcc rId="50" sId="1">
    <nc r="Q6">
      <v>7</v>
    </nc>
  </rcc>
  <rcc rId="51" sId="1">
    <nc r="V6">
      <v>1</v>
    </nc>
  </rcc>
  <rcc rId="52" sId="1">
    <nc r="W6">
      <v>5</v>
    </nc>
  </rcc>
  <rcc rId="53" sId="1">
    <nc r="Y6">
      <v>0</v>
    </nc>
  </rcc>
  <rcc rId="54" sId="1">
    <nc r="Z6">
      <v>7</v>
    </nc>
  </rcc>
  <rcc rId="55" sId="1">
    <nc r="AB6">
      <v>1</v>
    </nc>
  </rcc>
  <rcc rId="56" sId="1">
    <nc r="AC6">
      <v>9</v>
    </nc>
  </rcc>
  <rcc rId="57" sId="1">
    <nc r="AD6">
      <v>7</v>
    </nc>
  </rcc>
  <rcc rId="58" sId="1">
    <nc r="AE6">
      <v>0</v>
    </nc>
  </rcc>
  <rcc rId="59" sId="1" numFmtId="34">
    <nc r="S37">
      <v>0</v>
    </nc>
  </rcc>
  <rcc rId="60" sId="1" numFmtId="34">
    <nc r="S31">
      <v>0</v>
    </nc>
  </rcc>
  <rcc rId="61" sId="1" numFmtId="34">
    <nc r="S32">
      <v>0</v>
    </nc>
  </rcc>
  <rcc rId="62" sId="1" numFmtId="34">
    <nc r="S33">
      <v>0</v>
    </nc>
  </rcc>
  <rcc rId="63" sId="1" numFmtId="34">
    <nc r="S35">
      <v>0</v>
    </nc>
  </rcc>
  <rcc rId="64" sId="1" numFmtId="34">
    <nc r="S38">
      <v>0</v>
    </nc>
  </rcc>
  <rcc rId="65" sId="1" numFmtId="34">
    <nc r="S39">
      <v>0</v>
    </nc>
  </rcc>
  <rcc rId="66" sId="1" numFmtId="34">
    <nc r="S17">
      <v>0</v>
    </nc>
  </rcc>
  <rcc rId="67" sId="1" numFmtId="34">
    <nc r="S36">
      <v>0</v>
    </nc>
  </rcc>
  <rcc rId="68" sId="1" numFmtId="34">
    <nc r="L25">
      <v>0</v>
    </nc>
  </rcc>
  <rcc rId="69" sId="1" numFmtId="34">
    <nc r="S18">
      <v>0</v>
    </nc>
  </rcc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121.xml><?xml version="1.0" encoding="utf-8"?>
<revisions xmlns="http://schemas.openxmlformats.org/spreadsheetml/2006/main" xmlns:r="http://schemas.openxmlformats.org/officeDocument/2006/relationships">
  <rcc rId="114" sId="2">
    <nc r="E6">
      <v>1</v>
    </nc>
  </rcc>
  <rcc rId="115" sId="2">
    <nc r="F6">
      <v>1</v>
    </nc>
  </rcc>
  <rcc rId="116" sId="2">
    <nc r="G6">
      <v>1</v>
    </nc>
  </rcc>
  <rcc rId="117" sId="2">
    <nc r="H6">
      <v>1</v>
    </nc>
  </rcc>
  <rcc rId="118" sId="2">
    <nc r="I6">
      <v>1</v>
    </nc>
  </rcc>
  <rcc rId="119" sId="2">
    <nc r="J6">
      <v>1</v>
    </nc>
  </rcc>
  <rcc rId="120" sId="2">
    <nc r="K6">
      <v>1</v>
    </nc>
  </rcc>
  <rcc rId="121" sId="2">
    <nc r="L6">
      <v>1</v>
    </nc>
  </rcc>
  <rcc rId="122" sId="2">
    <nc r="M6">
      <v>1</v>
    </nc>
  </rcc>
  <rcc rId="123" sId="2">
    <nc r="N6">
      <v>1</v>
    </nc>
  </rcc>
  <rcc rId="124" sId="3">
    <oc r="AC1" t="inlineStr">
      <is>
        <t>C.P.F.</t>
      </is>
    </oc>
    <nc r="AC1" t="inlineStr">
      <is>
        <t>G.P.F.</t>
      </is>
    </nc>
  </rcc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1111.xml><?xml version="1.0" encoding="utf-8"?>
<revisions xmlns="http://schemas.openxmlformats.org/spreadsheetml/2006/main" xmlns:r="http://schemas.openxmlformats.org/officeDocument/2006/relationships"/>
</file>

<file path=xl/revisions/revisionLog1211.xml><?xml version="1.0" encoding="utf-8"?>
<revisions xmlns="http://schemas.openxmlformats.org/spreadsheetml/2006/main" xmlns:r="http://schemas.openxmlformats.org/officeDocument/2006/relationships"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revisionLog12111.xml><?xml version="1.0" encoding="utf-8"?>
<revisions xmlns="http://schemas.openxmlformats.org/spreadsheetml/2006/main" xmlns:r="http://schemas.openxmlformats.org/officeDocument/2006/relationships">
  <rcv guid="{6B449CA7-43A5-4BFF-BFE3-4A3E3D45323D}" action="delete"/>
  <rdn rId="0" localSheetId="1" customView="1" name="Z_6B449CA7_43A5_4BFF_BFE3_4A3E3D45323D_.wvu.PrintArea" hidden="1" oldHidden="1">
    <formula>OLD!$B$2:$AF$60</formula>
    <oldFormula>OLD!$B$2:$AF$60</oldFormula>
  </rdn>
  <rdn rId="0" localSheetId="1" customView="1" name="Z_6B449CA7_43A5_4BFF_BFE3_4A3E3D45323D_.wvu.Rows" hidden="1" oldHidden="1">
    <formula>OLD!$349:$1048576,OLD!$62:$348</formula>
    <oldFormula>OLD!$349:$1048576,OLD!$62:$348</oldFormula>
  </rdn>
  <rdn rId="0" localSheetId="1" customView="1" name="Z_6B449CA7_43A5_4BFF_BFE3_4A3E3D45323D_.wvu.Cols" hidden="1" oldHidden="1">
    <formula>OLD!$AH:$XFD</formula>
    <oldFormula>OLD!$AH:$XFD</oldFormula>
  </rdn>
  <rdn rId="0" localSheetId="2" customView="1" name="Z_6B449CA7_43A5_4BFF_BFE3_4A3E3D45323D_.wvu.PrintArea" hidden="1" oldHidden="1">
    <formula>'KPAT PTRK '!$B$2:$O$44</formula>
    <oldFormula>'KPAT PTRK '!$B$2:$O$44</oldFormula>
  </rdn>
  <rdn rId="0" localSheetId="2" customView="1" name="Z_6B449CA7_43A5_4BFF_BFE3_4A3E3D45323D_.wvu.Rows" hidden="1" oldHidden="1">
    <formula>'KPAT PTRK '!$1003:$1048576,'KPAT PTRK '!$46:$1002</formula>
    <oldFormula>'KPAT PTRK '!$1003:$1048576,'KPAT PTRK '!$46:$1002</oldFormula>
  </rdn>
  <rdn rId="0" localSheetId="2" customView="1" name="Z_6B449CA7_43A5_4BFF_BFE3_4A3E3D45323D_.wvu.Cols" hidden="1" oldHidden="1">
    <formula>'KPAT PTRK '!$Q:$XFD</formula>
    <oldFormula>'KPAT PTRK '!$Q:$XFD</oldFormula>
  </rdn>
  <rdn rId="0" localSheetId="3" customView="1" name="Z_6B449CA7_43A5_4BFF_BFE3_4A3E3D45323D_.wvu.PrintArea" hidden="1" oldHidden="1">
    <formula>NEW!$B$2:$AF$62</formula>
    <oldFormula>NEW!$B$2:$AF$62</oldFormula>
  </rdn>
  <rdn rId="0" localSheetId="3" customView="1" name="Z_6B449CA7_43A5_4BFF_BFE3_4A3E3D45323D_.wvu.Rows" hidden="1" oldHidden="1">
    <formula>NEW!$351:$1048576,NEW!$64:$350</formula>
    <oldFormula>NEW!$351:$1048576,NEW!$64:$350</oldFormula>
  </rdn>
  <rdn rId="0" localSheetId="3" customView="1" name="Z_6B449CA7_43A5_4BFF_BFE3_4A3E3D45323D_.wvu.Cols" hidden="1" oldHidden="1">
    <formula>NEW!$AH:$XFD</formula>
    <oldFormula>NEW!$AH:$XFD</oldFormula>
  </rdn>
  <rdn rId="0" localSheetId="4" customView="1" name="Z_6B449CA7_43A5_4BFF_BFE3_4A3E3D45323D_.wvu.Rows" hidden="1" oldHidden="1">
    <formula>Sheet1!$65537:$1048576,Sheet1!$1:$65536</formula>
    <oldFormula>Sheet1!$65537:$1048576,Sheet1!$1:$65536</oldFormula>
  </rdn>
  <rdn rId="0" localSheetId="4" customView="1" name="Z_6B449CA7_43A5_4BFF_BFE3_4A3E3D45323D_.wvu.Cols" hidden="1" oldHidden="1">
    <formula>Sheet1!$1:$1048576</formula>
    <oldFormula>Sheet1!$1:$1048576</oldFormula>
  </rdn>
  <rcv guid="{6B449CA7-43A5-4BFF-BFE3-4A3E3D45323D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13BC7D86-B3E3-4D9B-95F7-FF7B25A7D554}" name="RAEES" id="-1007262986" dateTime="2023-12-22T15:23:29"/>
</us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V347"/>
  <sheetViews>
    <sheetView showGridLines="0" showRowColHeaders="0" tabSelected="1" zoomScaleNormal="100" workbookViewId="0">
      <selection activeCell="X27" sqref="X27:Z27"/>
    </sheetView>
  </sheetViews>
  <sheetFormatPr defaultColWidth="0" defaultRowHeight="16.5" customHeight="1" zeroHeight="1"/>
  <cols>
    <col min="1" max="1" width="3.54296875" style="241" customWidth="1"/>
    <col min="2" max="2" width="1.453125" style="241" customWidth="1"/>
    <col min="3" max="3" width="3.54296875" style="242" customWidth="1"/>
    <col min="4" max="17" width="3.54296875" style="241" customWidth="1"/>
    <col min="18" max="18" width="3.54296875" style="243" customWidth="1"/>
    <col min="19" max="25" width="3.54296875" style="241" customWidth="1"/>
    <col min="26" max="26" width="3.54296875" style="243" customWidth="1"/>
    <col min="27" max="31" width="3.54296875" style="241" customWidth="1"/>
    <col min="32" max="32" width="1.453125" style="241" customWidth="1"/>
    <col min="33" max="33" width="3.54296875" style="241" customWidth="1"/>
    <col min="34" max="38" width="3.54296875" style="95" hidden="1" customWidth="1"/>
    <col min="39" max="42" width="12.54296875" style="95" hidden="1" customWidth="1"/>
    <col min="43" max="43" width="13.1796875" style="95" hidden="1" customWidth="1"/>
    <col min="44" max="69" width="9.1796875" style="95" hidden="1" customWidth="1"/>
    <col min="70" max="85" width="9.1796875" style="96" hidden="1" customWidth="1"/>
    <col min="86" max="256" width="0" style="113" hidden="1" customWidth="1"/>
    <col min="257" max="16384" width="9.1796875" style="101" hidden="1"/>
  </cols>
  <sheetData>
    <row r="1" spans="1:85" s="94" customFormat="1" ht="24" customHeight="1" thickBot="1">
      <c r="A1" s="303" t="s">
        <v>193</v>
      </c>
      <c r="B1" s="303"/>
      <c r="C1" s="303"/>
      <c r="D1" s="303"/>
      <c r="E1" s="303"/>
      <c r="F1" s="303"/>
      <c r="G1" s="303"/>
      <c r="H1" s="303"/>
      <c r="I1" s="303"/>
      <c r="J1" s="303"/>
      <c r="K1" s="295" t="s">
        <v>232</v>
      </c>
      <c r="L1" s="286"/>
      <c r="M1" s="214"/>
      <c r="N1" s="294" t="s">
        <v>90</v>
      </c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86" t="s">
        <v>88</v>
      </c>
      <c r="AD1" s="286"/>
      <c r="AE1" s="286"/>
      <c r="AF1" s="215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</row>
    <row r="2" spans="1:85" s="101" customFormat="1" ht="21" customHeight="1">
      <c r="A2" s="97"/>
      <c r="B2" s="98"/>
      <c r="C2" s="292" t="s">
        <v>315</v>
      </c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99"/>
      <c r="AG2" s="100"/>
      <c r="AH2" s="95"/>
      <c r="AI2" s="95"/>
      <c r="AJ2" s="95"/>
      <c r="AK2" s="95"/>
      <c r="AL2" s="95"/>
      <c r="AM2" s="95" t="s">
        <v>88</v>
      </c>
      <c r="AN2" s="95">
        <f>AO32</f>
        <v>0</v>
      </c>
      <c r="AO2" s="95">
        <v>0</v>
      </c>
      <c r="AP2" s="95">
        <f>IF(AC1="C.P.F.",AN2,AO2)</f>
        <v>0</v>
      </c>
      <c r="AQ2" s="95">
        <f>AN32</f>
        <v>0</v>
      </c>
      <c r="AR2" s="95">
        <f>IF(AC1="C.P.F.",AQ2,AO2)</f>
        <v>0</v>
      </c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</row>
    <row r="3" spans="1:85" s="101" customFormat="1" ht="16.5" customHeight="1">
      <c r="A3" s="97"/>
      <c r="B3" s="102"/>
      <c r="C3" s="302" t="s">
        <v>295</v>
      </c>
      <c r="D3" s="302"/>
      <c r="E3" s="302"/>
      <c r="F3" s="302"/>
      <c r="G3" s="302"/>
      <c r="H3" s="302"/>
      <c r="I3" s="302"/>
      <c r="J3" s="302"/>
      <c r="K3" s="302"/>
      <c r="L3" s="302"/>
      <c r="M3" s="103"/>
      <c r="N3" s="103"/>
      <c r="O3" s="103"/>
      <c r="P3" s="103"/>
      <c r="Q3" s="103"/>
      <c r="R3" s="103"/>
      <c r="S3" s="103"/>
      <c r="T3" s="103"/>
      <c r="U3" s="103"/>
      <c r="V3" s="289" t="s">
        <v>294</v>
      </c>
      <c r="W3" s="289"/>
      <c r="X3" s="289"/>
      <c r="Y3" s="289"/>
      <c r="Z3" s="289"/>
      <c r="AA3" s="289"/>
      <c r="AB3" s="289"/>
      <c r="AC3" s="289"/>
      <c r="AD3" s="289"/>
      <c r="AE3" s="289"/>
      <c r="AF3" s="104"/>
      <c r="AG3" s="100"/>
      <c r="AH3" s="95"/>
      <c r="AI3" s="95"/>
      <c r="AJ3" s="95"/>
      <c r="AK3" s="95"/>
      <c r="AL3" s="95"/>
      <c r="AM3" s="95" t="s">
        <v>89</v>
      </c>
      <c r="AN3" s="95">
        <f>'કપાટ પત્રક પેહલા ભરવુ '!G18</f>
        <v>0</v>
      </c>
      <c r="AO3" s="95">
        <v>0</v>
      </c>
      <c r="AP3" s="95">
        <f>IF(AC1="G.P.F.",AN3,AO3)</f>
        <v>0</v>
      </c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</row>
    <row r="4" spans="1:85" s="103" customFormat="1" ht="15.75" customHeight="1">
      <c r="A4" s="217"/>
      <c r="B4" s="218"/>
      <c r="C4" s="284" t="s">
        <v>13</v>
      </c>
      <c r="D4" s="284"/>
      <c r="E4" s="284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20"/>
      <c r="Q4" s="220"/>
      <c r="R4" s="288" t="s">
        <v>11</v>
      </c>
      <c r="S4" s="288"/>
      <c r="T4" s="288"/>
      <c r="U4" s="288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22"/>
      <c r="AG4" s="217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</row>
    <row r="5" spans="1:85" s="101" customFormat="1" ht="3.75" customHeight="1">
      <c r="A5" s="224"/>
      <c r="B5" s="225"/>
      <c r="C5" s="1"/>
      <c r="D5" s="1"/>
      <c r="E5" s="1"/>
      <c r="F5" s="226"/>
      <c r="G5" s="226"/>
      <c r="H5" s="226"/>
      <c r="I5" s="226"/>
      <c r="J5" s="220"/>
      <c r="K5" s="220"/>
      <c r="L5" s="220"/>
      <c r="M5" s="220"/>
      <c r="N5" s="220"/>
      <c r="O5" s="221"/>
      <c r="P5" s="221"/>
      <c r="Q5" s="221"/>
      <c r="R5" s="221"/>
      <c r="S5" s="221"/>
      <c r="T5" s="221"/>
      <c r="U5" s="221"/>
      <c r="V5" s="221"/>
      <c r="W5" s="226"/>
      <c r="X5" s="226"/>
      <c r="Y5" s="226"/>
      <c r="Z5" s="226"/>
      <c r="AA5" s="226"/>
      <c r="AB5" s="220"/>
      <c r="AC5" s="226"/>
      <c r="AD5" s="226"/>
      <c r="AE5" s="226"/>
      <c r="AF5" s="227"/>
      <c r="AG5" s="224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</row>
    <row r="6" spans="1:85" s="103" customFormat="1" ht="16.5" customHeight="1">
      <c r="A6" s="217"/>
      <c r="B6" s="218"/>
      <c r="C6" s="284" t="s">
        <v>14</v>
      </c>
      <c r="D6" s="284"/>
      <c r="E6" s="284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88" t="s">
        <v>12</v>
      </c>
      <c r="S6" s="288"/>
      <c r="T6" s="288"/>
      <c r="U6" s="288"/>
      <c r="V6" s="219"/>
      <c r="W6" s="219"/>
      <c r="X6" s="220"/>
      <c r="Y6" s="219"/>
      <c r="Z6" s="219"/>
      <c r="AA6" s="220"/>
      <c r="AB6" s="219"/>
      <c r="AC6" s="219"/>
      <c r="AD6" s="219"/>
      <c r="AE6" s="219"/>
      <c r="AF6" s="222"/>
      <c r="AG6" s="217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1"/>
      <c r="CD6" s="111"/>
      <c r="CE6" s="111"/>
      <c r="CF6" s="111"/>
      <c r="CG6" s="111"/>
    </row>
    <row r="7" spans="1:85" s="103" customFormat="1" ht="3.75" customHeight="1">
      <c r="A7" s="105"/>
      <c r="B7" s="106"/>
      <c r="D7" s="3"/>
      <c r="E7" s="3"/>
      <c r="F7" s="3"/>
      <c r="R7" s="3"/>
      <c r="S7" s="3"/>
      <c r="T7" s="3"/>
      <c r="U7" s="3"/>
      <c r="AF7" s="108"/>
      <c r="AG7" s="109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1"/>
      <c r="BS7" s="111"/>
      <c r="BT7" s="111"/>
      <c r="BU7" s="111"/>
      <c r="BV7" s="111"/>
      <c r="BW7" s="111"/>
      <c r="BX7" s="111"/>
      <c r="BY7" s="111"/>
      <c r="BZ7" s="111"/>
      <c r="CA7" s="111"/>
      <c r="CB7" s="111"/>
      <c r="CC7" s="111"/>
      <c r="CD7" s="111"/>
      <c r="CE7" s="111"/>
      <c r="CF7" s="111"/>
      <c r="CG7" s="111"/>
    </row>
    <row r="8" spans="1:85" s="101" customFormat="1" ht="16.5" customHeight="1">
      <c r="A8" s="224"/>
      <c r="B8" s="225"/>
      <c r="C8" s="284" t="s">
        <v>293</v>
      </c>
      <c r="D8" s="284"/>
      <c r="E8" s="284"/>
      <c r="F8" s="284"/>
      <c r="G8" s="284"/>
      <c r="H8" s="284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91" t="s">
        <v>59</v>
      </c>
      <c r="Y8" s="291"/>
      <c r="Z8" s="270"/>
      <c r="AA8" s="270"/>
      <c r="AB8" s="270"/>
      <c r="AC8" s="270"/>
      <c r="AD8" s="270"/>
      <c r="AE8" s="270"/>
      <c r="AF8" s="227"/>
      <c r="AG8" s="224"/>
      <c r="AH8" s="216"/>
      <c r="AI8" s="216"/>
      <c r="AJ8" s="216"/>
      <c r="AK8" s="216"/>
      <c r="AL8" s="216"/>
      <c r="AM8" s="216"/>
      <c r="AN8" s="216"/>
      <c r="AO8" s="216"/>
      <c r="AP8" s="216"/>
      <c r="AQ8" s="216"/>
      <c r="AR8" s="216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</row>
    <row r="9" spans="1:85" s="101" customFormat="1" ht="16.5" customHeight="1">
      <c r="A9" s="224"/>
      <c r="B9" s="225"/>
      <c r="C9" s="284" t="s">
        <v>292</v>
      </c>
      <c r="D9" s="284"/>
      <c r="E9" s="284"/>
      <c r="F9" s="284"/>
      <c r="G9" s="284"/>
      <c r="H9" s="284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91" t="s">
        <v>40</v>
      </c>
      <c r="W9" s="291"/>
      <c r="X9" s="291"/>
      <c r="Y9" s="291"/>
      <c r="Z9" s="278"/>
      <c r="AA9" s="278"/>
      <c r="AB9" s="278"/>
      <c r="AC9" s="278"/>
      <c r="AD9" s="278"/>
      <c r="AE9" s="278"/>
      <c r="AF9" s="227"/>
      <c r="AG9" s="224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</row>
    <row r="10" spans="1:85" s="101" customFormat="1" ht="16.5" customHeight="1">
      <c r="A10" s="224"/>
      <c r="B10" s="225"/>
      <c r="C10" s="284" t="s">
        <v>291</v>
      </c>
      <c r="D10" s="284"/>
      <c r="E10" s="284"/>
      <c r="F10" s="284"/>
      <c r="G10" s="284"/>
      <c r="H10" s="284"/>
      <c r="I10" s="270"/>
      <c r="J10" s="270"/>
      <c r="K10" s="270"/>
      <c r="L10" s="270"/>
      <c r="M10" s="270"/>
      <c r="N10" s="270"/>
      <c r="O10" s="270"/>
      <c r="P10" s="291" t="s">
        <v>8</v>
      </c>
      <c r="Q10" s="291"/>
      <c r="R10" s="301"/>
      <c r="S10" s="301"/>
      <c r="T10" s="301"/>
      <c r="U10" s="301"/>
      <c r="V10" s="291" t="s">
        <v>58</v>
      </c>
      <c r="W10" s="291"/>
      <c r="X10" s="291"/>
      <c r="Y10" s="291"/>
      <c r="Z10" s="270"/>
      <c r="AA10" s="270"/>
      <c r="AB10" s="270"/>
      <c r="AC10" s="270"/>
      <c r="AD10" s="270"/>
      <c r="AE10" s="270"/>
      <c r="AF10" s="227"/>
      <c r="AG10" s="224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</row>
    <row r="11" spans="1:85" s="101" customFormat="1" ht="3.75" customHeight="1">
      <c r="A11" s="97"/>
      <c r="B11" s="115"/>
      <c r="C11" s="116"/>
      <c r="D11" s="117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9"/>
      <c r="S11" s="118"/>
      <c r="T11" s="118"/>
      <c r="U11" s="118"/>
      <c r="V11" s="118"/>
      <c r="W11" s="118"/>
      <c r="X11" s="118"/>
      <c r="Y11" s="118"/>
      <c r="Z11" s="119"/>
      <c r="AA11" s="118"/>
      <c r="AB11" s="118"/>
      <c r="AC11" s="118"/>
      <c r="AD11" s="118"/>
      <c r="AE11" s="118"/>
      <c r="AF11" s="120"/>
      <c r="AG11" s="100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</row>
    <row r="12" spans="1:85" s="101" customFormat="1" ht="3.75" customHeight="1">
      <c r="A12" s="97"/>
      <c r="B12" s="112"/>
      <c r="C12" s="103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3"/>
      <c r="S12" s="122"/>
      <c r="T12" s="122"/>
      <c r="U12" s="122"/>
      <c r="V12" s="122"/>
      <c r="W12" s="122"/>
      <c r="X12" s="122"/>
      <c r="Y12" s="122"/>
      <c r="Z12" s="123"/>
      <c r="AA12" s="122"/>
      <c r="AB12" s="122"/>
      <c r="AC12" s="122"/>
      <c r="AD12" s="122"/>
      <c r="AE12" s="122"/>
      <c r="AF12" s="114"/>
      <c r="AG12" s="100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</row>
    <row r="13" spans="1:85" s="101" customFormat="1" ht="16.5" customHeight="1">
      <c r="A13" s="97"/>
      <c r="B13" s="112"/>
      <c r="C13" s="124" t="s">
        <v>284</v>
      </c>
      <c r="D13" s="255" t="s">
        <v>53</v>
      </c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107"/>
      <c r="S13" s="113"/>
      <c r="T13" s="113"/>
      <c r="U13" s="113"/>
      <c r="V13" s="113"/>
      <c r="W13" s="113"/>
      <c r="X13" s="113"/>
      <c r="Y13" s="113"/>
      <c r="Z13" s="103" t="s">
        <v>47</v>
      </c>
      <c r="AA13" s="267">
        <f>'કપાટ પત્રક પેહલા ભરવુ '!E25</f>
        <v>0</v>
      </c>
      <c r="AB13" s="267"/>
      <c r="AC13" s="267"/>
      <c r="AD13" s="267"/>
      <c r="AE13" s="267"/>
      <c r="AF13" s="114"/>
      <c r="AG13" s="100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</row>
    <row r="14" spans="1:85" s="101" customFormat="1" ht="16.5" customHeight="1">
      <c r="A14" s="97"/>
      <c r="B14" s="112"/>
      <c r="C14" s="103" t="s">
        <v>281</v>
      </c>
      <c r="D14" s="255" t="s">
        <v>15</v>
      </c>
      <c r="E14" s="255"/>
      <c r="F14" s="113" t="s">
        <v>16</v>
      </c>
      <c r="G14" s="255" t="s">
        <v>83</v>
      </c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103" t="s">
        <v>47</v>
      </c>
      <c r="S14" s="268">
        <v>50000</v>
      </c>
      <c r="T14" s="268"/>
      <c r="U14" s="268"/>
      <c r="V14" s="268"/>
      <c r="W14" s="3"/>
      <c r="X14" s="113"/>
      <c r="Y14" s="107"/>
      <c r="Z14" s="107"/>
      <c r="AA14" s="107"/>
      <c r="AB14" s="107"/>
      <c r="AC14" s="107"/>
      <c r="AD14" s="107"/>
      <c r="AE14" s="107"/>
      <c r="AF14" s="114"/>
      <c r="AG14" s="100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</row>
    <row r="15" spans="1:85" s="101" customFormat="1" ht="16.5" customHeight="1">
      <c r="A15" s="97"/>
      <c r="B15" s="112"/>
      <c r="C15" s="103"/>
      <c r="D15" s="3"/>
      <c r="E15" s="113"/>
      <c r="F15" s="113" t="s">
        <v>17</v>
      </c>
      <c r="G15" s="255" t="s">
        <v>2</v>
      </c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103" t="s">
        <v>47</v>
      </c>
      <c r="S15" s="268">
        <f>'કપાટ પત્રક પેહલા ભરવુ '!F18</f>
        <v>0</v>
      </c>
      <c r="T15" s="268"/>
      <c r="U15" s="268"/>
      <c r="V15" s="268"/>
      <c r="W15" s="3"/>
      <c r="X15" s="113"/>
      <c r="Y15" s="107"/>
      <c r="Z15" s="107"/>
      <c r="AA15" s="107"/>
      <c r="AB15" s="107"/>
      <c r="AC15" s="107"/>
      <c r="AD15" s="107"/>
      <c r="AE15" s="107"/>
      <c r="AF15" s="114"/>
      <c r="AG15" s="100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</row>
    <row r="16" spans="1:85" s="101" customFormat="1" ht="16.5" customHeight="1">
      <c r="A16" s="97"/>
      <c r="B16" s="112"/>
      <c r="C16" s="103"/>
      <c r="D16" s="3"/>
      <c r="E16" s="113"/>
      <c r="F16" s="113" t="s">
        <v>18</v>
      </c>
      <c r="G16" s="255" t="s">
        <v>84</v>
      </c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103" t="s">
        <v>47</v>
      </c>
      <c r="S16" s="268">
        <f>Y78</f>
        <v>0</v>
      </c>
      <c r="T16" s="268"/>
      <c r="U16" s="268"/>
      <c r="V16" s="268"/>
      <c r="W16" s="3"/>
      <c r="X16" s="113"/>
      <c r="Y16" s="107"/>
      <c r="Z16" s="107"/>
      <c r="AA16" s="107"/>
      <c r="AB16" s="107"/>
      <c r="AC16" s="107"/>
      <c r="AD16" s="107"/>
      <c r="AE16" s="107"/>
      <c r="AF16" s="114"/>
      <c r="AG16" s="100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</row>
    <row r="17" spans="1:69" s="101" customFormat="1" ht="16.5" customHeight="1">
      <c r="A17" s="125"/>
      <c r="B17" s="112"/>
      <c r="C17" s="103"/>
      <c r="D17" s="3"/>
      <c r="E17" s="113"/>
      <c r="F17" s="113" t="s">
        <v>19</v>
      </c>
      <c r="G17" s="254" t="s">
        <v>314</v>
      </c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103" t="s">
        <v>47</v>
      </c>
      <c r="S17" s="269">
        <v>0</v>
      </c>
      <c r="T17" s="269"/>
      <c r="U17" s="269"/>
      <c r="V17" s="269"/>
      <c r="W17" s="113"/>
      <c r="X17" s="113"/>
      <c r="Y17" s="113"/>
      <c r="Z17" s="113"/>
      <c r="AA17" s="113"/>
      <c r="AB17" s="113"/>
      <c r="AC17" s="113"/>
      <c r="AD17" s="113"/>
      <c r="AE17" s="113"/>
      <c r="AF17" s="114"/>
      <c r="AG17" s="100"/>
      <c r="AH17" s="95"/>
      <c r="AI17" s="95"/>
      <c r="AJ17" s="95"/>
      <c r="AK17" s="95"/>
      <c r="AL17" s="95"/>
      <c r="AM17" s="95"/>
      <c r="AN17" s="95"/>
      <c r="AO17" s="95"/>
      <c r="AP17" s="95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</row>
    <row r="18" spans="1:69" s="101" customFormat="1" ht="16.5" customHeight="1">
      <c r="A18" s="125"/>
      <c r="B18" s="112"/>
      <c r="C18" s="103"/>
      <c r="D18" s="113"/>
      <c r="E18" s="113"/>
      <c r="F18" s="113" t="s">
        <v>20</v>
      </c>
      <c r="G18" s="254" t="s">
        <v>67</v>
      </c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103" t="s">
        <v>47</v>
      </c>
      <c r="S18" s="269">
        <v>0</v>
      </c>
      <c r="T18" s="269"/>
      <c r="U18" s="269"/>
      <c r="V18" s="269"/>
      <c r="W18" s="253" t="s">
        <v>60</v>
      </c>
      <c r="X18" s="253"/>
      <c r="Y18" s="253"/>
      <c r="Z18" s="103" t="s">
        <v>47</v>
      </c>
      <c r="AA18" s="267">
        <f>SUM(S14:V18)</f>
        <v>50000</v>
      </c>
      <c r="AB18" s="267"/>
      <c r="AC18" s="267"/>
      <c r="AD18" s="267"/>
      <c r="AE18" s="267"/>
      <c r="AF18" s="114"/>
      <c r="AG18" s="100"/>
      <c r="AH18" s="95"/>
      <c r="AI18" s="95"/>
      <c r="AJ18" s="95"/>
      <c r="AK18" s="95"/>
      <c r="AL18" s="95"/>
      <c r="AM18" s="95"/>
      <c r="AN18" s="95"/>
      <c r="AO18" s="95"/>
      <c r="AP18" s="95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</row>
    <row r="19" spans="1:69" s="101" customFormat="1" ht="16.5" customHeight="1">
      <c r="A19" s="125"/>
      <c r="B19" s="112"/>
      <c r="C19" s="103" t="s">
        <v>278</v>
      </c>
      <c r="D19" s="255" t="s">
        <v>57</v>
      </c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5"/>
      <c r="Q19" s="113"/>
      <c r="R19" s="107"/>
      <c r="S19" s="107"/>
      <c r="T19" s="123"/>
      <c r="U19" s="123" t="s">
        <v>96</v>
      </c>
      <c r="V19" s="107"/>
      <c r="W19" s="113"/>
      <c r="X19" s="113"/>
      <c r="Y19" s="113"/>
      <c r="Z19" s="103" t="s">
        <v>47</v>
      </c>
      <c r="AA19" s="267">
        <f>AA13-AA18</f>
        <v>-50000</v>
      </c>
      <c r="AB19" s="267"/>
      <c r="AC19" s="267"/>
      <c r="AD19" s="267"/>
      <c r="AE19" s="267"/>
      <c r="AF19" s="114"/>
      <c r="AG19" s="100"/>
      <c r="AH19" s="95"/>
      <c r="AI19" s="95"/>
      <c r="AJ19" s="95"/>
      <c r="AK19" s="95"/>
      <c r="AL19" s="95"/>
      <c r="AM19" s="127">
        <f>SUM(L21:N27)+SUM(X21:Z27)</f>
        <v>0</v>
      </c>
      <c r="AN19" s="95"/>
      <c r="AO19" s="127"/>
      <c r="AP19" s="95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</row>
    <row r="20" spans="1:69" s="101" customFormat="1" ht="16.5" customHeight="1">
      <c r="A20" s="125"/>
      <c r="B20" s="112"/>
      <c r="C20" s="103" t="s">
        <v>275</v>
      </c>
      <c r="D20" s="255" t="s">
        <v>48</v>
      </c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113"/>
      <c r="R20" s="107"/>
      <c r="S20" s="107"/>
      <c r="T20" s="107"/>
      <c r="U20" s="107"/>
      <c r="V20" s="107"/>
      <c r="W20" s="113"/>
      <c r="X20" s="113"/>
      <c r="Y20" s="113"/>
      <c r="Z20" s="107"/>
      <c r="AA20" s="113"/>
      <c r="AB20" s="113"/>
      <c r="AC20" s="113"/>
      <c r="AD20" s="113"/>
      <c r="AE20" s="113"/>
      <c r="AF20" s="114"/>
      <c r="AG20" s="100"/>
      <c r="AH20" s="95"/>
      <c r="AI20" s="95"/>
      <c r="AJ20" s="95"/>
      <c r="AK20" s="95"/>
      <c r="AL20" s="95"/>
      <c r="AM20" s="95"/>
      <c r="AN20" s="95"/>
      <c r="AO20" s="95"/>
      <c r="AP20" s="95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</row>
    <row r="21" spans="1:69" s="101" customFormat="1" ht="16.5" customHeight="1">
      <c r="A21" s="125"/>
      <c r="B21" s="112"/>
      <c r="C21" s="103"/>
      <c r="D21" s="103" t="s">
        <v>16</v>
      </c>
      <c r="E21" s="255" t="s">
        <v>61</v>
      </c>
      <c r="F21" s="255"/>
      <c r="G21" s="255"/>
      <c r="H21" s="255"/>
      <c r="I21" s="255"/>
      <c r="J21" s="255"/>
      <c r="K21" s="103" t="s">
        <v>47</v>
      </c>
      <c r="L21" s="258">
        <f>AP3</f>
        <v>0</v>
      </c>
      <c r="M21" s="258"/>
      <c r="N21" s="258"/>
      <c r="O21" s="113"/>
      <c r="P21" s="103" t="s">
        <v>24</v>
      </c>
      <c r="Q21" s="255" t="s">
        <v>316</v>
      </c>
      <c r="R21" s="255"/>
      <c r="S21" s="255"/>
      <c r="T21" s="255"/>
      <c r="U21" s="255"/>
      <c r="V21" s="255"/>
      <c r="W21" s="103" t="s">
        <v>47</v>
      </c>
      <c r="X21" s="252">
        <v>0</v>
      </c>
      <c r="Y21" s="252"/>
      <c r="Z21" s="252"/>
      <c r="AA21" s="113"/>
      <c r="AB21" s="113"/>
      <c r="AC21" s="113"/>
      <c r="AD21" s="113"/>
      <c r="AE21" s="113"/>
      <c r="AF21" s="114"/>
      <c r="AG21" s="100"/>
      <c r="AH21" s="95"/>
      <c r="AI21" s="95"/>
      <c r="AJ21" s="95"/>
      <c r="AK21" s="95"/>
      <c r="AL21" s="95"/>
      <c r="AM21" s="127">
        <f>SUM(L21:N27)</f>
        <v>0</v>
      </c>
      <c r="AN21" s="95">
        <v>50000</v>
      </c>
      <c r="AO21" s="127">
        <f>SUM(AM21:AN21)</f>
        <v>50000</v>
      </c>
      <c r="AP21" s="95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</row>
    <row r="22" spans="1:69" s="101" customFormat="1" ht="16.5" customHeight="1">
      <c r="A22" s="125"/>
      <c r="B22" s="112"/>
      <c r="C22" s="103"/>
      <c r="D22" s="103" t="s">
        <v>17</v>
      </c>
      <c r="E22" s="255" t="s">
        <v>62</v>
      </c>
      <c r="F22" s="255"/>
      <c r="G22" s="255"/>
      <c r="H22" s="255"/>
      <c r="I22" s="255"/>
      <c r="J22" s="255"/>
      <c r="K22" s="103" t="s">
        <v>47</v>
      </c>
      <c r="L22" s="287">
        <f>AP2</f>
        <v>0</v>
      </c>
      <c r="M22" s="287"/>
      <c r="N22" s="287"/>
      <c r="O22" s="113"/>
      <c r="P22" s="103" t="s">
        <v>64</v>
      </c>
      <c r="Q22" s="255" t="s">
        <v>21</v>
      </c>
      <c r="R22" s="255"/>
      <c r="S22" s="255"/>
      <c r="T22" s="255"/>
      <c r="U22" s="255"/>
      <c r="V22" s="255"/>
      <c r="W22" s="103" t="s">
        <v>47</v>
      </c>
      <c r="X22" s="252">
        <v>0</v>
      </c>
      <c r="Y22" s="252"/>
      <c r="Z22" s="252"/>
      <c r="AA22" s="113"/>
      <c r="AB22" s="113"/>
      <c r="AC22" s="113"/>
      <c r="AD22" s="113"/>
      <c r="AE22" s="113"/>
      <c r="AF22" s="114"/>
      <c r="AG22" s="100"/>
      <c r="AH22" s="95"/>
      <c r="AI22" s="95"/>
      <c r="AJ22" s="95"/>
      <c r="AK22" s="95"/>
      <c r="AL22" s="95"/>
      <c r="AM22" s="95">
        <f>'કપાટ પત્રક પેહલા ભરવુ '!H18</f>
        <v>0</v>
      </c>
      <c r="AN22" s="95"/>
      <c r="AO22" s="95"/>
      <c r="AP22" s="95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</row>
    <row r="23" spans="1:69" s="101" customFormat="1" ht="16.5" customHeight="1">
      <c r="A23" s="125"/>
      <c r="B23" s="112"/>
      <c r="C23" s="103"/>
      <c r="D23" s="103" t="s">
        <v>18</v>
      </c>
      <c r="E23" s="255" t="s">
        <v>50</v>
      </c>
      <c r="F23" s="255"/>
      <c r="G23" s="255"/>
      <c r="H23" s="255"/>
      <c r="I23" s="255"/>
      <c r="J23" s="255"/>
      <c r="K23" s="103" t="s">
        <v>47</v>
      </c>
      <c r="L23" s="258">
        <f>'કપાટ પત્રક પેહલા ભરવુ '!I18</f>
        <v>0</v>
      </c>
      <c r="M23" s="258"/>
      <c r="N23" s="258"/>
      <c r="O23" s="113"/>
      <c r="P23" s="103" t="s">
        <v>25</v>
      </c>
      <c r="Q23" s="255" t="s">
        <v>65</v>
      </c>
      <c r="R23" s="255"/>
      <c r="S23" s="255"/>
      <c r="T23" s="255"/>
      <c r="U23" s="255"/>
      <c r="V23" s="255"/>
      <c r="W23" s="103" t="s">
        <v>47</v>
      </c>
      <c r="X23" s="252">
        <v>0</v>
      </c>
      <c r="Y23" s="252"/>
      <c r="Z23" s="252"/>
      <c r="AA23" s="113"/>
      <c r="AB23" s="113"/>
      <c r="AC23" s="113"/>
      <c r="AD23" s="113"/>
      <c r="AE23" s="113"/>
      <c r="AF23" s="114"/>
      <c r="AG23" s="100"/>
      <c r="AH23" s="95"/>
      <c r="AI23" s="95"/>
      <c r="AJ23" s="95"/>
      <c r="AK23" s="95"/>
      <c r="AL23" s="95"/>
      <c r="AM23" s="95"/>
      <c r="AN23" s="95"/>
      <c r="AO23" s="95"/>
      <c r="AP23" s="95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</row>
    <row r="24" spans="1:69" s="101" customFormat="1" ht="16.5" customHeight="1">
      <c r="A24" s="125"/>
      <c r="B24" s="112"/>
      <c r="C24" s="103"/>
      <c r="D24" s="103" t="s">
        <v>19</v>
      </c>
      <c r="E24" s="255" t="s">
        <v>317</v>
      </c>
      <c r="F24" s="255"/>
      <c r="G24" s="255"/>
      <c r="H24" s="255"/>
      <c r="I24" s="255"/>
      <c r="J24" s="255"/>
      <c r="K24" s="103" t="s">
        <v>47</v>
      </c>
      <c r="L24" s="258">
        <f>'કપાટ પત્રક પેહલા ભરવુ '!K18</f>
        <v>0</v>
      </c>
      <c r="M24" s="258"/>
      <c r="N24" s="258"/>
      <c r="O24" s="113"/>
      <c r="P24" s="103" t="s">
        <v>26</v>
      </c>
      <c r="Q24" s="255" t="s">
        <v>318</v>
      </c>
      <c r="R24" s="255"/>
      <c r="S24" s="255"/>
      <c r="T24" s="255"/>
      <c r="U24" s="255"/>
      <c r="V24" s="255"/>
      <c r="W24" s="103" t="s">
        <v>47</v>
      </c>
      <c r="X24" s="252">
        <v>0</v>
      </c>
      <c r="Y24" s="252"/>
      <c r="Z24" s="252"/>
      <c r="AA24" s="113"/>
      <c r="AB24" s="113"/>
      <c r="AC24" s="113"/>
      <c r="AD24" s="113"/>
      <c r="AE24" s="113"/>
      <c r="AF24" s="114"/>
      <c r="AG24" s="100"/>
      <c r="AH24" s="95"/>
      <c r="AI24" s="95"/>
      <c r="AJ24" s="95"/>
      <c r="AK24" s="95"/>
      <c r="AL24" s="95"/>
      <c r="AM24" s="95"/>
      <c r="AN24" s="95"/>
      <c r="AO24" s="95"/>
      <c r="AP24" s="95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</row>
    <row r="25" spans="1:69" s="101" customFormat="1" ht="16.5" customHeight="1">
      <c r="A25" s="125"/>
      <c r="B25" s="112"/>
      <c r="C25" s="103"/>
      <c r="D25" s="103" t="s">
        <v>20</v>
      </c>
      <c r="E25" s="255" t="s">
        <v>319</v>
      </c>
      <c r="F25" s="255"/>
      <c r="G25" s="255"/>
      <c r="H25" s="255"/>
      <c r="I25" s="255"/>
      <c r="J25" s="255"/>
      <c r="K25" s="103" t="s">
        <v>47</v>
      </c>
      <c r="L25" s="252">
        <v>0</v>
      </c>
      <c r="M25" s="252"/>
      <c r="N25" s="252"/>
      <c r="O25" s="113"/>
      <c r="P25" s="103" t="s">
        <v>27</v>
      </c>
      <c r="Q25" s="255" t="s">
        <v>81</v>
      </c>
      <c r="R25" s="255"/>
      <c r="S25" s="255"/>
      <c r="T25" s="255"/>
      <c r="U25" s="255"/>
      <c r="V25" s="255"/>
      <c r="W25" s="103" t="s">
        <v>47</v>
      </c>
      <c r="X25" s="252">
        <v>0</v>
      </c>
      <c r="Y25" s="252"/>
      <c r="Z25" s="252"/>
      <c r="AA25" s="113"/>
      <c r="AB25" s="113"/>
      <c r="AC25" s="113"/>
      <c r="AD25" s="113"/>
      <c r="AE25" s="113"/>
      <c r="AF25" s="114"/>
      <c r="AG25" s="100"/>
      <c r="AH25" s="95"/>
      <c r="AI25" s="95"/>
      <c r="AJ25" s="95"/>
      <c r="AK25" s="95"/>
      <c r="AL25" s="95"/>
      <c r="AM25" s="95"/>
      <c r="AN25" s="95"/>
      <c r="AO25" s="95"/>
      <c r="AP25" s="95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</row>
    <row r="26" spans="1:69" s="101" customFormat="1" ht="16.5" customHeight="1">
      <c r="A26" s="125"/>
      <c r="B26" s="112"/>
      <c r="C26" s="103"/>
      <c r="D26" s="103" t="s">
        <v>22</v>
      </c>
      <c r="E26" s="255" t="s">
        <v>63</v>
      </c>
      <c r="F26" s="255"/>
      <c r="G26" s="255"/>
      <c r="H26" s="255"/>
      <c r="I26" s="255"/>
      <c r="J26" s="255"/>
      <c r="K26" s="103" t="s">
        <v>47</v>
      </c>
      <c r="L26" s="258">
        <f>'કપાટ પત્રક પેહલા ભરવુ '!M18</f>
        <v>0</v>
      </c>
      <c r="M26" s="258"/>
      <c r="N26" s="258"/>
      <c r="O26" s="113"/>
      <c r="P26" s="103" t="s">
        <v>28</v>
      </c>
      <c r="Q26" s="255" t="s">
        <v>66</v>
      </c>
      <c r="R26" s="255"/>
      <c r="S26" s="255"/>
      <c r="T26" s="255"/>
      <c r="U26" s="255"/>
      <c r="V26" s="255"/>
      <c r="W26" s="103" t="s">
        <v>47</v>
      </c>
      <c r="X26" s="252">
        <v>0</v>
      </c>
      <c r="Y26" s="252"/>
      <c r="Z26" s="252"/>
      <c r="AA26" s="113"/>
      <c r="AB26" s="113"/>
      <c r="AC26" s="113"/>
      <c r="AD26" s="113"/>
      <c r="AE26" s="113"/>
      <c r="AF26" s="114"/>
      <c r="AG26" s="100"/>
      <c r="AH26" s="95"/>
      <c r="AI26" s="95"/>
      <c r="AJ26" s="95"/>
      <c r="AK26" s="95"/>
      <c r="AL26" s="95"/>
      <c r="AM26" s="95"/>
      <c r="AN26" s="95"/>
      <c r="AO26" s="95"/>
      <c r="AP26" s="95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</row>
    <row r="27" spans="1:69" s="101" customFormat="1" ht="16.5" customHeight="1">
      <c r="A27" s="125"/>
      <c r="B27" s="112"/>
      <c r="C27" s="103"/>
      <c r="D27" s="103" t="s">
        <v>23</v>
      </c>
      <c r="E27" s="255" t="s">
        <v>9</v>
      </c>
      <c r="F27" s="255"/>
      <c r="G27" s="255"/>
      <c r="H27" s="255"/>
      <c r="I27" s="255"/>
      <c r="J27" s="255"/>
      <c r="K27" s="103" t="s">
        <v>47</v>
      </c>
      <c r="L27" s="258">
        <f>'કપાટ પત્રક પેહલા ભરવુ '!N18</f>
        <v>0</v>
      </c>
      <c r="M27" s="258"/>
      <c r="N27" s="258"/>
      <c r="O27" s="113"/>
      <c r="P27" s="103" t="s">
        <v>29</v>
      </c>
      <c r="Q27" s="254"/>
      <c r="R27" s="254"/>
      <c r="S27" s="254"/>
      <c r="T27" s="254"/>
      <c r="U27" s="254"/>
      <c r="V27" s="254"/>
      <c r="W27" s="103" t="s">
        <v>47</v>
      </c>
      <c r="X27" s="252">
        <v>0</v>
      </c>
      <c r="Y27" s="252"/>
      <c r="Z27" s="252"/>
      <c r="AA27" s="113"/>
      <c r="AB27" s="113"/>
      <c r="AC27" s="113"/>
      <c r="AD27" s="113"/>
      <c r="AE27" s="113"/>
      <c r="AF27" s="114"/>
      <c r="AG27" s="100"/>
      <c r="AH27" s="95"/>
      <c r="AI27" s="95"/>
      <c r="AJ27" s="95"/>
      <c r="AK27" s="95"/>
      <c r="AL27" s="95"/>
      <c r="AM27" s="95"/>
      <c r="AN27" s="95"/>
      <c r="AO27" s="95"/>
      <c r="AP27" s="95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</row>
    <row r="28" spans="1:69" s="101" customFormat="1" ht="3.75" customHeight="1" thickBot="1">
      <c r="A28" s="125"/>
      <c r="B28" s="112"/>
      <c r="C28" s="103"/>
      <c r="D28" s="103"/>
      <c r="E28" s="3"/>
      <c r="F28" s="3"/>
      <c r="G28" s="3"/>
      <c r="H28" s="3"/>
      <c r="I28" s="3"/>
      <c r="J28" s="113"/>
      <c r="K28" s="103"/>
      <c r="L28" s="103"/>
      <c r="M28" s="103"/>
      <c r="N28" s="103"/>
      <c r="O28" s="113"/>
      <c r="P28" s="103"/>
      <c r="Q28" s="3"/>
      <c r="R28" s="3"/>
      <c r="S28" s="3"/>
      <c r="T28" s="3"/>
      <c r="U28" s="3"/>
      <c r="V28" s="113"/>
      <c r="W28" s="103"/>
      <c r="X28" s="103"/>
      <c r="Y28" s="103"/>
      <c r="Z28" s="103"/>
      <c r="AA28" s="113"/>
      <c r="AB28" s="113"/>
      <c r="AC28" s="113"/>
      <c r="AD28" s="113"/>
      <c r="AE28" s="113"/>
      <c r="AF28" s="114"/>
      <c r="AG28" s="100"/>
      <c r="AH28" s="95"/>
      <c r="AI28" s="95"/>
      <c r="AJ28" s="95"/>
      <c r="AK28" s="95"/>
      <c r="AL28" s="95"/>
      <c r="AM28" s="95"/>
      <c r="AN28" s="95"/>
      <c r="AO28" s="95"/>
      <c r="AP28" s="95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</row>
    <row r="29" spans="1:69" s="101" customFormat="1" ht="16.5" customHeight="1" thickBot="1">
      <c r="A29" s="125"/>
      <c r="B29" s="112"/>
      <c r="C29" s="290" t="s">
        <v>68</v>
      </c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3"/>
      <c r="P29" s="128" t="s">
        <v>47</v>
      </c>
      <c r="Q29" s="282">
        <f>AM33</f>
        <v>0</v>
      </c>
      <c r="R29" s="282"/>
      <c r="S29" s="282"/>
      <c r="T29" s="282"/>
      <c r="U29" s="282"/>
      <c r="V29" s="283"/>
      <c r="W29" s="113"/>
      <c r="X29" s="113"/>
      <c r="Y29" s="113"/>
      <c r="Z29" s="103"/>
      <c r="AA29" s="113"/>
      <c r="AB29" s="113"/>
      <c r="AC29" s="113"/>
      <c r="AD29" s="113"/>
      <c r="AE29" s="113"/>
      <c r="AF29" s="114"/>
      <c r="AG29" s="100"/>
      <c r="AH29" s="95"/>
      <c r="AI29" s="95"/>
      <c r="AJ29" s="95"/>
      <c r="AK29" s="95"/>
      <c r="AL29" s="95"/>
      <c r="AM29" s="127">
        <f>L21+AM22+L23+L24+L25+L26+L27</f>
        <v>0</v>
      </c>
      <c r="AN29" s="127">
        <f>SUM(X21:Z27)</f>
        <v>0</v>
      </c>
      <c r="AO29" s="127">
        <f>SUM(AM29:AN29)</f>
        <v>0</v>
      </c>
      <c r="AP29" s="95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</row>
    <row r="30" spans="1:69" s="101" customFormat="1" ht="3.75" customHeight="1">
      <c r="A30" s="125"/>
      <c r="B30" s="112"/>
      <c r="C30" s="103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113"/>
      <c r="R30" s="107"/>
      <c r="S30" s="129"/>
      <c r="T30" s="129"/>
      <c r="U30" s="129"/>
      <c r="V30" s="129"/>
      <c r="W30" s="113"/>
      <c r="X30" s="113"/>
      <c r="Y30" s="113"/>
      <c r="Z30" s="107"/>
      <c r="AA30" s="113"/>
      <c r="AB30" s="113"/>
      <c r="AC30" s="113"/>
      <c r="AD30" s="113"/>
      <c r="AE30" s="113"/>
      <c r="AF30" s="114"/>
      <c r="AG30" s="100"/>
      <c r="AH30" s="95"/>
      <c r="AI30" s="95"/>
      <c r="AJ30" s="95"/>
      <c r="AK30" s="95"/>
      <c r="AL30" s="95"/>
      <c r="AM30" s="95"/>
      <c r="AN30" s="95"/>
      <c r="AO30" s="95"/>
      <c r="AP30" s="95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</row>
    <row r="31" spans="1:69" s="101" customFormat="1" ht="16.5" customHeight="1">
      <c r="A31" s="125"/>
      <c r="B31" s="112"/>
      <c r="C31" s="103"/>
      <c r="D31" s="103" t="s">
        <v>30</v>
      </c>
      <c r="E31" s="255" t="s">
        <v>85</v>
      </c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103" t="s">
        <v>47</v>
      </c>
      <c r="S31" s="271">
        <v>0</v>
      </c>
      <c r="T31" s="271"/>
      <c r="U31" s="271"/>
      <c r="V31" s="271"/>
      <c r="W31" s="113"/>
      <c r="X31" s="113"/>
      <c r="Y31" s="113"/>
      <c r="Z31" s="107"/>
      <c r="AA31" s="113"/>
      <c r="AB31" s="113"/>
      <c r="AC31" s="113"/>
      <c r="AD31" s="113"/>
      <c r="AE31" s="113"/>
      <c r="AF31" s="114"/>
      <c r="AG31" s="100"/>
      <c r="AH31" s="95"/>
      <c r="AI31" s="95"/>
      <c r="AJ31" s="95"/>
      <c r="AK31" s="95"/>
      <c r="AL31" s="95"/>
      <c r="AM31" s="95">
        <f>IF(AO29&gt;150000,150000,AO29)</f>
        <v>0</v>
      </c>
      <c r="AN31" s="95" t="str">
        <f>IF(AO29&gt;AM31,AO29-AM31,"")</f>
        <v/>
      </c>
      <c r="AO31" s="95">
        <f>IF(AP31&gt;50000,50000,AP31)</f>
        <v>0</v>
      </c>
      <c r="AP31" s="95">
        <f>IF(AN31&gt;AM22,AM22,AN31)</f>
        <v>0</v>
      </c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</row>
    <row r="32" spans="1:69" s="101" customFormat="1" ht="16.5" customHeight="1">
      <c r="A32" s="125"/>
      <c r="B32" s="112"/>
      <c r="C32" s="103"/>
      <c r="D32" s="103" t="s">
        <v>72</v>
      </c>
      <c r="E32" s="255" t="s">
        <v>49</v>
      </c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103" t="s">
        <v>47</v>
      </c>
      <c r="S32" s="271">
        <v>0</v>
      </c>
      <c r="T32" s="271"/>
      <c r="U32" s="271"/>
      <c r="V32" s="271"/>
      <c r="W32" s="113"/>
      <c r="X32" s="113"/>
      <c r="Y32" s="113"/>
      <c r="Z32" s="107"/>
      <c r="AA32" s="113"/>
      <c r="AB32" s="113"/>
      <c r="AC32" s="113"/>
      <c r="AD32" s="113"/>
      <c r="AE32" s="113"/>
      <c r="AF32" s="114"/>
      <c r="AG32" s="100"/>
      <c r="AH32" s="95"/>
      <c r="AI32" s="95"/>
      <c r="AJ32" s="95"/>
      <c r="AK32" s="95"/>
      <c r="AL32" s="95"/>
      <c r="AM32" s="95">
        <f>IF(AP31&gt;50000,AM22-AO31,AM22-AP31)</f>
        <v>0</v>
      </c>
      <c r="AN32" s="95">
        <f>IF(K1="ના",0,AO31)</f>
        <v>0</v>
      </c>
      <c r="AO32" s="95">
        <f>IF(K1="ના",AM22,AM32)</f>
        <v>0</v>
      </c>
      <c r="AP32" s="95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</row>
    <row r="33" spans="1:69" s="101" customFormat="1" ht="16.5" customHeight="1">
      <c r="A33" s="125"/>
      <c r="B33" s="112"/>
      <c r="C33" s="103"/>
      <c r="D33" s="103" t="s">
        <v>73</v>
      </c>
      <c r="E33" s="255" t="s">
        <v>290</v>
      </c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103" t="s">
        <v>47</v>
      </c>
      <c r="S33" s="271">
        <v>0</v>
      </c>
      <c r="T33" s="271"/>
      <c r="U33" s="271"/>
      <c r="V33" s="271"/>
      <c r="W33" s="113"/>
      <c r="X33" s="113"/>
      <c r="Y33" s="113"/>
      <c r="Z33" s="107"/>
      <c r="AA33" s="113"/>
      <c r="AB33" s="113"/>
      <c r="AC33" s="113"/>
      <c r="AD33" s="113"/>
      <c r="AE33" s="113"/>
      <c r="AF33" s="114"/>
      <c r="AG33" s="100"/>
      <c r="AH33" s="95"/>
      <c r="AI33" s="95"/>
      <c r="AJ33" s="95"/>
      <c r="AK33" s="95"/>
      <c r="AL33" s="95"/>
      <c r="AM33" s="130">
        <f>IF(AM19&lt;150000,AM19,AM31)</f>
        <v>0</v>
      </c>
      <c r="AN33" s="95"/>
      <c r="AO33" s="95"/>
      <c r="AP33" s="95"/>
      <c r="AQ33" s="95"/>
      <c r="AR33" s="95"/>
      <c r="AS33" s="95"/>
      <c r="AT33" s="95"/>
      <c r="AU33" s="95"/>
      <c r="AV33" s="95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</row>
    <row r="34" spans="1:69" s="101" customFormat="1" ht="16.5" customHeight="1">
      <c r="A34" s="125"/>
      <c r="B34" s="112"/>
      <c r="C34" s="103"/>
      <c r="D34" s="103" t="s">
        <v>74</v>
      </c>
      <c r="E34" s="255" t="s">
        <v>289</v>
      </c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103" t="s">
        <v>47</v>
      </c>
      <c r="S34" s="276">
        <f>AR2</f>
        <v>0</v>
      </c>
      <c r="T34" s="276"/>
      <c r="U34" s="276"/>
      <c r="V34" s="276"/>
      <c r="W34" s="113"/>
      <c r="X34" s="113"/>
      <c r="Y34" s="113"/>
      <c r="Z34" s="107"/>
      <c r="AA34" s="107"/>
      <c r="AB34" s="107"/>
      <c r="AC34" s="107"/>
      <c r="AD34" s="107"/>
      <c r="AE34" s="107"/>
      <c r="AF34" s="114"/>
      <c r="AG34" s="100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</row>
    <row r="35" spans="1:69" s="101" customFormat="1" ht="16.5" customHeight="1">
      <c r="A35" s="125"/>
      <c r="B35" s="112"/>
      <c r="C35" s="103"/>
      <c r="D35" s="103" t="s">
        <v>75</v>
      </c>
      <c r="E35" s="255" t="s">
        <v>69</v>
      </c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103" t="s">
        <v>47</v>
      </c>
      <c r="S35" s="271">
        <v>0</v>
      </c>
      <c r="T35" s="271"/>
      <c r="U35" s="271"/>
      <c r="V35" s="271"/>
      <c r="W35" s="113"/>
      <c r="X35" s="113"/>
      <c r="Y35" s="113"/>
      <c r="Z35" s="113"/>
      <c r="AA35" s="113"/>
      <c r="AB35" s="296"/>
      <c r="AC35" s="296"/>
      <c r="AD35" s="296"/>
      <c r="AE35" s="296"/>
      <c r="AF35" s="114"/>
      <c r="AG35" s="100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</row>
    <row r="36" spans="1:69" s="101" customFormat="1" ht="16.5" customHeight="1">
      <c r="A36" s="125"/>
      <c r="B36" s="112"/>
      <c r="C36" s="103"/>
      <c r="D36" s="103" t="s">
        <v>76</v>
      </c>
      <c r="E36" s="255" t="s">
        <v>70</v>
      </c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103" t="s">
        <v>47</v>
      </c>
      <c r="S36" s="271">
        <v>0</v>
      </c>
      <c r="T36" s="271"/>
      <c r="U36" s="271"/>
      <c r="V36" s="271"/>
      <c r="W36" s="103"/>
      <c r="X36" s="103"/>
      <c r="Y36" s="103"/>
      <c r="Z36" s="103"/>
      <c r="AA36" s="103"/>
      <c r="AB36" s="2"/>
      <c r="AC36" s="2"/>
      <c r="AD36" s="2"/>
      <c r="AE36" s="2"/>
      <c r="AF36" s="114"/>
      <c r="AG36" s="100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</row>
    <row r="37" spans="1:69" s="101" customFormat="1" ht="16.5" customHeight="1">
      <c r="A37" s="125"/>
      <c r="B37" s="112"/>
      <c r="C37" s="103"/>
      <c r="D37" s="103" t="s">
        <v>77</v>
      </c>
      <c r="E37" s="255" t="s">
        <v>288</v>
      </c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103" t="s">
        <v>47</v>
      </c>
      <c r="S37" s="271">
        <v>0</v>
      </c>
      <c r="T37" s="271"/>
      <c r="U37" s="271"/>
      <c r="V37" s="271"/>
      <c r="W37" s="103"/>
      <c r="X37" s="103"/>
      <c r="Y37" s="103"/>
      <c r="Z37" s="103"/>
      <c r="AA37" s="103"/>
      <c r="AB37" s="2"/>
      <c r="AC37" s="2"/>
      <c r="AD37" s="2"/>
      <c r="AE37" s="2"/>
      <c r="AF37" s="114"/>
      <c r="AG37" s="100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</row>
    <row r="38" spans="1:69" s="101" customFormat="1" ht="16.5" customHeight="1">
      <c r="A38" s="125"/>
      <c r="B38" s="112"/>
      <c r="C38" s="103"/>
      <c r="D38" s="103" t="s">
        <v>78</v>
      </c>
      <c r="E38" s="255" t="s">
        <v>71</v>
      </c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103" t="s">
        <v>47</v>
      </c>
      <c r="S38" s="271">
        <v>0</v>
      </c>
      <c r="T38" s="271"/>
      <c r="U38" s="271"/>
      <c r="V38" s="271"/>
      <c r="W38" s="103"/>
      <c r="X38" s="103"/>
      <c r="Y38" s="103"/>
      <c r="Z38" s="103"/>
      <c r="AA38" s="103"/>
      <c r="AB38" s="2"/>
      <c r="AC38" s="2"/>
      <c r="AD38" s="2"/>
      <c r="AE38" s="2"/>
      <c r="AF38" s="114"/>
      <c r="AG38" s="100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</row>
    <row r="39" spans="1:69" s="101" customFormat="1" ht="16.5" customHeight="1">
      <c r="A39" s="125"/>
      <c r="B39" s="112"/>
      <c r="C39" s="103"/>
      <c r="D39" s="103" t="s">
        <v>79</v>
      </c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103" t="s">
        <v>47</v>
      </c>
      <c r="S39" s="271">
        <v>0</v>
      </c>
      <c r="T39" s="271"/>
      <c r="U39" s="271"/>
      <c r="V39" s="271"/>
      <c r="W39" s="280" t="s">
        <v>82</v>
      </c>
      <c r="X39" s="280"/>
      <c r="Y39" s="280"/>
      <c r="Z39" s="280"/>
      <c r="AA39" s="280"/>
      <c r="AB39" s="300">
        <f>SUM(Q29+S31+S32+S33+S34+S35+S36+S37+S38+S39)</f>
        <v>0</v>
      </c>
      <c r="AC39" s="300"/>
      <c r="AD39" s="300"/>
      <c r="AE39" s="300"/>
      <c r="AF39" s="114"/>
      <c r="AG39" s="100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</row>
    <row r="40" spans="1:69" s="101" customFormat="1" ht="3.75" customHeight="1" thickBot="1">
      <c r="A40" s="125"/>
      <c r="B40" s="112"/>
      <c r="C40" s="103"/>
      <c r="D40" s="10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13"/>
      <c r="R40" s="107"/>
      <c r="S40" s="107"/>
      <c r="T40" s="107"/>
      <c r="U40" s="107"/>
      <c r="V40" s="107"/>
      <c r="W40" s="113"/>
      <c r="X40" s="113"/>
      <c r="Y40" s="113"/>
      <c r="Z40" s="107"/>
      <c r="AA40" s="107"/>
      <c r="AB40" s="107"/>
      <c r="AC40" s="107"/>
      <c r="AD40" s="107"/>
      <c r="AE40" s="107"/>
      <c r="AF40" s="114"/>
      <c r="AG40" s="100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  <c r="BN40" s="126"/>
      <c r="BO40" s="126"/>
      <c r="BP40" s="126"/>
      <c r="BQ40" s="126"/>
    </row>
    <row r="41" spans="1:69" s="101" customFormat="1" ht="16.5" customHeight="1" thickBot="1">
      <c r="A41" s="125"/>
      <c r="B41" s="112"/>
      <c r="C41" s="103" t="s">
        <v>287</v>
      </c>
      <c r="D41" s="255" t="s">
        <v>286</v>
      </c>
      <c r="E41" s="255"/>
      <c r="F41" s="255"/>
      <c r="G41" s="255"/>
      <c r="H41" s="255"/>
      <c r="I41" s="255"/>
      <c r="J41" s="255"/>
      <c r="K41" s="113"/>
      <c r="L41" s="113"/>
      <c r="M41" s="113"/>
      <c r="N41" s="113"/>
      <c r="O41" s="113"/>
      <c r="P41" s="113"/>
      <c r="Q41" s="255" t="s">
        <v>46</v>
      </c>
      <c r="R41" s="255"/>
      <c r="S41" s="255"/>
      <c r="T41" s="255"/>
      <c r="U41" s="255"/>
      <c r="V41" s="255"/>
      <c r="W41" s="255"/>
      <c r="X41" s="255"/>
      <c r="Y41" s="103" t="s">
        <v>47</v>
      </c>
      <c r="Z41" s="297">
        <f>AA19-AB39</f>
        <v>-50000</v>
      </c>
      <c r="AA41" s="298"/>
      <c r="AB41" s="298"/>
      <c r="AC41" s="298"/>
      <c r="AD41" s="298"/>
      <c r="AE41" s="299"/>
      <c r="AF41" s="114"/>
      <c r="AG41" s="100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/>
      <c r="BN41" s="126"/>
      <c r="BO41" s="126"/>
      <c r="BP41" s="126"/>
      <c r="BQ41" s="126"/>
    </row>
    <row r="42" spans="1:69" s="101" customFormat="1" ht="16.5" customHeight="1">
      <c r="A42" s="125"/>
      <c r="B42" s="112"/>
      <c r="C42" s="103" t="s">
        <v>285</v>
      </c>
      <c r="D42" s="255" t="s">
        <v>41</v>
      </c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113"/>
      <c r="R42" s="107"/>
      <c r="S42" s="113"/>
      <c r="T42" s="113"/>
      <c r="U42" s="113"/>
      <c r="V42" s="113"/>
      <c r="W42" s="113"/>
      <c r="X42" s="113"/>
      <c r="Y42" s="103"/>
      <c r="Z42" s="107"/>
      <c r="AA42" s="107"/>
      <c r="AB42" s="107"/>
      <c r="AC42" s="107"/>
      <c r="AD42" s="107"/>
      <c r="AE42" s="113"/>
      <c r="AF42" s="114"/>
      <c r="AG42" s="100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</row>
    <row r="43" spans="1:69" s="101" customFormat="1" ht="16.5" customHeight="1">
      <c r="A43" s="125"/>
      <c r="B43" s="112"/>
      <c r="C43" s="103"/>
      <c r="D43" s="113"/>
      <c r="E43" s="113" t="s">
        <v>284</v>
      </c>
      <c r="F43" s="113" t="s">
        <v>54</v>
      </c>
      <c r="G43" s="113" t="s">
        <v>283</v>
      </c>
      <c r="H43" s="113"/>
      <c r="I43" s="113"/>
      <c r="J43" s="255" t="s">
        <v>282</v>
      </c>
      <c r="K43" s="255"/>
      <c r="L43" s="255"/>
      <c r="M43" s="113"/>
      <c r="N43" s="113"/>
      <c r="O43" s="113"/>
      <c r="P43" s="113"/>
      <c r="Q43" s="113"/>
      <c r="R43" s="103" t="s">
        <v>47</v>
      </c>
      <c r="S43" s="261" t="s">
        <v>52</v>
      </c>
      <c r="T43" s="261"/>
      <c r="U43" s="261"/>
      <c r="V43" s="261"/>
      <c r="W43" s="113"/>
      <c r="X43" s="113"/>
      <c r="Y43" s="113"/>
      <c r="Z43" s="107"/>
      <c r="AA43" s="107"/>
      <c r="AB43" s="107"/>
      <c r="AC43" s="107"/>
      <c r="AD43" s="107"/>
      <c r="AE43" s="113"/>
      <c r="AF43" s="114"/>
      <c r="AG43" s="100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  <c r="BK43" s="126"/>
      <c r="BL43" s="126"/>
      <c r="BM43" s="126"/>
      <c r="BN43" s="126"/>
      <c r="BO43" s="126"/>
      <c r="BP43" s="126"/>
      <c r="BQ43" s="126"/>
    </row>
    <row r="44" spans="1:69" s="101" customFormat="1" ht="16.5" customHeight="1">
      <c r="A44" s="125"/>
      <c r="B44" s="112"/>
      <c r="C44" s="103"/>
      <c r="D44" s="113"/>
      <c r="E44" s="113" t="s">
        <v>281</v>
      </c>
      <c r="F44" s="113" t="s">
        <v>55</v>
      </c>
      <c r="G44" s="113" t="s">
        <v>280</v>
      </c>
      <c r="H44" s="113"/>
      <c r="I44" s="113"/>
      <c r="J44" s="103" t="s">
        <v>56</v>
      </c>
      <c r="K44" s="113" t="s">
        <v>279</v>
      </c>
      <c r="L44" s="113"/>
      <c r="M44" s="113"/>
      <c r="N44" s="113"/>
      <c r="O44" s="113"/>
      <c r="P44" s="113"/>
      <c r="Q44" s="113"/>
      <c r="R44" s="103" t="s">
        <v>47</v>
      </c>
      <c r="S44" s="268">
        <f>AA67</f>
        <v>0</v>
      </c>
      <c r="T44" s="268"/>
      <c r="U44" s="268"/>
      <c r="V44" s="268"/>
      <c r="W44" s="113"/>
      <c r="X44" s="113"/>
      <c r="Y44" s="113"/>
      <c r="Z44" s="107"/>
      <c r="AA44" s="107"/>
      <c r="AB44" s="107"/>
      <c r="AC44" s="107"/>
      <c r="AD44" s="107"/>
      <c r="AE44" s="113"/>
      <c r="AF44" s="114"/>
      <c r="AG44" s="100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</row>
    <row r="45" spans="1:69" s="101" customFormat="1" ht="16.5" customHeight="1">
      <c r="A45" s="125"/>
      <c r="B45" s="112"/>
      <c r="C45" s="103"/>
      <c r="D45" s="113"/>
      <c r="E45" s="113" t="s">
        <v>278</v>
      </c>
      <c r="F45" s="113" t="s">
        <v>55</v>
      </c>
      <c r="G45" s="113" t="s">
        <v>277</v>
      </c>
      <c r="H45" s="113"/>
      <c r="I45" s="113"/>
      <c r="J45" s="103" t="s">
        <v>56</v>
      </c>
      <c r="K45" s="113" t="s">
        <v>276</v>
      </c>
      <c r="L45" s="113"/>
      <c r="M45" s="113"/>
      <c r="N45" s="113"/>
      <c r="O45" s="113"/>
      <c r="P45" s="113"/>
      <c r="Q45" s="113"/>
      <c r="R45" s="103" t="s">
        <v>47</v>
      </c>
      <c r="S45" s="268">
        <f>AA68</f>
        <v>0</v>
      </c>
      <c r="T45" s="268"/>
      <c r="U45" s="268"/>
      <c r="V45" s="268"/>
      <c r="W45" s="113"/>
      <c r="X45" s="113"/>
      <c r="Y45" s="113"/>
      <c r="Z45" s="107"/>
      <c r="AA45" s="107"/>
      <c r="AB45" s="107"/>
      <c r="AC45" s="107"/>
      <c r="AD45" s="107"/>
      <c r="AE45" s="113"/>
      <c r="AF45" s="104"/>
      <c r="AG45" s="100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</row>
    <row r="46" spans="1:69" s="101" customFormat="1" ht="16.5" customHeight="1">
      <c r="A46" s="125"/>
      <c r="B46" s="112"/>
      <c r="C46" s="103"/>
      <c r="D46" s="113"/>
      <c r="E46" s="113" t="s">
        <v>275</v>
      </c>
      <c r="F46" s="113" t="s">
        <v>55</v>
      </c>
      <c r="G46" s="113" t="s">
        <v>274</v>
      </c>
      <c r="H46" s="113"/>
      <c r="I46" s="113"/>
      <c r="J46" s="103" t="s">
        <v>56</v>
      </c>
      <c r="K46" s="255" t="s">
        <v>273</v>
      </c>
      <c r="L46" s="255"/>
      <c r="M46" s="255"/>
      <c r="N46" s="255"/>
      <c r="O46" s="255"/>
      <c r="P46" s="255"/>
      <c r="Q46" s="113"/>
      <c r="R46" s="103" t="s">
        <v>47</v>
      </c>
      <c r="S46" s="268">
        <f>AA69</f>
        <v>0</v>
      </c>
      <c r="T46" s="268"/>
      <c r="U46" s="268"/>
      <c r="V46" s="268"/>
      <c r="W46" s="113"/>
      <c r="X46" s="113"/>
      <c r="Y46" s="113"/>
      <c r="Z46" s="107"/>
      <c r="AA46" s="107"/>
      <c r="AB46" s="107"/>
      <c r="AC46" s="107"/>
      <c r="AD46" s="107"/>
      <c r="AE46" s="113"/>
      <c r="AF46" s="114"/>
      <c r="AG46" s="100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  <c r="BJ46" s="126"/>
      <c r="BK46" s="126"/>
      <c r="BL46" s="126"/>
      <c r="BM46" s="126"/>
      <c r="BN46" s="126"/>
      <c r="BO46" s="126"/>
      <c r="BP46" s="126"/>
      <c r="BQ46" s="126"/>
    </row>
    <row r="47" spans="1:69" s="101" customFormat="1" ht="3.75" customHeight="1">
      <c r="A47" s="125"/>
      <c r="B47" s="112"/>
      <c r="C47" s="103"/>
      <c r="D47" s="113"/>
      <c r="E47" s="11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03"/>
      <c r="S47" s="129"/>
      <c r="T47" s="129"/>
      <c r="U47" s="129"/>
      <c r="V47" s="129"/>
      <c r="W47" s="113"/>
      <c r="X47" s="113"/>
      <c r="Y47" s="113"/>
      <c r="Z47" s="107"/>
      <c r="AA47" s="107"/>
      <c r="AB47" s="107"/>
      <c r="AC47" s="107"/>
      <c r="AD47" s="107"/>
      <c r="AE47" s="113"/>
      <c r="AF47" s="114"/>
      <c r="AG47" s="100"/>
      <c r="AH47" s="95"/>
      <c r="AI47" s="95"/>
      <c r="AJ47" s="95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126"/>
      <c r="BN47" s="126"/>
      <c r="BO47" s="126"/>
      <c r="BP47" s="126"/>
      <c r="BQ47" s="126"/>
    </row>
    <row r="48" spans="1:69" s="101" customFormat="1" ht="16.5" customHeight="1">
      <c r="A48" s="125"/>
      <c r="B48" s="112"/>
      <c r="C48" s="263" t="s">
        <v>272</v>
      </c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113"/>
      <c r="Z48" s="103" t="s">
        <v>47</v>
      </c>
      <c r="AA48" s="285">
        <f>ROUND(SUM(S44:V46),0)</f>
        <v>0</v>
      </c>
      <c r="AB48" s="285"/>
      <c r="AC48" s="285"/>
      <c r="AD48" s="285"/>
      <c r="AE48" s="285"/>
      <c r="AF48" s="114"/>
      <c r="AG48" s="100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  <c r="BL48" s="126"/>
      <c r="BM48" s="126"/>
      <c r="BN48" s="126"/>
      <c r="BO48" s="126"/>
      <c r="BP48" s="126"/>
      <c r="BQ48" s="126"/>
    </row>
    <row r="49" spans="1:85" s="101" customFormat="1" ht="16.5" customHeight="1">
      <c r="A49" s="125"/>
      <c r="B49" s="112"/>
      <c r="C49" s="103" t="s">
        <v>271</v>
      </c>
      <c r="D49" s="255" t="s">
        <v>320</v>
      </c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103"/>
      <c r="AA49" s="132"/>
      <c r="AB49" s="132"/>
      <c r="AC49" s="132"/>
      <c r="AD49" s="132"/>
      <c r="AE49" s="132"/>
      <c r="AF49" s="114"/>
      <c r="AG49" s="100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</row>
    <row r="50" spans="1:85" s="101" customFormat="1" ht="16.5" customHeight="1">
      <c r="A50" s="125"/>
      <c r="B50" s="112"/>
      <c r="C50" s="103"/>
      <c r="D50" s="255" t="s">
        <v>321</v>
      </c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103" t="s">
        <v>47</v>
      </c>
      <c r="AA50" s="293">
        <f>IF($Z$41&gt;500000,0,IF($Z$41&lt;500000,AA48,IF($Z$41&lt;=500000,12500)))</f>
        <v>0</v>
      </c>
      <c r="AB50" s="293"/>
      <c r="AC50" s="293"/>
      <c r="AD50" s="293"/>
      <c r="AE50" s="293"/>
      <c r="AF50" s="114"/>
      <c r="AG50" s="100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6"/>
      <c r="BS50" s="96"/>
      <c r="BT50" s="96"/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96"/>
      <c r="CF50" s="96"/>
      <c r="CG50" s="96"/>
    </row>
    <row r="51" spans="1:85" s="101" customFormat="1" ht="16.5" customHeight="1">
      <c r="A51" s="125"/>
      <c r="B51" s="112"/>
      <c r="C51" s="124" t="s">
        <v>270</v>
      </c>
      <c r="D51" s="255" t="s">
        <v>269</v>
      </c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103" t="s">
        <v>47</v>
      </c>
      <c r="AA51" s="268">
        <f>AA48-AA50</f>
        <v>0</v>
      </c>
      <c r="AB51" s="268"/>
      <c r="AC51" s="268"/>
      <c r="AD51" s="268"/>
      <c r="AE51" s="268"/>
      <c r="AF51" s="108"/>
      <c r="AG51" s="100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6"/>
      <c r="BS51" s="96"/>
      <c r="BT51" s="96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6"/>
      <c r="CF51" s="96"/>
      <c r="CG51" s="96"/>
    </row>
    <row r="52" spans="1:85" s="101" customFormat="1" ht="16.5" customHeight="1">
      <c r="A52" s="125"/>
      <c r="B52" s="112"/>
      <c r="C52" s="103" t="s">
        <v>268</v>
      </c>
      <c r="D52" s="255" t="s">
        <v>322</v>
      </c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103" t="s">
        <v>47</v>
      </c>
      <c r="AA52" s="281">
        <f>ROUND(AA51*4%,0)</f>
        <v>0</v>
      </c>
      <c r="AB52" s="281"/>
      <c r="AC52" s="281"/>
      <c r="AD52" s="281"/>
      <c r="AE52" s="281"/>
      <c r="AF52" s="114"/>
      <c r="AG52" s="100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6"/>
      <c r="BS52" s="96"/>
      <c r="BT52" s="96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6"/>
      <c r="CF52" s="96"/>
      <c r="CG52" s="96"/>
    </row>
    <row r="53" spans="1:85" s="101" customFormat="1" ht="16.5" customHeight="1">
      <c r="A53" s="125"/>
      <c r="B53" s="112"/>
      <c r="C53" s="103" t="s">
        <v>267</v>
      </c>
      <c r="D53" s="260" t="s">
        <v>266</v>
      </c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103" t="s">
        <v>47</v>
      </c>
      <c r="AA53" s="267">
        <f>AA51+AA52</f>
        <v>0</v>
      </c>
      <c r="AB53" s="267"/>
      <c r="AC53" s="267"/>
      <c r="AD53" s="267"/>
      <c r="AE53" s="267"/>
      <c r="AF53" s="114"/>
      <c r="AG53" s="100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</row>
    <row r="54" spans="1:85" s="101" customFormat="1" ht="16.5" customHeight="1">
      <c r="A54" s="125"/>
      <c r="B54" s="112"/>
      <c r="C54" s="103" t="s">
        <v>265</v>
      </c>
      <c r="D54" s="279" t="s">
        <v>264</v>
      </c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103" t="s">
        <v>47</v>
      </c>
      <c r="AA54" s="269"/>
      <c r="AB54" s="269"/>
      <c r="AC54" s="269"/>
      <c r="AD54" s="269"/>
      <c r="AE54" s="269"/>
      <c r="AF54" s="114"/>
      <c r="AG54" s="100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</row>
    <row r="55" spans="1:85" s="101" customFormat="1" ht="16.5" customHeight="1">
      <c r="A55" s="125"/>
      <c r="B55" s="112"/>
      <c r="C55" s="103" t="s">
        <v>263</v>
      </c>
      <c r="D55" s="265" t="s">
        <v>262</v>
      </c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103" t="s">
        <v>47</v>
      </c>
      <c r="AA55" s="268">
        <f>AA53-AA54</f>
        <v>0</v>
      </c>
      <c r="AB55" s="268"/>
      <c r="AC55" s="268"/>
      <c r="AD55" s="268"/>
      <c r="AE55" s="268"/>
      <c r="AF55" s="114"/>
      <c r="AG55" s="100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</row>
    <row r="56" spans="1:85" s="101" customFormat="1" ht="16.5" customHeight="1">
      <c r="A56" s="125"/>
      <c r="B56" s="112"/>
      <c r="C56" s="103" t="s">
        <v>261</v>
      </c>
      <c r="D56" s="255" t="s">
        <v>260</v>
      </c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103" t="s">
        <v>47</v>
      </c>
      <c r="AA56" s="268">
        <f>'કપાટ પત્રક પેહલા ભરવુ '!S10</f>
        <v>0</v>
      </c>
      <c r="AB56" s="268"/>
      <c r="AC56" s="268"/>
      <c r="AD56" s="268"/>
      <c r="AE56" s="268"/>
      <c r="AF56" s="114"/>
      <c r="AG56" s="100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</row>
    <row r="57" spans="1:85" s="101" customFormat="1" ht="16.5" customHeight="1">
      <c r="A57" s="125"/>
      <c r="B57" s="112"/>
      <c r="C57" s="103" t="s">
        <v>259</v>
      </c>
      <c r="D57" s="255" t="s">
        <v>258</v>
      </c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103" t="s">
        <v>47</v>
      </c>
      <c r="AA57" s="266">
        <f>'કપાટ પત્રક પેહલા ભરવુ '!J17</f>
        <v>0</v>
      </c>
      <c r="AB57" s="266"/>
      <c r="AC57" s="266"/>
      <c r="AD57" s="266"/>
      <c r="AE57" s="266"/>
      <c r="AF57" s="114"/>
      <c r="AG57" s="100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</row>
    <row r="58" spans="1:85" s="101" customFormat="1" ht="16.5" customHeight="1">
      <c r="A58" s="125"/>
      <c r="B58" s="112"/>
      <c r="C58" s="103" t="s">
        <v>257</v>
      </c>
      <c r="D58" s="255" t="s">
        <v>256</v>
      </c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103" t="s">
        <v>47</v>
      </c>
      <c r="AA58" s="267">
        <f>AA56+AA57</f>
        <v>0</v>
      </c>
      <c r="AB58" s="267"/>
      <c r="AC58" s="267"/>
      <c r="AD58" s="267"/>
      <c r="AE58" s="267"/>
      <c r="AF58" s="114"/>
      <c r="AG58" s="100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</row>
    <row r="59" spans="1:85" s="101" customFormat="1" ht="16.5" customHeight="1">
      <c r="A59" s="125"/>
      <c r="B59" s="112"/>
      <c r="C59" s="103" t="s">
        <v>255</v>
      </c>
      <c r="D59" s="255" t="s">
        <v>254</v>
      </c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103" t="s">
        <v>47</v>
      </c>
      <c r="AA59" s="275">
        <f>IF(AA58&gt;AA55,(AA58-AA55),0)</f>
        <v>0</v>
      </c>
      <c r="AB59" s="275"/>
      <c r="AC59" s="275"/>
      <c r="AD59" s="275"/>
      <c r="AE59" s="275"/>
      <c r="AF59" s="114"/>
      <c r="AG59" s="100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96"/>
      <c r="CF59" s="96"/>
      <c r="CG59" s="96"/>
    </row>
    <row r="60" spans="1:85" s="101" customFormat="1" ht="18.75" customHeight="1" thickBot="1">
      <c r="A60" s="125"/>
      <c r="B60" s="133"/>
      <c r="C60" s="272" t="s">
        <v>51</v>
      </c>
      <c r="D60" s="273"/>
      <c r="E60" s="273"/>
      <c r="F60" s="273"/>
      <c r="G60" s="273"/>
      <c r="H60" s="273"/>
      <c r="I60" s="273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4"/>
      <c r="AA60" s="274"/>
      <c r="AB60" s="274"/>
      <c r="AC60" s="274"/>
      <c r="AD60" s="274"/>
      <c r="AE60" s="274"/>
      <c r="AF60" s="134"/>
      <c r="AG60" s="100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</row>
    <row r="61" spans="1:85" s="135" customFormat="1" ht="16.5" hidden="1" customHeight="1">
      <c r="B61" s="136"/>
      <c r="C61" s="136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</row>
    <row r="62" spans="1:85" s="95" customFormat="1" ht="24.75" hidden="1" customHeight="1"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M62" s="137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</row>
    <row r="63" spans="1:85" s="95" customFormat="1" ht="16.5" hidden="1" customHeight="1"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</row>
    <row r="64" spans="1:85" s="95" customFormat="1" ht="16.5" hidden="1" customHeight="1"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</row>
    <row r="65" spans="1:28" s="95" customFormat="1" ht="16.5" hidden="1" customHeight="1">
      <c r="C65" s="110"/>
      <c r="R65" s="138"/>
      <c r="Z65" s="138"/>
    </row>
    <row r="66" spans="1:28" s="95" customFormat="1" ht="16.5" hidden="1" customHeight="1">
      <c r="C66" s="110"/>
      <c r="R66" s="138"/>
      <c r="Z66" s="138"/>
    </row>
    <row r="67" spans="1:28" s="95" customFormat="1" ht="16.5" hidden="1" customHeight="1">
      <c r="C67" s="110"/>
      <c r="R67" s="138"/>
      <c r="Z67" s="139">
        <f>IF(Z41&gt;=C89,C84,IF(Z41&lt;C85,0,IF(Z41&lt;C89,Z41-C84)))</f>
        <v>0</v>
      </c>
      <c r="AA67" s="95">
        <f>Z67*5%</f>
        <v>0</v>
      </c>
    </row>
    <row r="68" spans="1:28" s="95" customFormat="1" ht="16.5" hidden="1" customHeight="1">
      <c r="C68" s="110"/>
      <c r="R68" s="138"/>
      <c r="Z68" s="139">
        <f>IF(Z41&gt;=C90,C89,IF(Z41&lt;C86,0,IF(Z41&lt;C90,Z41-C89)))</f>
        <v>0</v>
      </c>
      <c r="AA68" s="95">
        <f>Z68*20%</f>
        <v>0</v>
      </c>
    </row>
    <row r="69" spans="1:28" s="95" customFormat="1" ht="16.5" hidden="1" customHeight="1">
      <c r="C69" s="110"/>
      <c r="D69" s="140"/>
      <c r="N69" s="141">
        <f>SUM(L21+L22+L23+L24+L25+L26+L27+X21+X22+X23+X24+X25+X26+X27)</f>
        <v>0</v>
      </c>
      <c r="O69" s="142">
        <f>IF(N69&gt;150000,150000,IF(N69&lt;150000,N69,150000))</f>
        <v>0</v>
      </c>
      <c r="R69" s="138"/>
      <c r="T69" s="143"/>
      <c r="Z69" s="139">
        <f>IF(Z41&gt;C87,Z41-C87,IF(Z41&lt;C87,0))</f>
        <v>0</v>
      </c>
      <c r="AA69" s="139">
        <f>Z69*30%</f>
        <v>0</v>
      </c>
    </row>
    <row r="70" spans="1:28" s="95" customFormat="1" ht="16.5" hidden="1" customHeight="1">
      <c r="B70" s="110"/>
      <c r="C70" s="110"/>
      <c r="N70" s="138"/>
      <c r="R70" s="138"/>
      <c r="S70" s="256"/>
      <c r="T70" s="257"/>
      <c r="U70" s="257"/>
      <c r="V70" s="257"/>
      <c r="Z70" s="138"/>
    </row>
    <row r="71" spans="1:28" s="95" customFormat="1" ht="16.5" hidden="1" customHeight="1">
      <c r="B71" s="110"/>
      <c r="C71" s="110"/>
      <c r="N71" s="138"/>
      <c r="R71" s="138"/>
      <c r="Z71" s="138"/>
    </row>
    <row r="72" spans="1:28" s="95" customFormat="1" ht="16.5" hidden="1" customHeight="1">
      <c r="B72" s="110"/>
      <c r="C72" s="110"/>
      <c r="G72" s="256"/>
      <c r="H72" s="257"/>
      <c r="L72" s="256"/>
      <c r="M72" s="257"/>
      <c r="N72" s="138"/>
      <c r="O72" s="256"/>
      <c r="P72" s="257"/>
      <c r="Q72" s="257"/>
      <c r="R72" s="138"/>
      <c r="Z72" s="138"/>
    </row>
    <row r="73" spans="1:28" s="95" customFormat="1" ht="16.5" hidden="1" customHeight="1">
      <c r="B73" s="110"/>
      <c r="C73" s="110"/>
      <c r="J73" s="256"/>
      <c r="K73" s="257"/>
      <c r="L73" s="257"/>
      <c r="M73" s="257"/>
      <c r="O73" s="256"/>
      <c r="P73" s="257"/>
      <c r="Q73" s="257"/>
      <c r="R73" s="256"/>
      <c r="S73" s="257"/>
      <c r="T73" s="257"/>
      <c r="U73" s="256"/>
      <c r="V73" s="257"/>
      <c r="Z73" s="138"/>
    </row>
    <row r="74" spans="1:28" s="95" customFormat="1" ht="16.5" hidden="1" customHeight="1">
      <c r="A74" s="144"/>
      <c r="B74" s="144"/>
      <c r="C74" s="144"/>
      <c r="D74" s="144"/>
      <c r="E74" s="144"/>
      <c r="F74" s="144"/>
      <c r="G74" s="144"/>
      <c r="J74" s="110"/>
      <c r="N74" s="141"/>
      <c r="O74" s="110"/>
      <c r="R74" s="256"/>
      <c r="S74" s="257"/>
      <c r="T74" s="257"/>
      <c r="Z74" s="138"/>
    </row>
    <row r="75" spans="1:28" s="95" customFormat="1" ht="16.5" hidden="1" customHeight="1">
      <c r="A75" s="144"/>
      <c r="B75" s="144"/>
      <c r="C75" s="144"/>
      <c r="D75" s="144"/>
      <c r="E75" s="144"/>
      <c r="F75" s="144"/>
      <c r="G75" s="144"/>
      <c r="N75" s="138"/>
      <c r="O75" s="110"/>
      <c r="R75" s="138"/>
      <c r="Z75" s="138"/>
    </row>
    <row r="76" spans="1:28" s="95" customFormat="1" ht="16.5" hidden="1" customHeight="1">
      <c r="A76" s="144"/>
      <c r="B76" s="144"/>
      <c r="C76" s="144"/>
      <c r="D76" s="144"/>
      <c r="E76" s="144"/>
      <c r="F76" s="144"/>
      <c r="G76" s="144"/>
      <c r="N76" s="138"/>
      <c r="O76" s="110"/>
      <c r="R76" s="256"/>
      <c r="S76" s="257"/>
      <c r="T76" s="257"/>
      <c r="U76" s="256"/>
      <c r="V76" s="257"/>
      <c r="Z76" s="138"/>
    </row>
    <row r="77" spans="1:28" s="95" customFormat="1" ht="16.5" hidden="1" customHeight="1">
      <c r="A77" s="144"/>
      <c r="B77" s="144"/>
      <c r="C77" s="259"/>
      <c r="D77" s="259"/>
      <c r="E77" s="259"/>
      <c r="F77" s="259"/>
      <c r="G77" s="144"/>
      <c r="N77" s="138"/>
      <c r="O77" s="110"/>
      <c r="R77" s="138"/>
      <c r="Z77" s="138"/>
    </row>
    <row r="78" spans="1:28" s="95" customFormat="1" ht="16.5" hidden="1" customHeight="1">
      <c r="A78" s="144"/>
      <c r="B78" s="144"/>
      <c r="C78" s="144"/>
      <c r="D78" s="144"/>
      <c r="E78" s="144"/>
      <c r="F78" s="145"/>
      <c r="G78" s="144"/>
      <c r="N78" s="138"/>
      <c r="O78" s="110"/>
      <c r="P78" s="110"/>
      <c r="Q78" s="110"/>
      <c r="R78" s="256"/>
      <c r="S78" s="257"/>
      <c r="T78" s="257"/>
      <c r="Y78" s="264">
        <f>IF('કપાટ પત્રક પેહલા ભરવુ '!L18=0,0,MIN('કપાટ પત્રક પેહલા ભરવુ '!L18,C103))</f>
        <v>0</v>
      </c>
      <c r="Z78" s="257"/>
      <c r="AA78" s="257"/>
      <c r="AB78" s="257"/>
    </row>
    <row r="79" spans="1:28" s="95" customFormat="1" ht="16.5" hidden="1" customHeight="1">
      <c r="A79" s="144"/>
      <c r="B79" s="144"/>
      <c r="C79" s="144"/>
      <c r="D79" s="144"/>
      <c r="E79" s="144"/>
      <c r="F79" s="145"/>
      <c r="G79" s="144"/>
      <c r="N79" s="138"/>
      <c r="O79" s="110"/>
      <c r="R79" s="138"/>
      <c r="Y79" s="264"/>
      <c r="Z79" s="257"/>
      <c r="AA79" s="257"/>
      <c r="AB79" s="257"/>
    </row>
    <row r="80" spans="1:28" s="95" customFormat="1" ht="16.5" hidden="1" customHeight="1">
      <c r="A80" s="144"/>
      <c r="B80" s="144"/>
      <c r="C80" s="259"/>
      <c r="D80" s="259"/>
      <c r="E80" s="144"/>
      <c r="F80" s="145"/>
      <c r="G80" s="144"/>
      <c r="N80" s="138"/>
      <c r="R80" s="138"/>
      <c r="S80" s="256"/>
      <c r="T80" s="257"/>
      <c r="U80" s="257"/>
      <c r="V80" s="257"/>
      <c r="Z80" s="138"/>
    </row>
    <row r="81" spans="1:26" s="95" customFormat="1" ht="16.5" hidden="1" customHeight="1">
      <c r="A81" s="144"/>
      <c r="B81" s="144"/>
      <c r="C81" s="144"/>
      <c r="D81" s="144"/>
      <c r="E81" s="144"/>
      <c r="F81" s="145"/>
      <c r="G81" s="144"/>
      <c r="H81" s="138"/>
      <c r="I81" s="138"/>
      <c r="J81" s="138"/>
      <c r="K81" s="138"/>
      <c r="L81" s="138"/>
      <c r="M81" s="138"/>
      <c r="N81" s="138"/>
      <c r="R81" s="138"/>
      <c r="S81" s="110"/>
      <c r="T81" s="110"/>
      <c r="U81" s="110"/>
      <c r="V81" s="110"/>
      <c r="X81" s="256"/>
      <c r="Y81" s="257"/>
      <c r="Z81" s="138"/>
    </row>
    <row r="82" spans="1:26" s="95" customFormat="1" ht="16.5" hidden="1" customHeight="1">
      <c r="A82" s="144"/>
      <c r="B82" s="144"/>
      <c r="C82" s="144"/>
      <c r="D82" s="144"/>
      <c r="E82" s="144"/>
      <c r="F82" s="145"/>
      <c r="G82" s="144"/>
      <c r="M82" s="146">
        <f>IF(Z41&gt;C97,0,IF(Z41&lt;C97,AA48,IF(Z41&lt;=C97,C98)))</f>
        <v>0</v>
      </c>
      <c r="R82" s="138"/>
      <c r="S82" s="256"/>
      <c r="T82" s="257"/>
      <c r="U82" s="257"/>
      <c r="V82" s="257"/>
      <c r="Z82" s="138"/>
    </row>
    <row r="83" spans="1:26" s="95" customFormat="1" ht="16.5" hidden="1" customHeight="1">
      <c r="A83" s="144"/>
      <c r="B83" s="144"/>
      <c r="C83" s="144"/>
      <c r="D83" s="144"/>
      <c r="E83" s="144"/>
      <c r="F83" s="144"/>
      <c r="G83" s="144"/>
      <c r="N83" s="138"/>
      <c r="O83" s="110"/>
      <c r="R83" s="138"/>
      <c r="S83" s="256"/>
      <c r="T83" s="257"/>
      <c r="U83" s="257"/>
      <c r="V83" s="257"/>
      <c r="Z83" s="138"/>
    </row>
    <row r="84" spans="1:26" s="95" customFormat="1" ht="16.5" hidden="1" customHeight="1">
      <c r="A84" s="144"/>
      <c r="B84" s="144"/>
      <c r="C84" s="250">
        <v>250000</v>
      </c>
      <c r="D84" s="251"/>
      <c r="E84" s="251"/>
      <c r="F84" s="144"/>
      <c r="G84" s="144"/>
      <c r="N84" s="138"/>
      <c r="R84" s="138"/>
      <c r="S84" s="256"/>
      <c r="T84" s="257"/>
      <c r="U84" s="257"/>
      <c r="V84" s="257"/>
      <c r="Z84" s="138"/>
    </row>
    <row r="85" spans="1:26" s="95" customFormat="1" ht="16.5" hidden="1" customHeight="1">
      <c r="B85" s="110"/>
      <c r="C85" s="250">
        <v>250001</v>
      </c>
      <c r="D85" s="251"/>
      <c r="E85" s="251"/>
      <c r="N85" s="138"/>
      <c r="R85" s="138"/>
      <c r="S85" s="256"/>
      <c r="T85" s="257"/>
      <c r="U85" s="257"/>
      <c r="V85" s="257"/>
      <c r="Z85" s="138"/>
    </row>
    <row r="86" spans="1:26" s="95" customFormat="1" ht="16.5" hidden="1" customHeight="1">
      <c r="B86" s="110"/>
      <c r="C86" s="250">
        <v>500001</v>
      </c>
      <c r="D86" s="251"/>
      <c r="E86" s="251"/>
      <c r="N86" s="138"/>
      <c r="R86" s="138"/>
      <c r="S86" s="256"/>
      <c r="T86" s="257"/>
      <c r="U86" s="257"/>
      <c r="V86" s="257"/>
      <c r="Z86" s="138"/>
    </row>
    <row r="87" spans="1:26" s="95" customFormat="1" ht="16.5" hidden="1" customHeight="1">
      <c r="B87" s="110"/>
      <c r="C87" s="250">
        <v>1000001</v>
      </c>
      <c r="D87" s="251"/>
      <c r="E87" s="251"/>
      <c r="N87" s="138"/>
      <c r="R87" s="138"/>
      <c r="S87" s="256"/>
      <c r="T87" s="257"/>
      <c r="U87" s="257"/>
      <c r="V87" s="257"/>
      <c r="Z87" s="138"/>
    </row>
    <row r="88" spans="1:26" s="95" customFormat="1" ht="16.5" hidden="1" customHeight="1">
      <c r="B88" s="110"/>
      <c r="C88" s="110"/>
      <c r="N88" s="138"/>
      <c r="R88" s="138"/>
      <c r="S88" s="256"/>
      <c r="T88" s="257"/>
      <c r="U88" s="257"/>
      <c r="V88" s="257"/>
      <c r="Z88" s="138"/>
    </row>
    <row r="89" spans="1:26" s="95" customFormat="1" ht="16.5" hidden="1" customHeight="1">
      <c r="B89" s="110"/>
      <c r="C89" s="250">
        <v>500000</v>
      </c>
      <c r="D89" s="251"/>
      <c r="E89" s="251"/>
      <c r="M89" s="146">
        <f>ROUND(AA51*C100,0)</f>
        <v>0</v>
      </c>
      <c r="N89" s="138"/>
      <c r="R89" s="138"/>
      <c r="S89" s="256"/>
      <c r="T89" s="257"/>
      <c r="U89" s="257"/>
      <c r="V89" s="257"/>
      <c r="Z89" s="138"/>
    </row>
    <row r="90" spans="1:26" s="95" customFormat="1" ht="16.5" hidden="1" customHeight="1">
      <c r="C90" s="250">
        <v>1000000</v>
      </c>
      <c r="D90" s="251"/>
      <c r="E90" s="251"/>
      <c r="R90" s="138"/>
      <c r="Z90" s="138"/>
    </row>
    <row r="91" spans="1:26" s="95" customFormat="1" ht="16.5" hidden="1" customHeight="1">
      <c r="C91" s="110"/>
      <c r="R91" s="138"/>
      <c r="Z91" s="138"/>
    </row>
    <row r="92" spans="1:26" s="95" customFormat="1" ht="16.5" hidden="1" customHeight="1">
      <c r="C92" s="262">
        <v>0.05</v>
      </c>
      <c r="D92" s="262"/>
      <c r="R92" s="138"/>
      <c r="Z92" s="138"/>
    </row>
    <row r="93" spans="1:26" s="95" customFormat="1" ht="16.5" hidden="1" customHeight="1">
      <c r="C93" s="262">
        <v>0.2</v>
      </c>
      <c r="D93" s="262"/>
      <c r="R93" s="138"/>
      <c r="Z93" s="138"/>
    </row>
    <row r="94" spans="1:26" s="95" customFormat="1" ht="16.5" hidden="1" customHeight="1">
      <c r="C94" s="262">
        <v>0.3</v>
      </c>
      <c r="D94" s="262"/>
      <c r="R94" s="138"/>
      <c r="Z94" s="138"/>
    </row>
    <row r="95" spans="1:26" s="95" customFormat="1" ht="16.5" hidden="1" customHeight="1">
      <c r="C95" s="110"/>
      <c r="R95" s="138"/>
      <c r="Z95" s="138"/>
    </row>
    <row r="96" spans="1:26" s="95" customFormat="1" ht="16.5" hidden="1" customHeight="1">
      <c r="C96" s="110"/>
      <c r="R96" s="138"/>
      <c r="Z96" s="138"/>
    </row>
    <row r="97" spans="1:33" s="95" customFormat="1" ht="16.5" hidden="1" customHeight="1">
      <c r="C97" s="140">
        <v>500000</v>
      </c>
      <c r="R97" s="138"/>
      <c r="Z97" s="138"/>
    </row>
    <row r="98" spans="1:33" s="95" customFormat="1" ht="16.5" hidden="1" customHeight="1">
      <c r="C98" s="140">
        <v>12500</v>
      </c>
      <c r="R98" s="138"/>
      <c r="Z98" s="138"/>
    </row>
    <row r="99" spans="1:33" s="95" customFormat="1" ht="16.5" hidden="1" customHeight="1">
      <c r="C99" s="110"/>
      <c r="R99" s="138"/>
      <c r="Z99" s="138"/>
    </row>
    <row r="100" spans="1:33" s="95" customFormat="1" ht="16.5" hidden="1" customHeight="1">
      <c r="C100" s="147">
        <v>0.04</v>
      </c>
      <c r="R100" s="138"/>
      <c r="Z100" s="138"/>
    </row>
    <row r="101" spans="1:33" s="95" customFormat="1" ht="16.5" hidden="1" customHeight="1">
      <c r="C101" s="110"/>
      <c r="R101" s="138"/>
      <c r="Z101" s="138"/>
    </row>
    <row r="102" spans="1:33" s="95" customFormat="1" ht="16.5" hidden="1" customHeight="1">
      <c r="C102" s="110"/>
      <c r="R102" s="138"/>
      <c r="Z102" s="138"/>
    </row>
    <row r="103" spans="1:33" s="95" customFormat="1" ht="16.5" customHeight="1">
      <c r="A103" s="232"/>
      <c r="B103" s="233"/>
      <c r="C103" s="234">
        <v>200000</v>
      </c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5"/>
      <c r="S103" s="233"/>
      <c r="T103" s="233"/>
      <c r="U103" s="233"/>
      <c r="V103" s="233"/>
      <c r="W103" s="233"/>
      <c r="X103" s="233"/>
      <c r="Y103" s="233"/>
      <c r="Z103" s="235"/>
      <c r="AA103" s="233"/>
      <c r="AB103" s="233"/>
      <c r="AC103" s="233"/>
      <c r="AD103" s="233"/>
      <c r="AE103" s="233"/>
      <c r="AF103" s="233"/>
      <c r="AG103" s="232"/>
    </row>
    <row r="104" spans="1:33" s="95" customFormat="1" ht="16.5" hidden="1" customHeight="1">
      <c r="A104" s="232"/>
      <c r="B104" s="232"/>
      <c r="C104" s="236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7"/>
      <c r="S104" s="232"/>
      <c r="T104" s="232"/>
      <c r="U104" s="232"/>
      <c r="V104" s="232"/>
      <c r="W104" s="232"/>
      <c r="X104" s="232"/>
      <c r="Y104" s="232"/>
      <c r="Z104" s="237"/>
      <c r="AA104" s="232"/>
      <c r="AB104" s="232"/>
      <c r="AC104" s="232"/>
      <c r="AD104" s="232"/>
      <c r="AE104" s="232"/>
      <c r="AF104" s="232"/>
      <c r="AG104" s="232"/>
    </row>
    <row r="105" spans="1:33" s="95" customFormat="1" ht="16.5" hidden="1" customHeight="1">
      <c r="A105" s="232"/>
      <c r="B105" s="232"/>
      <c r="C105" s="236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7"/>
      <c r="S105" s="232"/>
      <c r="T105" s="232"/>
      <c r="U105" s="232"/>
      <c r="V105" s="232"/>
      <c r="W105" s="232"/>
      <c r="X105" s="232"/>
      <c r="Y105" s="232"/>
      <c r="Z105" s="237"/>
      <c r="AA105" s="232"/>
      <c r="AB105" s="232"/>
      <c r="AC105" s="232"/>
      <c r="AD105" s="232"/>
      <c r="AE105" s="232"/>
      <c r="AF105" s="232"/>
      <c r="AG105" s="232"/>
    </row>
    <row r="106" spans="1:33" s="95" customFormat="1" ht="16.5" hidden="1" customHeight="1">
      <c r="A106" s="232"/>
      <c r="B106" s="232"/>
      <c r="C106" s="236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7"/>
      <c r="S106" s="232"/>
      <c r="T106" s="232"/>
      <c r="U106" s="232"/>
      <c r="V106" s="232"/>
      <c r="W106" s="232"/>
      <c r="X106" s="232"/>
      <c r="Y106" s="232"/>
      <c r="Z106" s="237"/>
      <c r="AA106" s="232"/>
      <c r="AB106" s="232"/>
      <c r="AC106" s="232"/>
      <c r="AD106" s="232"/>
      <c r="AE106" s="232"/>
      <c r="AF106" s="232"/>
      <c r="AG106" s="232"/>
    </row>
    <row r="107" spans="1:33" s="95" customFormat="1" ht="16.5" hidden="1" customHeight="1">
      <c r="A107" s="232"/>
      <c r="B107" s="232"/>
      <c r="C107" s="236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7"/>
      <c r="S107" s="232"/>
      <c r="T107" s="232"/>
      <c r="U107" s="232"/>
      <c r="V107" s="232"/>
      <c r="W107" s="232"/>
      <c r="X107" s="232"/>
      <c r="Y107" s="232"/>
      <c r="Z107" s="237"/>
      <c r="AA107" s="232"/>
      <c r="AB107" s="232"/>
      <c r="AC107" s="232"/>
      <c r="AD107" s="232"/>
      <c r="AE107" s="232"/>
      <c r="AF107" s="232"/>
      <c r="AG107" s="232"/>
    </row>
    <row r="108" spans="1:33" s="95" customFormat="1" ht="16.5" hidden="1" customHeight="1">
      <c r="A108" s="232"/>
      <c r="B108" s="232"/>
      <c r="C108" s="236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7"/>
      <c r="S108" s="232"/>
      <c r="T108" s="232"/>
      <c r="U108" s="232"/>
      <c r="V108" s="232"/>
      <c r="W108" s="232"/>
      <c r="X108" s="232"/>
      <c r="Y108" s="232"/>
      <c r="Z108" s="237"/>
      <c r="AA108" s="232"/>
      <c r="AB108" s="232"/>
      <c r="AC108" s="232"/>
      <c r="AD108" s="232"/>
      <c r="AE108" s="232"/>
      <c r="AF108" s="232"/>
      <c r="AG108" s="232"/>
    </row>
    <row r="109" spans="1:33" s="95" customFormat="1" ht="16.5" hidden="1" customHeight="1">
      <c r="A109" s="232"/>
      <c r="B109" s="232"/>
      <c r="C109" s="236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7"/>
      <c r="S109" s="232"/>
      <c r="T109" s="232"/>
      <c r="U109" s="232"/>
      <c r="V109" s="232"/>
      <c r="W109" s="232"/>
      <c r="X109" s="232"/>
      <c r="Y109" s="232"/>
      <c r="Z109" s="237"/>
      <c r="AA109" s="232"/>
      <c r="AB109" s="232"/>
      <c r="AC109" s="232"/>
      <c r="AD109" s="232"/>
      <c r="AE109" s="232"/>
      <c r="AF109" s="232"/>
      <c r="AG109" s="232"/>
    </row>
    <row r="110" spans="1:33" s="95" customFormat="1" ht="16.5" hidden="1" customHeight="1">
      <c r="A110" s="232"/>
      <c r="B110" s="232"/>
      <c r="C110" s="236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7"/>
      <c r="S110" s="232"/>
      <c r="T110" s="232"/>
      <c r="U110" s="232"/>
      <c r="V110" s="232"/>
      <c r="W110" s="232"/>
      <c r="X110" s="232"/>
      <c r="Y110" s="232"/>
      <c r="Z110" s="237"/>
      <c r="AA110" s="232"/>
      <c r="AB110" s="232"/>
      <c r="AC110" s="232"/>
      <c r="AD110" s="232"/>
      <c r="AE110" s="232"/>
      <c r="AF110" s="232"/>
      <c r="AG110" s="232"/>
    </row>
    <row r="111" spans="1:33" s="95" customFormat="1" ht="16.5" hidden="1" customHeight="1">
      <c r="A111" s="232"/>
      <c r="B111" s="232"/>
      <c r="C111" s="236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7"/>
      <c r="S111" s="232"/>
      <c r="T111" s="232"/>
      <c r="U111" s="232"/>
      <c r="V111" s="232"/>
      <c r="W111" s="232"/>
      <c r="X111" s="232"/>
      <c r="Y111" s="232"/>
      <c r="Z111" s="237"/>
      <c r="AA111" s="232"/>
      <c r="AB111" s="232"/>
      <c r="AC111" s="232"/>
      <c r="AD111" s="232"/>
      <c r="AE111" s="232"/>
      <c r="AF111" s="232"/>
      <c r="AG111" s="232"/>
    </row>
    <row r="112" spans="1:33" s="95" customFormat="1" ht="16.5" hidden="1" customHeight="1">
      <c r="A112" s="232"/>
      <c r="B112" s="232"/>
      <c r="C112" s="236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7"/>
      <c r="S112" s="232"/>
      <c r="T112" s="232"/>
      <c r="U112" s="232"/>
      <c r="V112" s="232"/>
      <c r="W112" s="232"/>
      <c r="X112" s="232"/>
      <c r="Y112" s="232"/>
      <c r="Z112" s="237"/>
      <c r="AA112" s="232"/>
      <c r="AB112" s="232"/>
      <c r="AC112" s="232"/>
      <c r="AD112" s="232"/>
      <c r="AE112" s="232"/>
      <c r="AF112" s="232"/>
      <c r="AG112" s="232"/>
    </row>
    <row r="113" spans="1:33" s="95" customFormat="1" ht="16.5" hidden="1" customHeight="1">
      <c r="A113" s="232"/>
      <c r="B113" s="232"/>
      <c r="C113" s="236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7"/>
      <c r="S113" s="232"/>
      <c r="T113" s="232"/>
      <c r="U113" s="232"/>
      <c r="V113" s="232"/>
      <c r="W113" s="232"/>
      <c r="X113" s="232"/>
      <c r="Y113" s="232"/>
      <c r="Z113" s="237"/>
      <c r="AA113" s="232"/>
      <c r="AB113" s="232"/>
      <c r="AC113" s="232"/>
      <c r="AD113" s="232"/>
      <c r="AE113" s="232"/>
      <c r="AF113" s="232"/>
      <c r="AG113" s="232"/>
    </row>
    <row r="114" spans="1:33" s="95" customFormat="1" ht="16.5" hidden="1" customHeight="1">
      <c r="A114" s="232"/>
      <c r="B114" s="232"/>
      <c r="C114" s="236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7"/>
      <c r="S114" s="232"/>
      <c r="T114" s="232"/>
      <c r="U114" s="232"/>
      <c r="V114" s="232"/>
      <c r="W114" s="232"/>
      <c r="X114" s="232"/>
      <c r="Y114" s="232"/>
      <c r="Z114" s="237"/>
      <c r="AA114" s="232"/>
      <c r="AB114" s="232"/>
      <c r="AC114" s="232"/>
      <c r="AD114" s="232"/>
      <c r="AE114" s="232"/>
      <c r="AF114" s="232"/>
      <c r="AG114" s="232"/>
    </row>
    <row r="115" spans="1:33" s="95" customFormat="1" ht="16.5" hidden="1" customHeight="1">
      <c r="A115" s="232"/>
      <c r="B115" s="232"/>
      <c r="C115" s="236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7"/>
      <c r="S115" s="232"/>
      <c r="T115" s="232"/>
      <c r="U115" s="232"/>
      <c r="V115" s="232"/>
      <c r="W115" s="232"/>
      <c r="X115" s="232"/>
      <c r="Y115" s="232"/>
      <c r="Z115" s="237"/>
      <c r="AA115" s="232"/>
      <c r="AB115" s="232"/>
      <c r="AC115" s="232"/>
      <c r="AD115" s="232"/>
      <c r="AE115" s="232"/>
      <c r="AF115" s="232"/>
      <c r="AG115" s="232"/>
    </row>
    <row r="116" spans="1:33" s="95" customFormat="1" ht="16.5" hidden="1" customHeight="1">
      <c r="A116" s="232"/>
      <c r="B116" s="232"/>
      <c r="C116" s="236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7"/>
      <c r="S116" s="232"/>
      <c r="T116" s="232"/>
      <c r="U116" s="232"/>
      <c r="V116" s="232"/>
      <c r="W116" s="232"/>
      <c r="X116" s="232"/>
      <c r="Y116" s="232"/>
      <c r="Z116" s="237"/>
      <c r="AA116" s="232"/>
      <c r="AB116" s="232"/>
      <c r="AC116" s="232"/>
      <c r="AD116" s="232"/>
      <c r="AE116" s="232"/>
      <c r="AF116" s="232"/>
      <c r="AG116" s="232"/>
    </row>
    <row r="117" spans="1:33" s="95" customFormat="1" ht="16.5" hidden="1" customHeight="1">
      <c r="A117" s="232"/>
      <c r="B117" s="232"/>
      <c r="C117" s="236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7"/>
      <c r="S117" s="232"/>
      <c r="T117" s="232"/>
      <c r="U117" s="232"/>
      <c r="V117" s="232"/>
      <c r="W117" s="232"/>
      <c r="X117" s="232"/>
      <c r="Y117" s="232"/>
      <c r="Z117" s="237"/>
      <c r="AA117" s="232"/>
      <c r="AB117" s="232"/>
      <c r="AC117" s="232"/>
      <c r="AD117" s="232"/>
      <c r="AE117" s="232"/>
      <c r="AF117" s="232"/>
      <c r="AG117" s="232"/>
    </row>
    <row r="118" spans="1:33" s="95" customFormat="1" ht="16.5" hidden="1" customHeight="1">
      <c r="A118" s="232"/>
      <c r="B118" s="232"/>
      <c r="C118" s="236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7"/>
      <c r="S118" s="232"/>
      <c r="T118" s="232"/>
      <c r="U118" s="232"/>
      <c r="V118" s="232"/>
      <c r="W118" s="232"/>
      <c r="X118" s="232"/>
      <c r="Y118" s="232"/>
      <c r="Z118" s="237"/>
      <c r="AA118" s="232"/>
      <c r="AB118" s="232"/>
      <c r="AC118" s="232"/>
      <c r="AD118" s="232"/>
      <c r="AE118" s="232"/>
      <c r="AF118" s="232"/>
      <c r="AG118" s="232"/>
    </row>
    <row r="119" spans="1:33" s="95" customFormat="1" ht="16.5" hidden="1" customHeight="1">
      <c r="A119" s="232"/>
      <c r="B119" s="232"/>
      <c r="C119" s="236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7"/>
      <c r="S119" s="232"/>
      <c r="T119" s="232"/>
      <c r="U119" s="232"/>
      <c r="V119" s="232"/>
      <c r="W119" s="232"/>
      <c r="X119" s="232"/>
      <c r="Y119" s="232"/>
      <c r="Z119" s="237"/>
      <c r="AA119" s="232"/>
      <c r="AB119" s="232"/>
      <c r="AC119" s="232"/>
      <c r="AD119" s="232"/>
      <c r="AE119" s="232"/>
      <c r="AF119" s="232"/>
      <c r="AG119" s="232"/>
    </row>
    <row r="120" spans="1:33" s="95" customFormat="1" ht="16.5" hidden="1" customHeight="1">
      <c r="A120" s="232"/>
      <c r="B120" s="232"/>
      <c r="C120" s="236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7"/>
      <c r="S120" s="232"/>
      <c r="T120" s="232"/>
      <c r="U120" s="232"/>
      <c r="V120" s="232"/>
      <c r="W120" s="232"/>
      <c r="X120" s="232"/>
      <c r="Y120" s="232"/>
      <c r="Z120" s="237"/>
      <c r="AA120" s="232"/>
      <c r="AB120" s="232"/>
      <c r="AC120" s="232"/>
      <c r="AD120" s="232"/>
      <c r="AE120" s="232"/>
      <c r="AF120" s="232"/>
      <c r="AG120" s="232"/>
    </row>
    <row r="121" spans="1:33" s="95" customFormat="1" ht="16.5" hidden="1" customHeight="1">
      <c r="A121" s="232"/>
      <c r="B121" s="232"/>
      <c r="C121" s="236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7"/>
      <c r="S121" s="232"/>
      <c r="T121" s="232"/>
      <c r="U121" s="232"/>
      <c r="V121" s="232"/>
      <c r="W121" s="232"/>
      <c r="X121" s="232"/>
      <c r="Y121" s="232"/>
      <c r="Z121" s="237"/>
      <c r="AA121" s="232"/>
      <c r="AB121" s="232"/>
      <c r="AC121" s="232"/>
      <c r="AD121" s="232"/>
      <c r="AE121" s="232"/>
      <c r="AF121" s="232"/>
      <c r="AG121" s="232"/>
    </row>
    <row r="122" spans="1:33" s="95" customFormat="1" ht="16.5" hidden="1" customHeight="1">
      <c r="A122" s="232"/>
      <c r="B122" s="232"/>
      <c r="C122" s="236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7"/>
      <c r="S122" s="232"/>
      <c r="T122" s="232"/>
      <c r="U122" s="232"/>
      <c r="V122" s="232"/>
      <c r="W122" s="232"/>
      <c r="X122" s="232"/>
      <c r="Y122" s="232"/>
      <c r="Z122" s="237"/>
      <c r="AA122" s="232"/>
      <c r="AB122" s="232"/>
      <c r="AC122" s="232"/>
      <c r="AD122" s="232"/>
      <c r="AE122" s="232"/>
      <c r="AF122" s="232"/>
      <c r="AG122" s="232"/>
    </row>
    <row r="123" spans="1:33" s="95" customFormat="1" ht="16.5" hidden="1" customHeight="1">
      <c r="A123" s="232"/>
      <c r="B123" s="232"/>
      <c r="C123" s="236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7"/>
      <c r="S123" s="232"/>
      <c r="T123" s="232"/>
      <c r="U123" s="232"/>
      <c r="V123" s="232"/>
      <c r="W123" s="232"/>
      <c r="X123" s="232"/>
      <c r="Y123" s="232"/>
      <c r="Z123" s="237"/>
      <c r="AA123" s="232"/>
      <c r="AB123" s="232"/>
      <c r="AC123" s="232"/>
      <c r="AD123" s="232"/>
      <c r="AE123" s="232"/>
      <c r="AF123" s="232"/>
      <c r="AG123" s="232"/>
    </row>
    <row r="124" spans="1:33" s="95" customFormat="1" ht="16.5" hidden="1" customHeight="1">
      <c r="A124" s="232"/>
      <c r="B124" s="232"/>
      <c r="C124" s="236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7"/>
      <c r="S124" s="232"/>
      <c r="T124" s="232"/>
      <c r="U124" s="232"/>
      <c r="V124" s="232"/>
      <c r="W124" s="232"/>
      <c r="X124" s="232"/>
      <c r="Y124" s="232"/>
      <c r="Z124" s="237"/>
      <c r="AA124" s="232"/>
      <c r="AB124" s="232"/>
      <c r="AC124" s="232"/>
      <c r="AD124" s="232"/>
      <c r="AE124" s="232"/>
      <c r="AF124" s="232"/>
      <c r="AG124" s="232"/>
    </row>
    <row r="125" spans="1:33" s="95" customFormat="1" ht="16.5" hidden="1" customHeight="1">
      <c r="A125" s="232"/>
      <c r="B125" s="232"/>
      <c r="C125" s="236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7"/>
      <c r="S125" s="232"/>
      <c r="T125" s="232"/>
      <c r="U125" s="232"/>
      <c r="V125" s="232"/>
      <c r="W125" s="232"/>
      <c r="X125" s="232"/>
      <c r="Y125" s="232"/>
      <c r="Z125" s="237"/>
      <c r="AA125" s="232"/>
      <c r="AB125" s="232"/>
      <c r="AC125" s="232"/>
      <c r="AD125" s="232"/>
      <c r="AE125" s="232"/>
      <c r="AF125" s="232"/>
      <c r="AG125" s="232"/>
    </row>
    <row r="126" spans="1:33" s="95" customFormat="1" ht="16.5" hidden="1" customHeight="1">
      <c r="A126" s="232"/>
      <c r="B126" s="232"/>
      <c r="C126" s="236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7"/>
      <c r="S126" s="232"/>
      <c r="T126" s="232"/>
      <c r="U126" s="232"/>
      <c r="V126" s="232"/>
      <c r="W126" s="232"/>
      <c r="X126" s="232"/>
      <c r="Y126" s="232"/>
      <c r="Z126" s="237"/>
      <c r="AA126" s="232"/>
      <c r="AB126" s="232"/>
      <c r="AC126" s="232"/>
      <c r="AD126" s="232"/>
      <c r="AE126" s="232"/>
      <c r="AF126" s="232"/>
      <c r="AG126" s="232"/>
    </row>
    <row r="127" spans="1:33" s="95" customFormat="1" ht="16.5" hidden="1" customHeight="1">
      <c r="A127" s="232"/>
      <c r="B127" s="232"/>
      <c r="C127" s="236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7"/>
      <c r="S127" s="232"/>
      <c r="T127" s="232"/>
      <c r="U127" s="232"/>
      <c r="V127" s="232"/>
      <c r="W127" s="232"/>
      <c r="X127" s="232"/>
      <c r="Y127" s="232"/>
      <c r="Z127" s="237"/>
      <c r="AA127" s="232"/>
      <c r="AB127" s="232"/>
      <c r="AC127" s="232"/>
      <c r="AD127" s="232"/>
      <c r="AE127" s="232"/>
      <c r="AF127" s="232"/>
      <c r="AG127" s="232"/>
    </row>
    <row r="128" spans="1:33" s="95" customFormat="1" ht="16.5" hidden="1" customHeight="1">
      <c r="A128" s="232"/>
      <c r="B128" s="232"/>
      <c r="C128" s="236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7"/>
      <c r="S128" s="232"/>
      <c r="T128" s="232"/>
      <c r="U128" s="232"/>
      <c r="V128" s="232"/>
      <c r="W128" s="232"/>
      <c r="X128" s="232"/>
      <c r="Y128" s="232"/>
      <c r="Z128" s="237"/>
      <c r="AA128" s="232"/>
      <c r="AB128" s="232"/>
      <c r="AC128" s="232"/>
      <c r="AD128" s="232"/>
      <c r="AE128" s="232"/>
      <c r="AF128" s="232"/>
      <c r="AG128" s="232"/>
    </row>
    <row r="129" spans="1:33" s="95" customFormat="1" ht="16.5" hidden="1" customHeight="1">
      <c r="A129" s="232"/>
      <c r="B129" s="232"/>
      <c r="C129" s="236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7"/>
      <c r="S129" s="232"/>
      <c r="T129" s="232"/>
      <c r="U129" s="232"/>
      <c r="V129" s="232"/>
      <c r="W129" s="232"/>
      <c r="X129" s="232"/>
      <c r="Y129" s="232"/>
      <c r="Z129" s="237"/>
      <c r="AA129" s="232"/>
      <c r="AB129" s="232"/>
      <c r="AC129" s="232"/>
      <c r="AD129" s="232"/>
      <c r="AE129" s="232"/>
      <c r="AF129" s="232"/>
      <c r="AG129" s="232"/>
    </row>
    <row r="130" spans="1:33" s="95" customFormat="1" ht="16.5" hidden="1" customHeight="1">
      <c r="A130" s="232"/>
      <c r="B130" s="232"/>
      <c r="C130" s="236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7"/>
      <c r="S130" s="232"/>
      <c r="T130" s="232"/>
      <c r="U130" s="232"/>
      <c r="V130" s="232"/>
      <c r="W130" s="232"/>
      <c r="X130" s="232"/>
      <c r="Y130" s="232"/>
      <c r="Z130" s="237"/>
      <c r="AA130" s="232"/>
      <c r="AB130" s="232"/>
      <c r="AC130" s="232"/>
      <c r="AD130" s="232"/>
      <c r="AE130" s="232"/>
      <c r="AF130" s="232"/>
      <c r="AG130" s="232"/>
    </row>
    <row r="131" spans="1:33" s="95" customFormat="1" ht="16.5" hidden="1" customHeight="1">
      <c r="A131" s="232"/>
      <c r="B131" s="232"/>
      <c r="C131" s="236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7"/>
      <c r="S131" s="232"/>
      <c r="T131" s="232"/>
      <c r="U131" s="232"/>
      <c r="V131" s="232"/>
      <c r="W131" s="232"/>
      <c r="X131" s="232"/>
      <c r="Y131" s="232"/>
      <c r="Z131" s="237"/>
      <c r="AA131" s="232"/>
      <c r="AB131" s="232"/>
      <c r="AC131" s="232"/>
      <c r="AD131" s="232"/>
      <c r="AE131" s="232"/>
      <c r="AF131" s="232"/>
      <c r="AG131" s="232"/>
    </row>
    <row r="132" spans="1:33" s="95" customFormat="1" ht="16.5" hidden="1" customHeight="1">
      <c r="A132" s="232"/>
      <c r="B132" s="232"/>
      <c r="C132" s="236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7"/>
      <c r="S132" s="232"/>
      <c r="T132" s="232"/>
      <c r="U132" s="232"/>
      <c r="V132" s="232"/>
      <c r="W132" s="232"/>
      <c r="X132" s="232"/>
      <c r="Y132" s="232"/>
      <c r="Z132" s="237"/>
      <c r="AA132" s="232"/>
      <c r="AB132" s="232"/>
      <c r="AC132" s="232"/>
      <c r="AD132" s="232"/>
      <c r="AE132" s="232"/>
      <c r="AF132" s="232"/>
      <c r="AG132" s="232"/>
    </row>
    <row r="133" spans="1:33" s="95" customFormat="1" ht="16.5" hidden="1" customHeight="1">
      <c r="A133" s="232"/>
      <c r="B133" s="232"/>
      <c r="C133" s="236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7"/>
      <c r="S133" s="232"/>
      <c r="T133" s="232"/>
      <c r="U133" s="232"/>
      <c r="V133" s="232"/>
      <c r="W133" s="232"/>
      <c r="X133" s="232"/>
      <c r="Y133" s="232"/>
      <c r="Z133" s="237"/>
      <c r="AA133" s="232"/>
      <c r="AB133" s="232"/>
      <c r="AC133" s="232"/>
      <c r="AD133" s="232"/>
      <c r="AE133" s="232"/>
      <c r="AF133" s="232"/>
      <c r="AG133" s="232"/>
    </row>
    <row r="134" spans="1:33" s="95" customFormat="1" ht="16.5" hidden="1" customHeight="1">
      <c r="A134" s="232"/>
      <c r="B134" s="232"/>
      <c r="C134" s="236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7"/>
      <c r="S134" s="232"/>
      <c r="T134" s="232"/>
      <c r="U134" s="232"/>
      <c r="V134" s="232"/>
      <c r="W134" s="232"/>
      <c r="X134" s="232"/>
      <c r="Y134" s="232"/>
      <c r="Z134" s="237"/>
      <c r="AA134" s="232"/>
      <c r="AB134" s="232"/>
      <c r="AC134" s="232"/>
      <c r="AD134" s="232"/>
      <c r="AE134" s="232"/>
      <c r="AF134" s="232"/>
      <c r="AG134" s="232"/>
    </row>
    <row r="135" spans="1:33" s="95" customFormat="1" ht="16.5" hidden="1" customHeight="1">
      <c r="A135" s="232"/>
      <c r="B135" s="232"/>
      <c r="C135" s="236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7"/>
      <c r="S135" s="232"/>
      <c r="T135" s="232"/>
      <c r="U135" s="232"/>
      <c r="V135" s="232"/>
      <c r="W135" s="232"/>
      <c r="X135" s="232"/>
      <c r="Y135" s="232"/>
      <c r="Z135" s="237"/>
      <c r="AA135" s="232"/>
      <c r="AB135" s="232"/>
      <c r="AC135" s="232"/>
      <c r="AD135" s="232"/>
      <c r="AE135" s="232"/>
      <c r="AF135" s="232"/>
      <c r="AG135" s="232"/>
    </row>
    <row r="136" spans="1:33" s="95" customFormat="1" ht="16.5" hidden="1" customHeight="1">
      <c r="A136" s="232"/>
      <c r="B136" s="232"/>
      <c r="C136" s="236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7"/>
      <c r="S136" s="232"/>
      <c r="T136" s="232"/>
      <c r="U136" s="232"/>
      <c r="V136" s="232"/>
      <c r="W136" s="232"/>
      <c r="X136" s="232"/>
      <c r="Y136" s="232"/>
      <c r="Z136" s="237"/>
      <c r="AA136" s="232"/>
      <c r="AB136" s="232"/>
      <c r="AC136" s="232"/>
      <c r="AD136" s="232"/>
      <c r="AE136" s="232"/>
      <c r="AF136" s="232"/>
      <c r="AG136" s="232"/>
    </row>
    <row r="137" spans="1:33" s="95" customFormat="1" ht="16.5" hidden="1" customHeight="1">
      <c r="A137" s="232"/>
      <c r="B137" s="232"/>
      <c r="C137" s="236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7"/>
      <c r="S137" s="232"/>
      <c r="T137" s="232"/>
      <c r="U137" s="232"/>
      <c r="V137" s="232"/>
      <c r="W137" s="232"/>
      <c r="X137" s="232"/>
      <c r="Y137" s="232"/>
      <c r="Z137" s="237"/>
      <c r="AA137" s="232"/>
      <c r="AB137" s="232"/>
      <c r="AC137" s="232"/>
      <c r="AD137" s="232"/>
      <c r="AE137" s="232"/>
      <c r="AF137" s="232"/>
      <c r="AG137" s="232"/>
    </row>
    <row r="138" spans="1:33" s="95" customFormat="1" ht="16.5" hidden="1" customHeight="1">
      <c r="A138" s="232"/>
      <c r="B138" s="232"/>
      <c r="C138" s="236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7"/>
      <c r="S138" s="232"/>
      <c r="T138" s="232"/>
      <c r="U138" s="232"/>
      <c r="V138" s="232"/>
      <c r="W138" s="232"/>
      <c r="X138" s="232"/>
      <c r="Y138" s="232"/>
      <c r="Z138" s="237"/>
      <c r="AA138" s="232"/>
      <c r="AB138" s="232"/>
      <c r="AC138" s="232"/>
      <c r="AD138" s="232"/>
      <c r="AE138" s="232"/>
      <c r="AF138" s="232"/>
      <c r="AG138" s="232"/>
    </row>
    <row r="139" spans="1:33" s="95" customFormat="1" ht="16.5" hidden="1" customHeight="1">
      <c r="A139" s="232"/>
      <c r="B139" s="232"/>
      <c r="C139" s="236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7"/>
      <c r="S139" s="232"/>
      <c r="T139" s="232"/>
      <c r="U139" s="232"/>
      <c r="V139" s="232"/>
      <c r="W139" s="232"/>
      <c r="X139" s="232"/>
      <c r="Y139" s="232"/>
      <c r="Z139" s="237"/>
      <c r="AA139" s="232"/>
      <c r="AB139" s="232"/>
      <c r="AC139" s="232"/>
      <c r="AD139" s="232"/>
      <c r="AE139" s="232"/>
      <c r="AF139" s="232"/>
      <c r="AG139" s="232"/>
    </row>
    <row r="140" spans="1:33" s="95" customFormat="1" ht="16.5" hidden="1" customHeight="1">
      <c r="A140" s="232"/>
      <c r="B140" s="232"/>
      <c r="C140" s="236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7"/>
      <c r="S140" s="232"/>
      <c r="T140" s="232"/>
      <c r="U140" s="232"/>
      <c r="V140" s="232"/>
      <c r="W140" s="232"/>
      <c r="X140" s="232"/>
      <c r="Y140" s="232"/>
      <c r="Z140" s="237"/>
      <c r="AA140" s="232"/>
      <c r="AB140" s="232"/>
      <c r="AC140" s="232"/>
      <c r="AD140" s="232"/>
      <c r="AE140" s="232"/>
      <c r="AF140" s="232"/>
      <c r="AG140" s="232"/>
    </row>
    <row r="141" spans="1:33" s="95" customFormat="1" ht="16.5" hidden="1" customHeight="1">
      <c r="A141" s="232"/>
      <c r="B141" s="232"/>
      <c r="C141" s="236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7"/>
      <c r="S141" s="232"/>
      <c r="T141" s="232"/>
      <c r="U141" s="232"/>
      <c r="V141" s="232"/>
      <c r="W141" s="232"/>
      <c r="X141" s="232"/>
      <c r="Y141" s="232"/>
      <c r="Z141" s="237"/>
      <c r="AA141" s="232"/>
      <c r="AB141" s="232"/>
      <c r="AC141" s="232"/>
      <c r="AD141" s="232"/>
      <c r="AE141" s="232"/>
      <c r="AF141" s="232"/>
      <c r="AG141" s="232"/>
    </row>
    <row r="142" spans="1:33" s="95" customFormat="1" ht="16.5" hidden="1" customHeight="1">
      <c r="A142" s="232"/>
      <c r="B142" s="232"/>
      <c r="C142" s="236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7"/>
      <c r="S142" s="232"/>
      <c r="T142" s="232"/>
      <c r="U142" s="232"/>
      <c r="V142" s="232"/>
      <c r="W142" s="232"/>
      <c r="X142" s="232"/>
      <c r="Y142" s="232"/>
      <c r="Z142" s="237"/>
      <c r="AA142" s="232"/>
      <c r="AB142" s="232"/>
      <c r="AC142" s="232"/>
      <c r="AD142" s="232"/>
      <c r="AE142" s="232"/>
      <c r="AF142" s="232"/>
      <c r="AG142" s="232"/>
    </row>
    <row r="143" spans="1:33" s="95" customFormat="1" ht="16.5" hidden="1" customHeight="1">
      <c r="A143" s="232"/>
      <c r="B143" s="232"/>
      <c r="C143" s="236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7"/>
      <c r="S143" s="232"/>
      <c r="T143" s="232"/>
      <c r="U143" s="232"/>
      <c r="V143" s="232"/>
      <c r="W143" s="232"/>
      <c r="X143" s="232"/>
      <c r="Y143" s="232"/>
      <c r="Z143" s="237"/>
      <c r="AA143" s="232"/>
      <c r="AB143" s="232"/>
      <c r="AC143" s="232"/>
      <c r="AD143" s="232"/>
      <c r="AE143" s="232"/>
      <c r="AF143" s="232"/>
      <c r="AG143" s="232"/>
    </row>
    <row r="144" spans="1:33" s="95" customFormat="1" ht="16.5" hidden="1" customHeight="1">
      <c r="A144" s="232"/>
      <c r="B144" s="232"/>
      <c r="C144" s="236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7"/>
      <c r="S144" s="232"/>
      <c r="T144" s="232"/>
      <c r="U144" s="232"/>
      <c r="V144" s="232"/>
      <c r="W144" s="232"/>
      <c r="X144" s="232"/>
      <c r="Y144" s="232"/>
      <c r="Z144" s="237"/>
      <c r="AA144" s="232"/>
      <c r="AB144" s="232"/>
      <c r="AC144" s="232"/>
      <c r="AD144" s="232"/>
      <c r="AE144" s="232"/>
      <c r="AF144" s="232"/>
      <c r="AG144" s="232"/>
    </row>
    <row r="145" spans="1:33" s="95" customFormat="1" ht="16.5" hidden="1" customHeight="1">
      <c r="A145" s="232"/>
      <c r="B145" s="232"/>
      <c r="C145" s="236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7"/>
      <c r="S145" s="232"/>
      <c r="T145" s="232"/>
      <c r="U145" s="232"/>
      <c r="V145" s="232"/>
      <c r="W145" s="232"/>
      <c r="X145" s="232"/>
      <c r="Y145" s="232"/>
      <c r="Z145" s="237"/>
      <c r="AA145" s="232"/>
      <c r="AB145" s="232"/>
      <c r="AC145" s="232"/>
      <c r="AD145" s="232"/>
      <c r="AE145" s="232"/>
      <c r="AF145" s="232"/>
      <c r="AG145" s="232"/>
    </row>
    <row r="146" spans="1:33" s="95" customFormat="1" ht="16.5" hidden="1" customHeight="1">
      <c r="A146" s="232"/>
      <c r="B146" s="232"/>
      <c r="C146" s="236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7"/>
      <c r="S146" s="232"/>
      <c r="T146" s="232"/>
      <c r="U146" s="232"/>
      <c r="V146" s="232"/>
      <c r="W146" s="232"/>
      <c r="X146" s="232"/>
      <c r="Y146" s="232"/>
      <c r="Z146" s="237"/>
      <c r="AA146" s="232"/>
      <c r="AB146" s="232"/>
      <c r="AC146" s="232"/>
      <c r="AD146" s="232"/>
      <c r="AE146" s="232"/>
      <c r="AF146" s="232"/>
      <c r="AG146" s="232"/>
    </row>
    <row r="147" spans="1:33" s="95" customFormat="1" ht="16.5" hidden="1" customHeight="1">
      <c r="A147" s="232"/>
      <c r="B147" s="232"/>
      <c r="C147" s="236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7"/>
      <c r="S147" s="232"/>
      <c r="T147" s="232"/>
      <c r="U147" s="232"/>
      <c r="V147" s="232"/>
      <c r="W147" s="232"/>
      <c r="X147" s="232"/>
      <c r="Y147" s="232"/>
      <c r="Z147" s="237"/>
      <c r="AA147" s="232"/>
      <c r="AB147" s="232"/>
      <c r="AC147" s="232"/>
      <c r="AD147" s="232"/>
      <c r="AE147" s="232"/>
      <c r="AF147" s="232"/>
      <c r="AG147" s="232"/>
    </row>
    <row r="148" spans="1:33" s="95" customFormat="1" ht="16.5" hidden="1" customHeight="1">
      <c r="A148" s="232"/>
      <c r="B148" s="232"/>
      <c r="C148" s="236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7"/>
      <c r="S148" s="232"/>
      <c r="T148" s="232"/>
      <c r="U148" s="232"/>
      <c r="V148" s="232"/>
      <c r="W148" s="232"/>
      <c r="X148" s="232"/>
      <c r="Y148" s="232"/>
      <c r="Z148" s="237"/>
      <c r="AA148" s="232"/>
      <c r="AB148" s="232"/>
      <c r="AC148" s="232"/>
      <c r="AD148" s="232"/>
      <c r="AE148" s="232"/>
      <c r="AF148" s="232"/>
      <c r="AG148" s="232"/>
    </row>
    <row r="149" spans="1:33" s="95" customFormat="1" ht="16.5" hidden="1" customHeight="1">
      <c r="A149" s="232"/>
      <c r="B149" s="232"/>
      <c r="C149" s="236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7"/>
      <c r="S149" s="232"/>
      <c r="T149" s="232"/>
      <c r="U149" s="232"/>
      <c r="V149" s="232"/>
      <c r="W149" s="232"/>
      <c r="X149" s="232"/>
      <c r="Y149" s="232"/>
      <c r="Z149" s="237"/>
      <c r="AA149" s="232"/>
      <c r="AB149" s="232"/>
      <c r="AC149" s="232"/>
      <c r="AD149" s="232"/>
      <c r="AE149" s="232"/>
      <c r="AF149" s="232"/>
      <c r="AG149" s="232"/>
    </row>
    <row r="150" spans="1:33" s="95" customFormat="1" ht="16.5" hidden="1" customHeight="1">
      <c r="A150" s="232"/>
      <c r="B150" s="232"/>
      <c r="C150" s="236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7"/>
      <c r="S150" s="232"/>
      <c r="T150" s="232"/>
      <c r="U150" s="232"/>
      <c r="V150" s="232"/>
      <c r="W150" s="232"/>
      <c r="X150" s="232"/>
      <c r="Y150" s="232"/>
      <c r="Z150" s="237"/>
      <c r="AA150" s="232"/>
      <c r="AB150" s="232"/>
      <c r="AC150" s="232"/>
      <c r="AD150" s="232"/>
      <c r="AE150" s="232"/>
      <c r="AF150" s="232"/>
      <c r="AG150" s="232"/>
    </row>
    <row r="151" spans="1:33" s="95" customFormat="1" ht="16.5" hidden="1" customHeight="1">
      <c r="A151" s="232"/>
      <c r="B151" s="232"/>
      <c r="C151" s="236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7"/>
      <c r="S151" s="232"/>
      <c r="T151" s="232"/>
      <c r="U151" s="232"/>
      <c r="V151" s="232"/>
      <c r="W151" s="232"/>
      <c r="X151" s="232"/>
      <c r="Y151" s="232"/>
      <c r="Z151" s="237"/>
      <c r="AA151" s="232"/>
      <c r="AB151" s="232"/>
      <c r="AC151" s="232"/>
      <c r="AD151" s="232"/>
      <c r="AE151" s="232"/>
      <c r="AF151" s="232"/>
      <c r="AG151" s="232"/>
    </row>
    <row r="152" spans="1:33" s="95" customFormat="1" ht="16.5" hidden="1" customHeight="1">
      <c r="A152" s="232"/>
      <c r="B152" s="232"/>
      <c r="C152" s="236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7"/>
      <c r="S152" s="232"/>
      <c r="T152" s="232"/>
      <c r="U152" s="232"/>
      <c r="V152" s="232"/>
      <c r="W152" s="232"/>
      <c r="X152" s="232"/>
      <c r="Y152" s="232"/>
      <c r="Z152" s="237"/>
      <c r="AA152" s="232"/>
      <c r="AB152" s="232"/>
      <c r="AC152" s="232"/>
      <c r="AD152" s="232"/>
      <c r="AE152" s="232"/>
      <c r="AF152" s="232"/>
      <c r="AG152" s="232"/>
    </row>
    <row r="153" spans="1:33" s="95" customFormat="1" ht="16.5" hidden="1" customHeight="1">
      <c r="A153" s="232"/>
      <c r="B153" s="232"/>
      <c r="C153" s="236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7"/>
      <c r="S153" s="232"/>
      <c r="T153" s="232"/>
      <c r="U153" s="232"/>
      <c r="V153" s="232"/>
      <c r="W153" s="232"/>
      <c r="X153" s="232"/>
      <c r="Y153" s="232"/>
      <c r="Z153" s="237"/>
      <c r="AA153" s="232"/>
      <c r="AB153" s="232"/>
      <c r="AC153" s="232"/>
      <c r="AD153" s="232"/>
      <c r="AE153" s="232"/>
      <c r="AF153" s="232"/>
      <c r="AG153" s="232"/>
    </row>
    <row r="154" spans="1:33" s="95" customFormat="1" ht="16.5" hidden="1" customHeight="1">
      <c r="A154" s="232"/>
      <c r="B154" s="232"/>
      <c r="C154" s="236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7"/>
      <c r="S154" s="232"/>
      <c r="T154" s="232"/>
      <c r="U154" s="232"/>
      <c r="V154" s="232"/>
      <c r="W154" s="232"/>
      <c r="X154" s="232"/>
      <c r="Y154" s="232"/>
      <c r="Z154" s="237"/>
      <c r="AA154" s="232"/>
      <c r="AB154" s="232"/>
      <c r="AC154" s="232"/>
      <c r="AD154" s="232"/>
      <c r="AE154" s="232"/>
      <c r="AF154" s="232"/>
      <c r="AG154" s="232"/>
    </row>
    <row r="155" spans="1:33" s="95" customFormat="1" ht="16.5" hidden="1" customHeight="1">
      <c r="A155" s="232"/>
      <c r="B155" s="232"/>
      <c r="C155" s="236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7"/>
      <c r="S155" s="232"/>
      <c r="T155" s="232"/>
      <c r="U155" s="232"/>
      <c r="V155" s="232"/>
      <c r="W155" s="232"/>
      <c r="X155" s="232"/>
      <c r="Y155" s="232"/>
      <c r="Z155" s="237"/>
      <c r="AA155" s="232"/>
      <c r="AB155" s="232"/>
      <c r="AC155" s="232"/>
      <c r="AD155" s="232"/>
      <c r="AE155" s="232"/>
      <c r="AF155" s="232"/>
      <c r="AG155" s="232"/>
    </row>
    <row r="156" spans="1:33" s="95" customFormat="1" ht="16.5" hidden="1" customHeight="1">
      <c r="A156" s="232"/>
      <c r="B156" s="232"/>
      <c r="C156" s="236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7"/>
      <c r="S156" s="232"/>
      <c r="T156" s="232"/>
      <c r="U156" s="232"/>
      <c r="V156" s="232"/>
      <c r="W156" s="232"/>
      <c r="X156" s="232"/>
      <c r="Y156" s="232"/>
      <c r="Z156" s="237"/>
      <c r="AA156" s="232"/>
      <c r="AB156" s="232"/>
      <c r="AC156" s="232"/>
      <c r="AD156" s="232"/>
      <c r="AE156" s="232"/>
      <c r="AF156" s="232"/>
      <c r="AG156" s="232"/>
    </row>
    <row r="157" spans="1:33" s="95" customFormat="1" ht="16.5" hidden="1" customHeight="1">
      <c r="A157" s="232"/>
      <c r="B157" s="232"/>
      <c r="C157" s="236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7"/>
      <c r="S157" s="232"/>
      <c r="T157" s="232"/>
      <c r="U157" s="232"/>
      <c r="V157" s="232"/>
      <c r="W157" s="232"/>
      <c r="X157" s="232"/>
      <c r="Y157" s="232"/>
      <c r="Z157" s="237"/>
      <c r="AA157" s="232"/>
      <c r="AB157" s="232"/>
      <c r="AC157" s="232"/>
      <c r="AD157" s="232"/>
      <c r="AE157" s="232"/>
      <c r="AF157" s="232"/>
      <c r="AG157" s="232"/>
    </row>
    <row r="158" spans="1:33" s="95" customFormat="1" ht="16.5" hidden="1" customHeight="1">
      <c r="A158" s="232"/>
      <c r="B158" s="232"/>
      <c r="C158" s="236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7"/>
      <c r="S158" s="232"/>
      <c r="T158" s="232"/>
      <c r="U158" s="232"/>
      <c r="V158" s="232"/>
      <c r="W158" s="232"/>
      <c r="X158" s="232"/>
      <c r="Y158" s="232"/>
      <c r="Z158" s="237"/>
      <c r="AA158" s="232"/>
      <c r="AB158" s="232"/>
      <c r="AC158" s="232"/>
      <c r="AD158" s="232"/>
      <c r="AE158" s="232"/>
      <c r="AF158" s="232"/>
      <c r="AG158" s="232"/>
    </row>
    <row r="159" spans="1:33" s="95" customFormat="1" ht="16.5" hidden="1" customHeight="1">
      <c r="A159" s="232"/>
      <c r="B159" s="232"/>
      <c r="C159" s="236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7"/>
      <c r="S159" s="232"/>
      <c r="T159" s="232"/>
      <c r="U159" s="232"/>
      <c r="V159" s="232"/>
      <c r="W159" s="232"/>
      <c r="X159" s="232"/>
      <c r="Y159" s="232"/>
      <c r="Z159" s="237"/>
      <c r="AA159" s="232"/>
      <c r="AB159" s="232"/>
      <c r="AC159" s="232"/>
      <c r="AD159" s="232"/>
      <c r="AE159" s="232"/>
      <c r="AF159" s="232"/>
      <c r="AG159" s="232"/>
    </row>
    <row r="160" spans="1:33" s="95" customFormat="1" ht="16.5" hidden="1" customHeight="1">
      <c r="A160" s="232"/>
      <c r="B160" s="232"/>
      <c r="C160" s="236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7"/>
      <c r="S160" s="232"/>
      <c r="T160" s="232"/>
      <c r="U160" s="232"/>
      <c r="V160" s="232"/>
      <c r="W160" s="232"/>
      <c r="X160" s="232"/>
      <c r="Y160" s="232"/>
      <c r="Z160" s="237"/>
      <c r="AA160" s="232"/>
      <c r="AB160" s="232"/>
      <c r="AC160" s="232"/>
      <c r="AD160" s="232"/>
      <c r="AE160" s="232"/>
      <c r="AF160" s="232"/>
      <c r="AG160" s="232"/>
    </row>
    <row r="161" spans="1:33" s="95" customFormat="1" ht="16.5" hidden="1" customHeight="1">
      <c r="A161" s="232"/>
      <c r="B161" s="232"/>
      <c r="C161" s="236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7"/>
      <c r="S161" s="232"/>
      <c r="T161" s="232"/>
      <c r="U161" s="232"/>
      <c r="V161" s="232"/>
      <c r="W161" s="232"/>
      <c r="X161" s="232"/>
      <c r="Y161" s="232"/>
      <c r="Z161" s="237"/>
      <c r="AA161" s="232"/>
      <c r="AB161" s="232"/>
      <c r="AC161" s="232"/>
      <c r="AD161" s="232"/>
      <c r="AE161" s="232"/>
      <c r="AF161" s="232"/>
      <c r="AG161" s="232"/>
    </row>
    <row r="162" spans="1:33" s="95" customFormat="1" ht="16.5" hidden="1" customHeight="1">
      <c r="A162" s="232"/>
      <c r="B162" s="232"/>
      <c r="C162" s="236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7"/>
      <c r="S162" s="232"/>
      <c r="T162" s="232"/>
      <c r="U162" s="232"/>
      <c r="V162" s="232"/>
      <c r="W162" s="232"/>
      <c r="X162" s="232"/>
      <c r="Y162" s="232"/>
      <c r="Z162" s="237"/>
      <c r="AA162" s="232"/>
      <c r="AB162" s="232"/>
      <c r="AC162" s="232"/>
      <c r="AD162" s="232"/>
      <c r="AE162" s="232"/>
      <c r="AF162" s="232"/>
      <c r="AG162" s="232"/>
    </row>
    <row r="163" spans="1:33" s="95" customFormat="1" ht="16.5" hidden="1" customHeight="1">
      <c r="A163" s="232"/>
      <c r="B163" s="232"/>
      <c r="C163" s="236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7"/>
      <c r="S163" s="232"/>
      <c r="T163" s="232"/>
      <c r="U163" s="232"/>
      <c r="V163" s="232"/>
      <c r="W163" s="232"/>
      <c r="X163" s="232"/>
      <c r="Y163" s="232"/>
      <c r="Z163" s="237"/>
      <c r="AA163" s="232"/>
      <c r="AB163" s="232"/>
      <c r="AC163" s="232"/>
      <c r="AD163" s="232"/>
      <c r="AE163" s="232"/>
      <c r="AF163" s="232"/>
      <c r="AG163" s="232"/>
    </row>
    <row r="164" spans="1:33" s="95" customFormat="1" ht="16.5" hidden="1" customHeight="1">
      <c r="A164" s="232"/>
      <c r="B164" s="232"/>
      <c r="C164" s="236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7"/>
      <c r="S164" s="232"/>
      <c r="T164" s="232"/>
      <c r="U164" s="232"/>
      <c r="V164" s="232"/>
      <c r="W164" s="232"/>
      <c r="X164" s="232"/>
      <c r="Y164" s="232"/>
      <c r="Z164" s="237"/>
      <c r="AA164" s="232"/>
      <c r="AB164" s="232"/>
      <c r="AC164" s="232"/>
      <c r="AD164" s="232"/>
      <c r="AE164" s="232"/>
      <c r="AF164" s="232"/>
      <c r="AG164" s="232"/>
    </row>
    <row r="165" spans="1:33" s="95" customFormat="1" ht="16.5" hidden="1" customHeight="1">
      <c r="A165" s="232"/>
      <c r="B165" s="232"/>
      <c r="C165" s="236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7"/>
      <c r="S165" s="232"/>
      <c r="T165" s="232"/>
      <c r="U165" s="232"/>
      <c r="V165" s="232"/>
      <c r="W165" s="232"/>
      <c r="X165" s="232"/>
      <c r="Y165" s="232"/>
      <c r="Z165" s="237"/>
      <c r="AA165" s="232"/>
      <c r="AB165" s="232"/>
      <c r="AC165" s="232"/>
      <c r="AD165" s="232"/>
      <c r="AE165" s="232"/>
      <c r="AF165" s="232"/>
      <c r="AG165" s="232"/>
    </row>
    <row r="166" spans="1:33" s="95" customFormat="1" ht="16.5" hidden="1" customHeight="1">
      <c r="A166" s="232"/>
      <c r="B166" s="232"/>
      <c r="C166" s="236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7"/>
      <c r="S166" s="232"/>
      <c r="T166" s="232"/>
      <c r="U166" s="232"/>
      <c r="V166" s="232"/>
      <c r="W166" s="232"/>
      <c r="X166" s="232"/>
      <c r="Y166" s="232"/>
      <c r="Z166" s="237"/>
      <c r="AA166" s="232"/>
      <c r="AB166" s="232"/>
      <c r="AC166" s="232"/>
      <c r="AD166" s="232"/>
      <c r="AE166" s="232"/>
      <c r="AF166" s="232"/>
      <c r="AG166" s="232"/>
    </row>
    <row r="167" spans="1:33" s="95" customFormat="1" ht="16.5" hidden="1" customHeight="1">
      <c r="A167" s="232"/>
      <c r="B167" s="232"/>
      <c r="C167" s="236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7"/>
      <c r="S167" s="232"/>
      <c r="T167" s="232"/>
      <c r="U167" s="232"/>
      <c r="V167" s="232"/>
      <c r="W167" s="232"/>
      <c r="X167" s="232"/>
      <c r="Y167" s="232"/>
      <c r="Z167" s="237"/>
      <c r="AA167" s="232"/>
      <c r="AB167" s="232"/>
      <c r="AC167" s="232"/>
      <c r="AD167" s="232"/>
      <c r="AE167" s="232"/>
      <c r="AF167" s="232"/>
      <c r="AG167" s="232"/>
    </row>
    <row r="168" spans="1:33" s="95" customFormat="1" ht="16.5" hidden="1" customHeight="1">
      <c r="A168" s="232"/>
      <c r="B168" s="232"/>
      <c r="C168" s="236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7"/>
      <c r="S168" s="232"/>
      <c r="T168" s="232"/>
      <c r="U168" s="232"/>
      <c r="V168" s="232"/>
      <c r="W168" s="232"/>
      <c r="X168" s="232"/>
      <c r="Y168" s="232"/>
      <c r="Z168" s="237"/>
      <c r="AA168" s="232"/>
      <c r="AB168" s="232"/>
      <c r="AC168" s="232"/>
      <c r="AD168" s="232"/>
      <c r="AE168" s="232"/>
      <c r="AF168" s="232"/>
      <c r="AG168" s="232"/>
    </row>
    <row r="169" spans="1:33" s="95" customFormat="1" ht="16.5" hidden="1" customHeight="1">
      <c r="A169" s="232"/>
      <c r="B169" s="232"/>
      <c r="C169" s="236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7"/>
      <c r="S169" s="232"/>
      <c r="T169" s="232"/>
      <c r="U169" s="232"/>
      <c r="V169" s="232"/>
      <c r="W169" s="232"/>
      <c r="X169" s="232"/>
      <c r="Y169" s="232"/>
      <c r="Z169" s="237"/>
      <c r="AA169" s="232"/>
      <c r="AB169" s="232"/>
      <c r="AC169" s="232"/>
      <c r="AD169" s="232"/>
      <c r="AE169" s="232"/>
      <c r="AF169" s="232"/>
      <c r="AG169" s="232"/>
    </row>
    <row r="170" spans="1:33" s="95" customFormat="1" ht="16.5" hidden="1" customHeight="1">
      <c r="A170" s="232"/>
      <c r="B170" s="232"/>
      <c r="C170" s="236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7"/>
      <c r="S170" s="232"/>
      <c r="T170" s="232"/>
      <c r="U170" s="232"/>
      <c r="V170" s="232"/>
      <c r="W170" s="232"/>
      <c r="X170" s="232"/>
      <c r="Y170" s="232"/>
      <c r="Z170" s="237"/>
      <c r="AA170" s="232"/>
      <c r="AB170" s="232"/>
      <c r="AC170" s="232"/>
      <c r="AD170" s="232"/>
      <c r="AE170" s="232"/>
      <c r="AF170" s="232"/>
      <c r="AG170" s="232"/>
    </row>
    <row r="171" spans="1:33" s="95" customFormat="1" ht="16.5" hidden="1" customHeight="1">
      <c r="A171" s="232"/>
      <c r="B171" s="232"/>
      <c r="C171" s="236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7"/>
      <c r="S171" s="232"/>
      <c r="T171" s="232"/>
      <c r="U171" s="232"/>
      <c r="V171" s="232"/>
      <c r="W171" s="232"/>
      <c r="X171" s="232"/>
      <c r="Y171" s="232"/>
      <c r="Z171" s="237"/>
      <c r="AA171" s="232"/>
      <c r="AB171" s="232"/>
      <c r="AC171" s="232"/>
      <c r="AD171" s="232"/>
      <c r="AE171" s="232"/>
      <c r="AF171" s="232"/>
      <c r="AG171" s="232"/>
    </row>
    <row r="172" spans="1:33" s="95" customFormat="1" ht="16.5" hidden="1" customHeight="1">
      <c r="A172" s="232"/>
      <c r="B172" s="232"/>
      <c r="C172" s="236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7"/>
      <c r="S172" s="232"/>
      <c r="T172" s="232"/>
      <c r="U172" s="232"/>
      <c r="V172" s="232"/>
      <c r="W172" s="232"/>
      <c r="X172" s="232"/>
      <c r="Y172" s="232"/>
      <c r="Z172" s="237"/>
      <c r="AA172" s="232"/>
      <c r="AB172" s="232"/>
      <c r="AC172" s="232"/>
      <c r="AD172" s="232"/>
      <c r="AE172" s="232"/>
      <c r="AF172" s="232"/>
      <c r="AG172" s="232"/>
    </row>
    <row r="173" spans="1:33" s="95" customFormat="1" ht="16.5" hidden="1" customHeight="1">
      <c r="A173" s="232"/>
      <c r="B173" s="232"/>
      <c r="C173" s="236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7"/>
      <c r="S173" s="232"/>
      <c r="T173" s="232"/>
      <c r="U173" s="232"/>
      <c r="V173" s="232"/>
      <c r="W173" s="232"/>
      <c r="X173" s="232"/>
      <c r="Y173" s="232"/>
      <c r="Z173" s="237"/>
      <c r="AA173" s="232"/>
      <c r="AB173" s="232"/>
      <c r="AC173" s="232"/>
      <c r="AD173" s="232"/>
      <c r="AE173" s="232"/>
      <c r="AF173" s="232"/>
      <c r="AG173" s="232"/>
    </row>
    <row r="174" spans="1:33" s="95" customFormat="1" ht="16.5" hidden="1" customHeight="1">
      <c r="A174" s="232"/>
      <c r="B174" s="232"/>
      <c r="C174" s="236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7"/>
      <c r="S174" s="232"/>
      <c r="T174" s="232"/>
      <c r="U174" s="232"/>
      <c r="V174" s="232"/>
      <c r="W174" s="232"/>
      <c r="X174" s="232"/>
      <c r="Y174" s="232"/>
      <c r="Z174" s="237"/>
      <c r="AA174" s="232"/>
      <c r="AB174" s="232"/>
      <c r="AC174" s="232"/>
      <c r="AD174" s="232"/>
      <c r="AE174" s="232"/>
      <c r="AF174" s="232"/>
      <c r="AG174" s="232"/>
    </row>
    <row r="175" spans="1:33" s="95" customFormat="1" ht="16.5" hidden="1" customHeight="1">
      <c r="A175" s="232"/>
      <c r="B175" s="232"/>
      <c r="C175" s="236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7"/>
      <c r="S175" s="232"/>
      <c r="T175" s="232"/>
      <c r="U175" s="232"/>
      <c r="V175" s="232"/>
      <c r="W175" s="232"/>
      <c r="X175" s="232"/>
      <c r="Y175" s="232"/>
      <c r="Z175" s="237"/>
      <c r="AA175" s="232"/>
      <c r="AB175" s="232"/>
      <c r="AC175" s="232"/>
      <c r="AD175" s="232"/>
      <c r="AE175" s="232"/>
      <c r="AF175" s="232"/>
      <c r="AG175" s="232"/>
    </row>
    <row r="176" spans="1:33" s="95" customFormat="1" ht="16.5" hidden="1" customHeight="1">
      <c r="A176" s="232"/>
      <c r="B176" s="232"/>
      <c r="C176" s="236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7"/>
      <c r="S176" s="232"/>
      <c r="T176" s="232"/>
      <c r="U176" s="232"/>
      <c r="V176" s="232"/>
      <c r="W176" s="232"/>
      <c r="X176" s="232"/>
      <c r="Y176" s="232"/>
      <c r="Z176" s="237"/>
      <c r="AA176" s="232"/>
      <c r="AB176" s="232"/>
      <c r="AC176" s="232"/>
      <c r="AD176" s="232"/>
      <c r="AE176" s="232"/>
      <c r="AF176" s="232"/>
      <c r="AG176" s="232"/>
    </row>
    <row r="177" spans="1:33" s="95" customFormat="1" ht="16.5" hidden="1" customHeight="1">
      <c r="A177" s="232"/>
      <c r="B177" s="232"/>
      <c r="C177" s="236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7"/>
      <c r="S177" s="232"/>
      <c r="T177" s="232"/>
      <c r="U177" s="232"/>
      <c r="V177" s="232"/>
      <c r="W177" s="232"/>
      <c r="X177" s="232"/>
      <c r="Y177" s="232"/>
      <c r="Z177" s="237"/>
      <c r="AA177" s="232"/>
      <c r="AB177" s="232"/>
      <c r="AC177" s="232"/>
      <c r="AD177" s="232"/>
      <c r="AE177" s="232"/>
      <c r="AF177" s="232"/>
      <c r="AG177" s="232"/>
    </row>
    <row r="178" spans="1:33" s="95" customFormat="1" ht="16.5" hidden="1" customHeight="1">
      <c r="A178" s="232"/>
      <c r="B178" s="232"/>
      <c r="C178" s="236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7"/>
      <c r="S178" s="232"/>
      <c r="T178" s="232"/>
      <c r="U178" s="232"/>
      <c r="V178" s="232"/>
      <c r="W178" s="232"/>
      <c r="X178" s="232"/>
      <c r="Y178" s="232"/>
      <c r="Z178" s="237"/>
      <c r="AA178" s="232"/>
      <c r="AB178" s="232"/>
      <c r="AC178" s="232"/>
      <c r="AD178" s="232"/>
      <c r="AE178" s="232"/>
      <c r="AF178" s="232"/>
      <c r="AG178" s="232"/>
    </row>
    <row r="179" spans="1:33" s="95" customFormat="1" ht="16.5" hidden="1" customHeight="1">
      <c r="A179" s="232"/>
      <c r="B179" s="232"/>
      <c r="C179" s="236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7"/>
      <c r="S179" s="232"/>
      <c r="T179" s="232"/>
      <c r="U179" s="232"/>
      <c r="V179" s="232"/>
      <c r="W179" s="232"/>
      <c r="X179" s="232"/>
      <c r="Y179" s="232"/>
      <c r="Z179" s="237"/>
      <c r="AA179" s="232"/>
      <c r="AB179" s="232"/>
      <c r="AC179" s="232"/>
      <c r="AD179" s="232"/>
      <c r="AE179" s="232"/>
      <c r="AF179" s="232"/>
      <c r="AG179" s="232"/>
    </row>
    <row r="180" spans="1:33" s="95" customFormat="1" ht="16.5" hidden="1" customHeight="1">
      <c r="A180" s="232"/>
      <c r="B180" s="232"/>
      <c r="C180" s="236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7"/>
      <c r="S180" s="232"/>
      <c r="T180" s="232"/>
      <c r="U180" s="232"/>
      <c r="V180" s="232"/>
      <c r="W180" s="232"/>
      <c r="X180" s="232"/>
      <c r="Y180" s="232"/>
      <c r="Z180" s="237"/>
      <c r="AA180" s="232"/>
      <c r="AB180" s="232"/>
      <c r="AC180" s="232"/>
      <c r="AD180" s="232"/>
      <c r="AE180" s="232"/>
      <c r="AF180" s="232"/>
      <c r="AG180" s="232"/>
    </row>
    <row r="181" spans="1:33" s="95" customFormat="1" ht="16.5" hidden="1" customHeight="1">
      <c r="A181" s="232"/>
      <c r="B181" s="232"/>
      <c r="C181" s="236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7"/>
      <c r="S181" s="232"/>
      <c r="T181" s="232"/>
      <c r="U181" s="232"/>
      <c r="V181" s="232"/>
      <c r="W181" s="232"/>
      <c r="X181" s="232"/>
      <c r="Y181" s="232"/>
      <c r="Z181" s="237"/>
      <c r="AA181" s="232"/>
      <c r="AB181" s="232"/>
      <c r="AC181" s="232"/>
      <c r="AD181" s="232"/>
      <c r="AE181" s="232"/>
      <c r="AF181" s="232"/>
      <c r="AG181" s="232"/>
    </row>
    <row r="182" spans="1:33" s="95" customFormat="1" ht="16.5" hidden="1" customHeight="1">
      <c r="A182" s="232"/>
      <c r="B182" s="232"/>
      <c r="C182" s="236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7"/>
      <c r="S182" s="232"/>
      <c r="T182" s="232"/>
      <c r="U182" s="232"/>
      <c r="V182" s="232"/>
      <c r="W182" s="232"/>
      <c r="X182" s="232"/>
      <c r="Y182" s="232"/>
      <c r="Z182" s="237"/>
      <c r="AA182" s="232"/>
      <c r="AB182" s="232"/>
      <c r="AC182" s="232"/>
      <c r="AD182" s="232"/>
      <c r="AE182" s="232"/>
      <c r="AF182" s="232"/>
      <c r="AG182" s="232"/>
    </row>
    <row r="183" spans="1:33" s="95" customFormat="1" ht="16.5" hidden="1" customHeight="1">
      <c r="A183" s="232"/>
      <c r="B183" s="232"/>
      <c r="C183" s="236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7"/>
      <c r="S183" s="232"/>
      <c r="T183" s="232"/>
      <c r="U183" s="232"/>
      <c r="V183" s="232"/>
      <c r="W183" s="232"/>
      <c r="X183" s="232"/>
      <c r="Y183" s="232"/>
      <c r="Z183" s="237"/>
      <c r="AA183" s="232"/>
      <c r="AB183" s="232"/>
      <c r="AC183" s="232"/>
      <c r="AD183" s="232"/>
      <c r="AE183" s="232"/>
      <c r="AF183" s="232"/>
      <c r="AG183" s="232"/>
    </row>
    <row r="184" spans="1:33" s="95" customFormat="1" ht="16.5" hidden="1" customHeight="1">
      <c r="A184" s="232"/>
      <c r="B184" s="232"/>
      <c r="C184" s="236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7"/>
      <c r="S184" s="232"/>
      <c r="T184" s="232"/>
      <c r="U184" s="232"/>
      <c r="V184" s="232"/>
      <c r="W184" s="232"/>
      <c r="X184" s="232"/>
      <c r="Y184" s="232"/>
      <c r="Z184" s="237"/>
      <c r="AA184" s="232"/>
      <c r="AB184" s="232"/>
      <c r="AC184" s="232"/>
      <c r="AD184" s="232"/>
      <c r="AE184" s="232"/>
      <c r="AF184" s="232"/>
      <c r="AG184" s="232"/>
    </row>
    <row r="185" spans="1:33" s="95" customFormat="1" ht="16.5" hidden="1" customHeight="1">
      <c r="A185" s="232"/>
      <c r="B185" s="232"/>
      <c r="C185" s="236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7"/>
      <c r="S185" s="232"/>
      <c r="T185" s="232"/>
      <c r="U185" s="232"/>
      <c r="V185" s="232"/>
      <c r="W185" s="232"/>
      <c r="X185" s="232"/>
      <c r="Y185" s="232"/>
      <c r="Z185" s="237"/>
      <c r="AA185" s="232"/>
      <c r="AB185" s="232"/>
      <c r="AC185" s="232"/>
      <c r="AD185" s="232"/>
      <c r="AE185" s="232"/>
      <c r="AF185" s="232"/>
      <c r="AG185" s="232"/>
    </row>
    <row r="186" spans="1:33" s="95" customFormat="1" ht="16.5" hidden="1" customHeight="1">
      <c r="A186" s="232"/>
      <c r="B186" s="232"/>
      <c r="C186" s="236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7"/>
      <c r="S186" s="232"/>
      <c r="T186" s="232"/>
      <c r="U186" s="232"/>
      <c r="V186" s="232"/>
      <c r="W186" s="232"/>
      <c r="X186" s="232"/>
      <c r="Y186" s="232"/>
      <c r="Z186" s="237"/>
      <c r="AA186" s="232"/>
      <c r="AB186" s="232"/>
      <c r="AC186" s="232"/>
      <c r="AD186" s="232"/>
      <c r="AE186" s="232"/>
      <c r="AF186" s="232"/>
      <c r="AG186" s="232"/>
    </row>
    <row r="187" spans="1:33" s="95" customFormat="1" ht="16.5" hidden="1" customHeight="1">
      <c r="A187" s="232"/>
      <c r="B187" s="232"/>
      <c r="C187" s="236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7"/>
      <c r="S187" s="232"/>
      <c r="T187" s="232"/>
      <c r="U187" s="232"/>
      <c r="V187" s="232"/>
      <c r="W187" s="232"/>
      <c r="X187" s="232"/>
      <c r="Y187" s="232"/>
      <c r="Z187" s="237"/>
      <c r="AA187" s="232"/>
      <c r="AB187" s="232"/>
      <c r="AC187" s="232"/>
      <c r="AD187" s="232"/>
      <c r="AE187" s="232"/>
      <c r="AF187" s="232"/>
      <c r="AG187" s="232"/>
    </row>
    <row r="188" spans="1:33" s="95" customFormat="1" ht="16.5" hidden="1" customHeight="1">
      <c r="A188" s="232"/>
      <c r="B188" s="232"/>
      <c r="C188" s="236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7"/>
      <c r="S188" s="232"/>
      <c r="T188" s="232"/>
      <c r="U188" s="232"/>
      <c r="V188" s="232"/>
      <c r="W188" s="232"/>
      <c r="X188" s="232"/>
      <c r="Y188" s="232"/>
      <c r="Z188" s="237"/>
      <c r="AA188" s="232"/>
      <c r="AB188" s="232"/>
      <c r="AC188" s="232"/>
      <c r="AD188" s="232"/>
      <c r="AE188" s="232"/>
      <c r="AF188" s="232"/>
      <c r="AG188" s="232"/>
    </row>
    <row r="189" spans="1:33" s="95" customFormat="1" ht="16.5" hidden="1" customHeight="1">
      <c r="A189" s="232"/>
      <c r="B189" s="232"/>
      <c r="C189" s="236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7"/>
      <c r="S189" s="232"/>
      <c r="T189" s="232"/>
      <c r="U189" s="232"/>
      <c r="V189" s="232"/>
      <c r="W189" s="232"/>
      <c r="X189" s="232"/>
      <c r="Y189" s="232"/>
      <c r="Z189" s="237"/>
      <c r="AA189" s="232"/>
      <c r="AB189" s="232"/>
      <c r="AC189" s="232"/>
      <c r="AD189" s="232"/>
      <c r="AE189" s="232"/>
      <c r="AF189" s="232"/>
      <c r="AG189" s="232"/>
    </row>
    <row r="190" spans="1:33" s="95" customFormat="1" ht="16.5" hidden="1" customHeight="1">
      <c r="A190" s="232"/>
      <c r="B190" s="232"/>
      <c r="C190" s="236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7"/>
      <c r="S190" s="232"/>
      <c r="T190" s="232"/>
      <c r="U190" s="232"/>
      <c r="V190" s="232"/>
      <c r="W190" s="232"/>
      <c r="X190" s="232"/>
      <c r="Y190" s="232"/>
      <c r="Z190" s="237"/>
      <c r="AA190" s="232"/>
      <c r="AB190" s="232"/>
      <c r="AC190" s="232"/>
      <c r="AD190" s="232"/>
      <c r="AE190" s="232"/>
      <c r="AF190" s="232"/>
      <c r="AG190" s="232"/>
    </row>
    <row r="191" spans="1:33" s="95" customFormat="1" ht="16.5" hidden="1" customHeight="1">
      <c r="A191" s="232"/>
      <c r="B191" s="232"/>
      <c r="C191" s="236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7"/>
      <c r="S191" s="232"/>
      <c r="T191" s="232"/>
      <c r="U191" s="232"/>
      <c r="V191" s="232"/>
      <c r="W191" s="232"/>
      <c r="X191" s="232"/>
      <c r="Y191" s="232"/>
      <c r="Z191" s="237"/>
      <c r="AA191" s="232"/>
      <c r="AB191" s="232"/>
      <c r="AC191" s="232"/>
      <c r="AD191" s="232"/>
      <c r="AE191" s="232"/>
      <c r="AF191" s="232"/>
      <c r="AG191" s="232"/>
    </row>
    <row r="192" spans="1:33" s="95" customFormat="1" ht="16.5" hidden="1" customHeight="1">
      <c r="A192" s="232"/>
      <c r="B192" s="232"/>
      <c r="C192" s="236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7"/>
      <c r="S192" s="232"/>
      <c r="T192" s="232"/>
      <c r="U192" s="232"/>
      <c r="V192" s="232"/>
      <c r="W192" s="232"/>
      <c r="X192" s="232"/>
      <c r="Y192" s="232"/>
      <c r="Z192" s="237"/>
      <c r="AA192" s="232"/>
      <c r="AB192" s="232"/>
      <c r="AC192" s="232"/>
      <c r="AD192" s="232"/>
      <c r="AE192" s="232"/>
      <c r="AF192" s="232"/>
      <c r="AG192" s="232"/>
    </row>
    <row r="193" spans="1:85" s="95" customFormat="1" ht="16.5" hidden="1" customHeight="1">
      <c r="A193" s="232"/>
      <c r="B193" s="232"/>
      <c r="C193" s="236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7"/>
      <c r="S193" s="232"/>
      <c r="T193" s="232"/>
      <c r="U193" s="232"/>
      <c r="V193" s="232"/>
      <c r="W193" s="232"/>
      <c r="X193" s="232"/>
      <c r="Y193" s="232"/>
      <c r="Z193" s="237"/>
      <c r="AA193" s="232"/>
      <c r="AB193" s="232"/>
      <c r="AC193" s="232"/>
      <c r="AD193" s="232"/>
      <c r="AE193" s="232"/>
      <c r="AF193" s="232"/>
      <c r="AG193" s="232"/>
    </row>
    <row r="194" spans="1:85" s="95" customFormat="1" ht="16.5" hidden="1" customHeight="1">
      <c r="A194" s="232"/>
      <c r="B194" s="232"/>
      <c r="C194" s="236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7"/>
      <c r="S194" s="232"/>
      <c r="T194" s="232"/>
      <c r="U194" s="232"/>
      <c r="V194" s="232"/>
      <c r="W194" s="232"/>
      <c r="X194" s="232"/>
      <c r="Y194" s="232"/>
      <c r="Z194" s="237"/>
      <c r="AA194" s="232"/>
      <c r="AB194" s="232"/>
      <c r="AC194" s="232"/>
      <c r="AD194" s="232"/>
      <c r="AE194" s="232"/>
      <c r="AF194" s="232"/>
      <c r="AG194" s="232"/>
    </row>
    <row r="195" spans="1:85" s="95" customFormat="1" ht="16.5" hidden="1" customHeight="1">
      <c r="A195" s="232"/>
      <c r="B195" s="232"/>
      <c r="C195" s="236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7"/>
      <c r="S195" s="232"/>
      <c r="T195" s="232"/>
      <c r="U195" s="232"/>
      <c r="V195" s="232"/>
      <c r="W195" s="232"/>
      <c r="X195" s="232"/>
      <c r="Y195" s="232"/>
      <c r="Z195" s="237"/>
      <c r="AA195" s="232"/>
      <c r="AB195" s="232"/>
      <c r="AC195" s="232"/>
      <c r="AD195" s="232"/>
      <c r="AE195" s="232"/>
      <c r="AF195" s="232"/>
      <c r="AG195" s="232"/>
    </row>
    <row r="196" spans="1:85" s="95" customFormat="1" ht="16.5" hidden="1" customHeight="1">
      <c r="A196" s="232"/>
      <c r="B196" s="232"/>
      <c r="C196" s="236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7"/>
      <c r="S196" s="232"/>
      <c r="T196" s="232"/>
      <c r="U196" s="232"/>
      <c r="V196" s="232"/>
      <c r="W196" s="232"/>
      <c r="X196" s="232"/>
      <c r="Y196" s="232"/>
      <c r="Z196" s="237"/>
      <c r="AA196" s="232"/>
      <c r="AB196" s="232"/>
      <c r="AC196" s="232"/>
      <c r="AD196" s="232"/>
      <c r="AE196" s="232"/>
      <c r="AF196" s="232"/>
      <c r="AG196" s="232"/>
    </row>
    <row r="197" spans="1:85" s="95" customFormat="1" ht="16.5" hidden="1" customHeight="1">
      <c r="A197" s="232"/>
      <c r="B197" s="232"/>
      <c r="C197" s="236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7"/>
      <c r="S197" s="232"/>
      <c r="T197" s="232"/>
      <c r="U197" s="232"/>
      <c r="V197" s="232"/>
      <c r="W197" s="232"/>
      <c r="X197" s="232"/>
      <c r="Y197" s="232"/>
      <c r="Z197" s="237"/>
      <c r="AA197" s="232"/>
      <c r="AB197" s="232"/>
      <c r="AC197" s="232"/>
      <c r="AD197" s="232"/>
      <c r="AE197" s="232"/>
      <c r="AF197" s="232"/>
      <c r="AG197" s="232"/>
    </row>
    <row r="198" spans="1:85" s="95" customFormat="1" ht="16.5" hidden="1" customHeight="1">
      <c r="A198" s="232"/>
      <c r="B198" s="232"/>
      <c r="C198" s="236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7"/>
      <c r="S198" s="232"/>
      <c r="T198" s="232"/>
      <c r="U198" s="232"/>
      <c r="V198" s="232"/>
      <c r="W198" s="232"/>
      <c r="X198" s="232"/>
      <c r="Y198" s="232"/>
      <c r="Z198" s="237"/>
      <c r="AA198" s="232"/>
      <c r="AB198" s="232"/>
      <c r="AC198" s="232"/>
      <c r="AD198" s="232"/>
      <c r="AE198" s="232"/>
      <c r="AF198" s="232"/>
      <c r="AG198" s="232"/>
    </row>
    <row r="199" spans="1:85" s="95" customFormat="1" ht="16.5" hidden="1" customHeight="1">
      <c r="A199" s="232"/>
      <c r="B199" s="232"/>
      <c r="C199" s="236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7"/>
      <c r="S199" s="232"/>
      <c r="T199" s="232"/>
      <c r="U199" s="232"/>
      <c r="V199" s="232"/>
      <c r="W199" s="232"/>
      <c r="X199" s="232"/>
      <c r="Y199" s="232"/>
      <c r="Z199" s="237"/>
      <c r="AA199" s="232"/>
      <c r="AB199" s="232"/>
      <c r="AC199" s="232"/>
      <c r="AD199" s="232"/>
      <c r="AE199" s="232"/>
      <c r="AF199" s="232"/>
      <c r="AG199" s="232"/>
    </row>
    <row r="200" spans="1:85" s="95" customFormat="1" ht="16.5" hidden="1" customHeight="1">
      <c r="A200" s="232"/>
      <c r="B200" s="232"/>
      <c r="C200" s="236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7"/>
      <c r="S200" s="232"/>
      <c r="T200" s="232"/>
      <c r="U200" s="232"/>
      <c r="V200" s="232"/>
      <c r="W200" s="232"/>
      <c r="X200" s="232"/>
      <c r="Y200" s="232"/>
      <c r="Z200" s="237"/>
      <c r="AA200" s="232"/>
      <c r="AB200" s="232"/>
      <c r="AC200" s="232"/>
      <c r="AD200" s="232"/>
      <c r="AE200" s="232"/>
      <c r="AF200" s="232"/>
      <c r="AG200" s="232"/>
    </row>
    <row r="201" spans="1:85" s="95" customFormat="1" ht="16.5" hidden="1" customHeight="1">
      <c r="A201" s="232"/>
      <c r="B201" s="232"/>
      <c r="C201" s="236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7"/>
      <c r="S201" s="232"/>
      <c r="T201" s="232"/>
      <c r="U201" s="232"/>
      <c r="V201" s="232"/>
      <c r="W201" s="232"/>
      <c r="X201" s="232"/>
      <c r="Y201" s="232"/>
      <c r="Z201" s="237"/>
      <c r="AA201" s="232"/>
      <c r="AB201" s="232"/>
      <c r="AC201" s="232"/>
      <c r="AD201" s="232"/>
      <c r="AE201" s="232"/>
      <c r="AF201" s="232"/>
      <c r="AG201" s="232"/>
    </row>
    <row r="202" spans="1:85" s="95" customFormat="1" ht="16.5" hidden="1" customHeight="1">
      <c r="A202" s="232"/>
      <c r="B202" s="232"/>
      <c r="C202" s="236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7"/>
      <c r="S202" s="232"/>
      <c r="T202" s="232"/>
      <c r="U202" s="232"/>
      <c r="V202" s="232"/>
      <c r="W202" s="232"/>
      <c r="X202" s="232"/>
      <c r="Y202" s="232"/>
      <c r="Z202" s="237"/>
      <c r="AA202" s="232"/>
      <c r="AB202" s="232"/>
      <c r="AC202" s="232"/>
      <c r="AD202" s="232"/>
      <c r="AE202" s="232"/>
      <c r="AF202" s="232"/>
      <c r="AG202" s="232"/>
    </row>
    <row r="203" spans="1:85" s="95" customFormat="1" ht="16.5" hidden="1" customHeight="1">
      <c r="A203" s="232"/>
      <c r="B203" s="232"/>
      <c r="C203" s="236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7"/>
      <c r="S203" s="232"/>
      <c r="T203" s="232"/>
      <c r="U203" s="232"/>
      <c r="V203" s="232"/>
      <c r="W203" s="232"/>
      <c r="X203" s="232"/>
      <c r="Y203" s="232"/>
      <c r="Z203" s="237"/>
      <c r="AA203" s="232"/>
      <c r="AB203" s="232"/>
      <c r="AC203" s="232"/>
      <c r="AD203" s="232"/>
      <c r="AE203" s="232"/>
      <c r="AF203" s="232"/>
      <c r="AG203" s="232"/>
    </row>
    <row r="204" spans="1:85" s="95" customFormat="1" ht="16.5" hidden="1" customHeight="1">
      <c r="A204" s="232"/>
      <c r="B204" s="232"/>
      <c r="C204" s="236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7"/>
      <c r="S204" s="232"/>
      <c r="T204" s="232"/>
      <c r="U204" s="232"/>
      <c r="V204" s="232"/>
      <c r="W204" s="232"/>
      <c r="X204" s="232"/>
      <c r="Y204" s="232"/>
      <c r="Z204" s="237"/>
      <c r="AA204" s="232"/>
      <c r="AB204" s="232"/>
      <c r="AC204" s="232"/>
      <c r="AD204" s="232"/>
      <c r="AE204" s="232"/>
      <c r="AF204" s="232"/>
      <c r="AG204" s="232"/>
    </row>
    <row r="205" spans="1:85" s="95" customFormat="1" ht="16.5" hidden="1" customHeight="1">
      <c r="A205" s="232"/>
      <c r="B205" s="232"/>
      <c r="C205" s="236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7"/>
      <c r="S205" s="232"/>
      <c r="T205" s="232"/>
      <c r="U205" s="232"/>
      <c r="V205" s="232"/>
      <c r="W205" s="232"/>
      <c r="X205" s="232"/>
      <c r="Y205" s="232"/>
      <c r="Z205" s="237"/>
      <c r="AA205" s="232"/>
      <c r="AB205" s="232"/>
      <c r="AC205" s="232"/>
      <c r="AD205" s="232"/>
      <c r="AE205" s="232"/>
      <c r="AF205" s="232"/>
      <c r="AG205" s="232"/>
    </row>
    <row r="206" spans="1:85" s="95" customFormat="1" ht="16.5" hidden="1" customHeight="1">
      <c r="A206" s="232"/>
      <c r="B206" s="232"/>
      <c r="C206" s="236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7"/>
      <c r="S206" s="232"/>
      <c r="T206" s="232"/>
      <c r="U206" s="232"/>
      <c r="V206" s="232"/>
      <c r="W206" s="232"/>
      <c r="X206" s="232"/>
      <c r="Y206" s="232"/>
      <c r="Z206" s="237"/>
      <c r="AA206" s="232"/>
      <c r="AB206" s="232"/>
      <c r="AC206" s="232"/>
      <c r="AD206" s="232"/>
      <c r="AE206" s="232"/>
      <c r="AF206" s="232"/>
      <c r="AG206" s="232"/>
    </row>
    <row r="207" spans="1:85" s="148" customFormat="1" ht="16.5" hidden="1" customHeight="1">
      <c r="A207" s="238"/>
      <c r="B207" s="238"/>
      <c r="C207" s="239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40"/>
      <c r="S207" s="238"/>
      <c r="T207" s="238"/>
      <c r="U207" s="238"/>
      <c r="V207" s="238"/>
      <c r="W207" s="238"/>
      <c r="X207" s="238"/>
      <c r="Y207" s="238"/>
      <c r="Z207" s="240"/>
      <c r="AA207" s="238"/>
      <c r="AB207" s="238"/>
      <c r="AC207" s="238"/>
      <c r="AD207" s="238"/>
      <c r="AE207" s="238"/>
      <c r="AF207" s="238"/>
      <c r="AG207" s="238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96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  <c r="CE207" s="96"/>
      <c r="CF207" s="96"/>
      <c r="CG207" s="96"/>
    </row>
    <row r="208" spans="1:85" s="148" customFormat="1" ht="16.5" hidden="1" customHeight="1">
      <c r="A208" s="238"/>
      <c r="B208" s="238"/>
      <c r="C208" s="239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40"/>
      <c r="S208" s="238"/>
      <c r="T208" s="238"/>
      <c r="U208" s="238"/>
      <c r="V208" s="238"/>
      <c r="W208" s="238"/>
      <c r="X208" s="238"/>
      <c r="Y208" s="238"/>
      <c r="Z208" s="240"/>
      <c r="AA208" s="238"/>
      <c r="AB208" s="238"/>
      <c r="AC208" s="238"/>
      <c r="AD208" s="238"/>
      <c r="AE208" s="238"/>
      <c r="AF208" s="238"/>
      <c r="AG208" s="238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95"/>
      <c r="BP208" s="95"/>
      <c r="BQ208" s="95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  <c r="CC208" s="96"/>
      <c r="CD208" s="96"/>
      <c r="CE208" s="96"/>
      <c r="CF208" s="96"/>
      <c r="CG208" s="96"/>
    </row>
    <row r="209" spans="1:85" s="148" customFormat="1" ht="16.5" hidden="1" customHeight="1">
      <c r="A209" s="238"/>
      <c r="B209" s="238"/>
      <c r="C209" s="239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40"/>
      <c r="S209" s="238"/>
      <c r="T209" s="238"/>
      <c r="U209" s="238"/>
      <c r="V209" s="238"/>
      <c r="W209" s="238"/>
      <c r="X209" s="238"/>
      <c r="Y209" s="238"/>
      <c r="Z209" s="240"/>
      <c r="AA209" s="238"/>
      <c r="AB209" s="238"/>
      <c r="AC209" s="238"/>
      <c r="AD209" s="238"/>
      <c r="AE209" s="238"/>
      <c r="AF209" s="238"/>
      <c r="AG209" s="238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95"/>
      <c r="BP209" s="95"/>
      <c r="BQ209" s="95"/>
      <c r="BR209" s="96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  <c r="CE209" s="96"/>
      <c r="CF209" s="96"/>
      <c r="CG209" s="96"/>
    </row>
    <row r="210" spans="1:85" s="148" customFormat="1" ht="16.5" hidden="1" customHeight="1">
      <c r="A210" s="238"/>
      <c r="B210" s="238"/>
      <c r="C210" s="239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40"/>
      <c r="S210" s="238"/>
      <c r="T210" s="238"/>
      <c r="U210" s="238"/>
      <c r="V210" s="238"/>
      <c r="W210" s="238"/>
      <c r="X210" s="238"/>
      <c r="Y210" s="238"/>
      <c r="Z210" s="240"/>
      <c r="AA210" s="238"/>
      <c r="AB210" s="238"/>
      <c r="AC210" s="238"/>
      <c r="AD210" s="238"/>
      <c r="AE210" s="238"/>
      <c r="AF210" s="238"/>
      <c r="AG210" s="238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95"/>
      <c r="BP210" s="95"/>
      <c r="BQ210" s="95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  <c r="CC210" s="96"/>
      <c r="CD210" s="96"/>
      <c r="CE210" s="96"/>
      <c r="CF210" s="96"/>
      <c r="CG210" s="96"/>
    </row>
    <row r="211" spans="1:85" s="148" customFormat="1" ht="16.5" hidden="1" customHeight="1">
      <c r="A211" s="238"/>
      <c r="B211" s="238"/>
      <c r="C211" s="239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40"/>
      <c r="S211" s="238"/>
      <c r="T211" s="238"/>
      <c r="U211" s="238"/>
      <c r="V211" s="238"/>
      <c r="W211" s="238"/>
      <c r="X211" s="238"/>
      <c r="Y211" s="238"/>
      <c r="Z211" s="240"/>
      <c r="AA211" s="238"/>
      <c r="AB211" s="238"/>
      <c r="AC211" s="238"/>
      <c r="AD211" s="238"/>
      <c r="AE211" s="238"/>
      <c r="AF211" s="238"/>
      <c r="AG211" s="238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95"/>
      <c r="BP211" s="95"/>
      <c r="BQ211" s="95"/>
      <c r="BR211" s="96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  <c r="CE211" s="96"/>
      <c r="CF211" s="96"/>
      <c r="CG211" s="96"/>
    </row>
    <row r="212" spans="1:85" s="148" customFormat="1" ht="16.5" hidden="1" customHeight="1">
      <c r="A212" s="238"/>
      <c r="B212" s="238"/>
      <c r="C212" s="239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40"/>
      <c r="S212" s="238"/>
      <c r="T212" s="238"/>
      <c r="U212" s="238"/>
      <c r="V212" s="238"/>
      <c r="W212" s="238"/>
      <c r="X212" s="238"/>
      <c r="Y212" s="238"/>
      <c r="Z212" s="240"/>
      <c r="AA212" s="238"/>
      <c r="AB212" s="238"/>
      <c r="AC212" s="238"/>
      <c r="AD212" s="238"/>
      <c r="AE212" s="238"/>
      <c r="AF212" s="238"/>
      <c r="AG212" s="238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95"/>
      <c r="BP212" s="95"/>
      <c r="BQ212" s="95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96"/>
      <c r="CF212" s="96"/>
      <c r="CG212" s="96"/>
    </row>
    <row r="213" spans="1:85" s="148" customFormat="1" ht="16.5" hidden="1" customHeight="1">
      <c r="A213" s="238"/>
      <c r="B213" s="238"/>
      <c r="C213" s="239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40"/>
      <c r="S213" s="238"/>
      <c r="T213" s="238"/>
      <c r="U213" s="238"/>
      <c r="V213" s="238"/>
      <c r="W213" s="238"/>
      <c r="X213" s="238"/>
      <c r="Y213" s="238"/>
      <c r="Z213" s="240"/>
      <c r="AA213" s="238"/>
      <c r="AB213" s="238"/>
      <c r="AC213" s="238"/>
      <c r="AD213" s="238"/>
      <c r="AE213" s="238"/>
      <c r="AF213" s="238"/>
      <c r="AG213" s="238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6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  <c r="CE213" s="96"/>
      <c r="CF213" s="96"/>
      <c r="CG213" s="96"/>
    </row>
    <row r="214" spans="1:85" s="148" customFormat="1" ht="16.5" hidden="1" customHeight="1">
      <c r="A214" s="238"/>
      <c r="B214" s="238"/>
      <c r="C214" s="239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40"/>
      <c r="S214" s="238"/>
      <c r="T214" s="238"/>
      <c r="U214" s="238"/>
      <c r="V214" s="238"/>
      <c r="W214" s="238"/>
      <c r="X214" s="238"/>
      <c r="Y214" s="238"/>
      <c r="Z214" s="240"/>
      <c r="AA214" s="238"/>
      <c r="AB214" s="238"/>
      <c r="AC214" s="238"/>
      <c r="AD214" s="238"/>
      <c r="AE214" s="238"/>
      <c r="AF214" s="238"/>
      <c r="AG214" s="238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95"/>
      <c r="BP214" s="95"/>
      <c r="BQ214" s="95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96"/>
      <c r="CF214" s="96"/>
      <c r="CG214" s="96"/>
    </row>
    <row r="215" spans="1:85" s="148" customFormat="1" ht="16.5" hidden="1" customHeight="1">
      <c r="A215" s="238"/>
      <c r="B215" s="238"/>
      <c r="C215" s="239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40"/>
      <c r="S215" s="238"/>
      <c r="T215" s="238"/>
      <c r="U215" s="238"/>
      <c r="V215" s="238"/>
      <c r="W215" s="238"/>
      <c r="X215" s="238"/>
      <c r="Y215" s="238"/>
      <c r="Z215" s="240"/>
      <c r="AA215" s="238"/>
      <c r="AB215" s="238"/>
      <c r="AC215" s="238"/>
      <c r="AD215" s="238"/>
      <c r="AE215" s="238"/>
      <c r="AF215" s="238"/>
      <c r="AG215" s="238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5"/>
      <c r="BK215" s="95"/>
      <c r="BL215" s="95"/>
      <c r="BM215" s="95"/>
      <c r="BN215" s="95"/>
      <c r="BO215" s="95"/>
      <c r="BP215" s="95"/>
      <c r="BQ215" s="95"/>
      <c r="BR215" s="96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  <c r="CE215" s="96"/>
      <c r="CF215" s="96"/>
      <c r="CG215" s="96"/>
    </row>
    <row r="216" spans="1:85" s="148" customFormat="1" ht="16.5" hidden="1" customHeight="1">
      <c r="A216" s="238"/>
      <c r="B216" s="238"/>
      <c r="C216" s="239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40"/>
      <c r="S216" s="238"/>
      <c r="T216" s="238"/>
      <c r="U216" s="238"/>
      <c r="V216" s="238"/>
      <c r="W216" s="238"/>
      <c r="X216" s="238"/>
      <c r="Y216" s="238"/>
      <c r="Z216" s="240"/>
      <c r="AA216" s="238"/>
      <c r="AB216" s="238"/>
      <c r="AC216" s="238"/>
      <c r="AD216" s="238"/>
      <c r="AE216" s="238"/>
      <c r="AF216" s="238"/>
      <c r="AG216" s="238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  <c r="BM216" s="95"/>
      <c r="BN216" s="95"/>
      <c r="BO216" s="95"/>
      <c r="BP216" s="95"/>
      <c r="BQ216" s="95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  <c r="CC216" s="96"/>
      <c r="CD216" s="96"/>
      <c r="CE216" s="96"/>
      <c r="CF216" s="96"/>
      <c r="CG216" s="96"/>
    </row>
    <row r="217" spans="1:85" s="148" customFormat="1" ht="16.5" hidden="1" customHeight="1">
      <c r="A217" s="238"/>
      <c r="B217" s="238"/>
      <c r="C217" s="239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40"/>
      <c r="S217" s="238"/>
      <c r="T217" s="238"/>
      <c r="U217" s="238"/>
      <c r="V217" s="238"/>
      <c r="W217" s="238"/>
      <c r="X217" s="238"/>
      <c r="Y217" s="238"/>
      <c r="Z217" s="240"/>
      <c r="AA217" s="238"/>
      <c r="AB217" s="238"/>
      <c r="AC217" s="238"/>
      <c r="AD217" s="238"/>
      <c r="AE217" s="238"/>
      <c r="AF217" s="238"/>
      <c r="AG217" s="238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5"/>
      <c r="BK217" s="95"/>
      <c r="BL217" s="95"/>
      <c r="BM217" s="95"/>
      <c r="BN217" s="95"/>
      <c r="BO217" s="95"/>
      <c r="BP217" s="95"/>
      <c r="BQ217" s="95"/>
      <c r="BR217" s="96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  <c r="CE217" s="96"/>
      <c r="CF217" s="96"/>
      <c r="CG217" s="96"/>
    </row>
    <row r="218" spans="1:85" s="148" customFormat="1" ht="16.5" hidden="1" customHeight="1">
      <c r="A218" s="238"/>
      <c r="B218" s="238"/>
      <c r="C218" s="239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40"/>
      <c r="S218" s="238"/>
      <c r="T218" s="238"/>
      <c r="U218" s="238"/>
      <c r="V218" s="238"/>
      <c r="W218" s="238"/>
      <c r="X218" s="238"/>
      <c r="Y218" s="238"/>
      <c r="Z218" s="240"/>
      <c r="AA218" s="238"/>
      <c r="AB218" s="238"/>
      <c r="AC218" s="238"/>
      <c r="AD218" s="238"/>
      <c r="AE218" s="238"/>
      <c r="AF218" s="238"/>
      <c r="AG218" s="238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  <c r="BM218" s="95"/>
      <c r="BN218" s="95"/>
      <c r="BO218" s="95"/>
      <c r="BP218" s="95"/>
      <c r="BQ218" s="95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  <c r="CC218" s="96"/>
      <c r="CD218" s="96"/>
      <c r="CE218" s="96"/>
      <c r="CF218" s="96"/>
      <c r="CG218" s="96"/>
    </row>
    <row r="219" spans="1:85" s="148" customFormat="1" ht="16.5" hidden="1" customHeight="1">
      <c r="A219" s="238"/>
      <c r="B219" s="238"/>
      <c r="C219" s="239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40"/>
      <c r="S219" s="238"/>
      <c r="T219" s="238"/>
      <c r="U219" s="238"/>
      <c r="V219" s="238"/>
      <c r="W219" s="238"/>
      <c r="X219" s="238"/>
      <c r="Y219" s="238"/>
      <c r="Z219" s="240"/>
      <c r="AA219" s="238"/>
      <c r="AB219" s="238"/>
      <c r="AC219" s="238"/>
      <c r="AD219" s="238"/>
      <c r="AE219" s="238"/>
      <c r="AF219" s="238"/>
      <c r="AG219" s="238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6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  <c r="CE219" s="96"/>
      <c r="CF219" s="96"/>
      <c r="CG219" s="96"/>
    </row>
    <row r="220" spans="1:85" s="148" customFormat="1" ht="16.5" hidden="1" customHeight="1">
      <c r="A220" s="238"/>
      <c r="B220" s="238"/>
      <c r="C220" s="239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40"/>
      <c r="S220" s="238"/>
      <c r="T220" s="238"/>
      <c r="U220" s="238"/>
      <c r="V220" s="238"/>
      <c r="W220" s="238"/>
      <c r="X220" s="238"/>
      <c r="Y220" s="238"/>
      <c r="Z220" s="240"/>
      <c r="AA220" s="238"/>
      <c r="AB220" s="238"/>
      <c r="AC220" s="238"/>
      <c r="AD220" s="238"/>
      <c r="AE220" s="238"/>
      <c r="AF220" s="238"/>
      <c r="AG220" s="238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  <c r="CC220" s="96"/>
      <c r="CD220" s="96"/>
      <c r="CE220" s="96"/>
      <c r="CF220" s="96"/>
      <c r="CG220" s="96"/>
    </row>
    <row r="221" spans="1:85" s="148" customFormat="1" ht="16.5" hidden="1" customHeight="1">
      <c r="A221" s="238"/>
      <c r="B221" s="238"/>
      <c r="C221" s="239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40"/>
      <c r="S221" s="238"/>
      <c r="T221" s="238"/>
      <c r="U221" s="238"/>
      <c r="V221" s="238"/>
      <c r="W221" s="238"/>
      <c r="X221" s="238"/>
      <c r="Y221" s="238"/>
      <c r="Z221" s="240"/>
      <c r="AA221" s="238"/>
      <c r="AB221" s="238"/>
      <c r="AC221" s="238"/>
      <c r="AD221" s="238"/>
      <c r="AE221" s="238"/>
      <c r="AF221" s="238"/>
      <c r="AG221" s="238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6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  <c r="CE221" s="96"/>
      <c r="CF221" s="96"/>
      <c r="CG221" s="96"/>
    </row>
    <row r="222" spans="1:85" s="148" customFormat="1" ht="16.5" hidden="1" customHeight="1">
      <c r="A222" s="238"/>
      <c r="B222" s="238"/>
      <c r="C222" s="239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40"/>
      <c r="S222" s="238"/>
      <c r="T222" s="238"/>
      <c r="U222" s="238"/>
      <c r="V222" s="238"/>
      <c r="W222" s="238"/>
      <c r="X222" s="238"/>
      <c r="Y222" s="238"/>
      <c r="Z222" s="240"/>
      <c r="AA222" s="238"/>
      <c r="AB222" s="238"/>
      <c r="AC222" s="238"/>
      <c r="AD222" s="238"/>
      <c r="AE222" s="238"/>
      <c r="AF222" s="238"/>
      <c r="AG222" s="238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  <c r="BM222" s="95"/>
      <c r="BN222" s="95"/>
      <c r="BO222" s="95"/>
      <c r="BP222" s="95"/>
      <c r="BQ222" s="95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96"/>
      <c r="CF222" s="96"/>
      <c r="CG222" s="96"/>
    </row>
    <row r="223" spans="1:85" s="148" customFormat="1" ht="16.5" hidden="1" customHeight="1">
      <c r="A223" s="238"/>
      <c r="B223" s="238"/>
      <c r="C223" s="239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40"/>
      <c r="S223" s="238"/>
      <c r="T223" s="238"/>
      <c r="U223" s="238"/>
      <c r="V223" s="238"/>
      <c r="W223" s="238"/>
      <c r="X223" s="238"/>
      <c r="Y223" s="238"/>
      <c r="Z223" s="240"/>
      <c r="AA223" s="238"/>
      <c r="AB223" s="238"/>
      <c r="AC223" s="238"/>
      <c r="AD223" s="238"/>
      <c r="AE223" s="238"/>
      <c r="AF223" s="238"/>
      <c r="AG223" s="238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96"/>
      <c r="CF223" s="96"/>
      <c r="CG223" s="96"/>
    </row>
    <row r="224" spans="1:85" s="148" customFormat="1" ht="16.5" hidden="1" customHeight="1">
      <c r="A224" s="238"/>
      <c r="B224" s="238"/>
      <c r="C224" s="239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40"/>
      <c r="S224" s="238"/>
      <c r="T224" s="238"/>
      <c r="U224" s="238"/>
      <c r="V224" s="238"/>
      <c r="W224" s="238"/>
      <c r="X224" s="238"/>
      <c r="Y224" s="238"/>
      <c r="Z224" s="240"/>
      <c r="AA224" s="238"/>
      <c r="AB224" s="238"/>
      <c r="AC224" s="238"/>
      <c r="AD224" s="238"/>
      <c r="AE224" s="238"/>
      <c r="AF224" s="238"/>
      <c r="AG224" s="238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  <c r="CC224" s="96"/>
      <c r="CD224" s="96"/>
      <c r="CE224" s="96"/>
      <c r="CF224" s="96"/>
      <c r="CG224" s="96"/>
    </row>
    <row r="225" spans="1:85" s="148" customFormat="1" ht="16.5" hidden="1" customHeight="1">
      <c r="A225" s="238"/>
      <c r="B225" s="238"/>
      <c r="C225" s="239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40"/>
      <c r="S225" s="238"/>
      <c r="T225" s="238"/>
      <c r="U225" s="238"/>
      <c r="V225" s="238"/>
      <c r="W225" s="238"/>
      <c r="X225" s="238"/>
      <c r="Y225" s="238"/>
      <c r="Z225" s="240"/>
      <c r="AA225" s="238"/>
      <c r="AB225" s="238"/>
      <c r="AC225" s="238"/>
      <c r="AD225" s="238"/>
      <c r="AE225" s="238"/>
      <c r="AF225" s="238"/>
      <c r="AG225" s="238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6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  <c r="CE225" s="96"/>
      <c r="CF225" s="96"/>
      <c r="CG225" s="96"/>
    </row>
    <row r="226" spans="1:85" s="148" customFormat="1" ht="16.5" hidden="1" customHeight="1">
      <c r="A226" s="238"/>
      <c r="B226" s="238"/>
      <c r="C226" s="239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40"/>
      <c r="S226" s="238"/>
      <c r="T226" s="238"/>
      <c r="U226" s="238"/>
      <c r="V226" s="238"/>
      <c r="W226" s="238"/>
      <c r="X226" s="238"/>
      <c r="Y226" s="238"/>
      <c r="Z226" s="240"/>
      <c r="AA226" s="238"/>
      <c r="AB226" s="238"/>
      <c r="AC226" s="238"/>
      <c r="AD226" s="238"/>
      <c r="AE226" s="238"/>
      <c r="AF226" s="238"/>
      <c r="AG226" s="238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  <c r="CC226" s="96"/>
      <c r="CD226" s="96"/>
      <c r="CE226" s="96"/>
      <c r="CF226" s="96"/>
      <c r="CG226" s="96"/>
    </row>
    <row r="227" spans="1:85" s="148" customFormat="1" ht="16.5" hidden="1" customHeight="1">
      <c r="A227" s="238"/>
      <c r="B227" s="238"/>
      <c r="C227" s="239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40"/>
      <c r="S227" s="238"/>
      <c r="T227" s="238"/>
      <c r="U227" s="238"/>
      <c r="V227" s="238"/>
      <c r="W227" s="238"/>
      <c r="X227" s="238"/>
      <c r="Y227" s="238"/>
      <c r="Z227" s="240"/>
      <c r="AA227" s="238"/>
      <c r="AB227" s="238"/>
      <c r="AC227" s="238"/>
      <c r="AD227" s="238"/>
      <c r="AE227" s="238"/>
      <c r="AF227" s="238"/>
      <c r="AG227" s="238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6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  <c r="CE227" s="96"/>
      <c r="CF227" s="96"/>
      <c r="CG227" s="96"/>
    </row>
    <row r="228" spans="1:85" s="148" customFormat="1" ht="16.5" hidden="1" customHeight="1">
      <c r="A228" s="238"/>
      <c r="B228" s="238"/>
      <c r="C228" s="239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40"/>
      <c r="S228" s="238"/>
      <c r="T228" s="238"/>
      <c r="U228" s="238"/>
      <c r="V228" s="238"/>
      <c r="W228" s="238"/>
      <c r="X228" s="238"/>
      <c r="Y228" s="238"/>
      <c r="Z228" s="240"/>
      <c r="AA228" s="238"/>
      <c r="AB228" s="238"/>
      <c r="AC228" s="238"/>
      <c r="AD228" s="238"/>
      <c r="AE228" s="238"/>
      <c r="AF228" s="238"/>
      <c r="AG228" s="238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  <c r="CC228" s="96"/>
      <c r="CD228" s="96"/>
      <c r="CE228" s="96"/>
      <c r="CF228" s="96"/>
      <c r="CG228" s="96"/>
    </row>
    <row r="229" spans="1:85" s="148" customFormat="1" ht="16.5" hidden="1" customHeight="1">
      <c r="A229" s="238"/>
      <c r="B229" s="238"/>
      <c r="C229" s="239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40"/>
      <c r="S229" s="238"/>
      <c r="T229" s="238"/>
      <c r="U229" s="238"/>
      <c r="V229" s="238"/>
      <c r="W229" s="238"/>
      <c r="X229" s="238"/>
      <c r="Y229" s="238"/>
      <c r="Z229" s="240"/>
      <c r="AA229" s="238"/>
      <c r="AB229" s="238"/>
      <c r="AC229" s="238"/>
      <c r="AD229" s="238"/>
      <c r="AE229" s="238"/>
      <c r="AF229" s="238"/>
      <c r="AG229" s="238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6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  <c r="CE229" s="96"/>
      <c r="CF229" s="96"/>
      <c r="CG229" s="96"/>
    </row>
    <row r="230" spans="1:85" s="148" customFormat="1" ht="16.5" hidden="1" customHeight="1">
      <c r="A230" s="238"/>
      <c r="B230" s="238"/>
      <c r="C230" s="239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40"/>
      <c r="S230" s="238"/>
      <c r="T230" s="238"/>
      <c r="U230" s="238"/>
      <c r="V230" s="238"/>
      <c r="W230" s="238"/>
      <c r="X230" s="238"/>
      <c r="Y230" s="238"/>
      <c r="Z230" s="240"/>
      <c r="AA230" s="238"/>
      <c r="AB230" s="238"/>
      <c r="AC230" s="238"/>
      <c r="AD230" s="238"/>
      <c r="AE230" s="238"/>
      <c r="AF230" s="238"/>
      <c r="AG230" s="238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96"/>
      <c r="CF230" s="96"/>
      <c r="CG230" s="96"/>
    </row>
    <row r="231" spans="1:85" s="148" customFormat="1" ht="16.5" hidden="1" customHeight="1">
      <c r="A231" s="238"/>
      <c r="B231" s="238"/>
      <c r="C231" s="239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40"/>
      <c r="S231" s="238"/>
      <c r="T231" s="238"/>
      <c r="U231" s="238"/>
      <c r="V231" s="238"/>
      <c r="W231" s="238"/>
      <c r="X231" s="238"/>
      <c r="Y231" s="238"/>
      <c r="Z231" s="240"/>
      <c r="AA231" s="238"/>
      <c r="AB231" s="238"/>
      <c r="AC231" s="238"/>
      <c r="AD231" s="238"/>
      <c r="AE231" s="238"/>
      <c r="AF231" s="238"/>
      <c r="AG231" s="238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6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  <c r="CE231" s="96"/>
      <c r="CF231" s="96"/>
      <c r="CG231" s="96"/>
    </row>
    <row r="232" spans="1:85" s="148" customFormat="1" ht="16.5" hidden="1" customHeight="1">
      <c r="A232" s="238"/>
      <c r="B232" s="238"/>
      <c r="C232" s="239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40"/>
      <c r="S232" s="238"/>
      <c r="T232" s="238"/>
      <c r="U232" s="238"/>
      <c r="V232" s="238"/>
      <c r="W232" s="238"/>
      <c r="X232" s="238"/>
      <c r="Y232" s="238"/>
      <c r="Z232" s="240"/>
      <c r="AA232" s="238"/>
      <c r="AB232" s="238"/>
      <c r="AC232" s="238"/>
      <c r="AD232" s="238"/>
      <c r="AE232" s="238"/>
      <c r="AF232" s="238"/>
      <c r="AG232" s="238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  <c r="CC232" s="96"/>
      <c r="CD232" s="96"/>
      <c r="CE232" s="96"/>
      <c r="CF232" s="96"/>
      <c r="CG232" s="96"/>
    </row>
    <row r="233" spans="1:85" s="148" customFormat="1" ht="16.5" hidden="1" customHeight="1">
      <c r="A233" s="238"/>
      <c r="B233" s="238"/>
      <c r="C233" s="239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40"/>
      <c r="S233" s="238"/>
      <c r="T233" s="238"/>
      <c r="U233" s="238"/>
      <c r="V233" s="238"/>
      <c r="W233" s="238"/>
      <c r="X233" s="238"/>
      <c r="Y233" s="238"/>
      <c r="Z233" s="240"/>
      <c r="AA233" s="238"/>
      <c r="AB233" s="238"/>
      <c r="AC233" s="238"/>
      <c r="AD233" s="238"/>
      <c r="AE233" s="238"/>
      <c r="AF233" s="238"/>
      <c r="AG233" s="238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6"/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  <c r="CE233" s="96"/>
      <c r="CF233" s="96"/>
      <c r="CG233" s="96"/>
    </row>
    <row r="234" spans="1:85" s="148" customFormat="1" ht="16.5" hidden="1" customHeight="1">
      <c r="A234" s="238"/>
      <c r="B234" s="238"/>
      <c r="C234" s="239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40"/>
      <c r="S234" s="238"/>
      <c r="T234" s="238"/>
      <c r="U234" s="238"/>
      <c r="V234" s="238"/>
      <c r="W234" s="238"/>
      <c r="X234" s="238"/>
      <c r="Y234" s="238"/>
      <c r="Z234" s="240"/>
      <c r="AA234" s="238"/>
      <c r="AB234" s="238"/>
      <c r="AC234" s="238"/>
      <c r="AD234" s="238"/>
      <c r="AE234" s="238"/>
      <c r="AF234" s="238"/>
      <c r="AG234" s="238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95"/>
      <c r="BP234" s="95"/>
      <c r="BQ234" s="95"/>
      <c r="BR234" s="96"/>
      <c r="BS234" s="96"/>
      <c r="BT234" s="96"/>
      <c r="BU234" s="96"/>
      <c r="BV234" s="96"/>
      <c r="BW234" s="96"/>
      <c r="BX234" s="96"/>
      <c r="BY234" s="96"/>
      <c r="BZ234" s="96"/>
      <c r="CA234" s="96"/>
      <c r="CB234" s="96"/>
      <c r="CC234" s="96"/>
      <c r="CD234" s="96"/>
      <c r="CE234" s="96"/>
      <c r="CF234" s="96"/>
      <c r="CG234" s="96"/>
    </row>
    <row r="235" spans="1:85" s="148" customFormat="1" ht="16.5" hidden="1" customHeight="1">
      <c r="A235" s="238"/>
      <c r="B235" s="238"/>
      <c r="C235" s="239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40"/>
      <c r="S235" s="238"/>
      <c r="T235" s="238"/>
      <c r="U235" s="238"/>
      <c r="V235" s="238"/>
      <c r="W235" s="238"/>
      <c r="X235" s="238"/>
      <c r="Y235" s="238"/>
      <c r="Z235" s="240"/>
      <c r="AA235" s="238"/>
      <c r="AB235" s="238"/>
      <c r="AC235" s="238"/>
      <c r="AD235" s="238"/>
      <c r="AE235" s="238"/>
      <c r="AF235" s="238"/>
      <c r="AG235" s="238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95"/>
      <c r="BP235" s="95"/>
      <c r="BQ235" s="95"/>
      <c r="BR235" s="96"/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  <c r="CE235" s="96"/>
      <c r="CF235" s="96"/>
      <c r="CG235" s="96"/>
    </row>
    <row r="236" spans="1:85" s="148" customFormat="1" ht="16.5" hidden="1" customHeight="1">
      <c r="A236" s="238"/>
      <c r="B236" s="238"/>
      <c r="C236" s="239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40"/>
      <c r="S236" s="238"/>
      <c r="T236" s="238"/>
      <c r="U236" s="238"/>
      <c r="V236" s="238"/>
      <c r="W236" s="238"/>
      <c r="X236" s="238"/>
      <c r="Y236" s="238"/>
      <c r="Z236" s="240"/>
      <c r="AA236" s="238"/>
      <c r="AB236" s="238"/>
      <c r="AC236" s="238"/>
      <c r="AD236" s="238"/>
      <c r="AE236" s="238"/>
      <c r="AF236" s="238"/>
      <c r="AG236" s="238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  <c r="BM236" s="95"/>
      <c r="BN236" s="95"/>
      <c r="BO236" s="95"/>
      <c r="BP236" s="95"/>
      <c r="BQ236" s="95"/>
      <c r="BR236" s="96"/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  <c r="CC236" s="96"/>
      <c r="CD236" s="96"/>
      <c r="CE236" s="96"/>
      <c r="CF236" s="96"/>
      <c r="CG236" s="96"/>
    </row>
    <row r="237" spans="1:85" s="148" customFormat="1" ht="16.5" hidden="1" customHeight="1">
      <c r="A237" s="238"/>
      <c r="B237" s="238"/>
      <c r="C237" s="239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40"/>
      <c r="S237" s="238"/>
      <c r="T237" s="238"/>
      <c r="U237" s="238"/>
      <c r="V237" s="238"/>
      <c r="W237" s="238"/>
      <c r="X237" s="238"/>
      <c r="Y237" s="238"/>
      <c r="Z237" s="240"/>
      <c r="AA237" s="238"/>
      <c r="AB237" s="238"/>
      <c r="AC237" s="238"/>
      <c r="AD237" s="238"/>
      <c r="AE237" s="238"/>
      <c r="AF237" s="238"/>
      <c r="AG237" s="238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5"/>
      <c r="BK237" s="95"/>
      <c r="BL237" s="95"/>
      <c r="BM237" s="95"/>
      <c r="BN237" s="95"/>
      <c r="BO237" s="95"/>
      <c r="BP237" s="95"/>
      <c r="BQ237" s="95"/>
      <c r="BR237" s="96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  <c r="CE237" s="96"/>
      <c r="CF237" s="96"/>
      <c r="CG237" s="96"/>
    </row>
    <row r="238" spans="1:85" s="148" customFormat="1" ht="16.5" hidden="1" customHeight="1">
      <c r="A238" s="238"/>
      <c r="B238" s="238"/>
      <c r="C238" s="239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40"/>
      <c r="S238" s="238"/>
      <c r="T238" s="238"/>
      <c r="U238" s="238"/>
      <c r="V238" s="238"/>
      <c r="W238" s="238"/>
      <c r="X238" s="238"/>
      <c r="Y238" s="238"/>
      <c r="Z238" s="240"/>
      <c r="AA238" s="238"/>
      <c r="AB238" s="238"/>
      <c r="AC238" s="238"/>
      <c r="AD238" s="238"/>
      <c r="AE238" s="238"/>
      <c r="AF238" s="238"/>
      <c r="AG238" s="238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  <c r="CC238" s="96"/>
      <c r="CD238" s="96"/>
      <c r="CE238" s="96"/>
      <c r="CF238" s="96"/>
      <c r="CG238" s="96"/>
    </row>
    <row r="239" spans="1:85" s="148" customFormat="1" ht="16.5" hidden="1" customHeight="1">
      <c r="A239" s="238"/>
      <c r="B239" s="238"/>
      <c r="C239" s="239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40"/>
      <c r="S239" s="238"/>
      <c r="T239" s="238"/>
      <c r="U239" s="238"/>
      <c r="V239" s="238"/>
      <c r="W239" s="238"/>
      <c r="X239" s="238"/>
      <c r="Y239" s="238"/>
      <c r="Z239" s="240"/>
      <c r="AA239" s="238"/>
      <c r="AB239" s="238"/>
      <c r="AC239" s="238"/>
      <c r="AD239" s="238"/>
      <c r="AE239" s="238"/>
      <c r="AF239" s="238"/>
      <c r="AG239" s="238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6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  <c r="CE239" s="96"/>
      <c r="CF239" s="96"/>
      <c r="CG239" s="96"/>
    </row>
    <row r="240" spans="1:85" s="148" customFormat="1" ht="16.5" hidden="1" customHeight="1">
      <c r="A240" s="238"/>
      <c r="B240" s="238"/>
      <c r="C240" s="239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40"/>
      <c r="S240" s="238"/>
      <c r="T240" s="238"/>
      <c r="U240" s="238"/>
      <c r="V240" s="238"/>
      <c r="W240" s="238"/>
      <c r="X240" s="238"/>
      <c r="Y240" s="238"/>
      <c r="Z240" s="240"/>
      <c r="AA240" s="238"/>
      <c r="AB240" s="238"/>
      <c r="AC240" s="238"/>
      <c r="AD240" s="238"/>
      <c r="AE240" s="238"/>
      <c r="AF240" s="238"/>
      <c r="AG240" s="238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  <c r="CC240" s="96"/>
      <c r="CD240" s="96"/>
      <c r="CE240" s="96"/>
      <c r="CF240" s="96"/>
      <c r="CG240" s="96"/>
    </row>
    <row r="241" spans="1:85" s="148" customFormat="1" ht="16.5" hidden="1" customHeight="1">
      <c r="A241" s="238"/>
      <c r="B241" s="238"/>
      <c r="C241" s="239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40"/>
      <c r="S241" s="238"/>
      <c r="T241" s="238"/>
      <c r="U241" s="238"/>
      <c r="V241" s="238"/>
      <c r="W241" s="238"/>
      <c r="X241" s="238"/>
      <c r="Y241" s="238"/>
      <c r="Z241" s="240"/>
      <c r="AA241" s="238"/>
      <c r="AB241" s="238"/>
      <c r="AC241" s="238"/>
      <c r="AD241" s="238"/>
      <c r="AE241" s="238"/>
      <c r="AF241" s="238"/>
      <c r="AG241" s="238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96"/>
      <c r="CF241" s="96"/>
      <c r="CG241" s="96"/>
    </row>
    <row r="242" spans="1:85" s="148" customFormat="1" ht="16.5" hidden="1" customHeight="1">
      <c r="A242" s="238"/>
      <c r="B242" s="238"/>
      <c r="C242" s="239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40"/>
      <c r="S242" s="238"/>
      <c r="T242" s="238"/>
      <c r="U242" s="238"/>
      <c r="V242" s="238"/>
      <c r="W242" s="238"/>
      <c r="X242" s="238"/>
      <c r="Y242" s="238"/>
      <c r="Z242" s="240"/>
      <c r="AA242" s="238"/>
      <c r="AB242" s="238"/>
      <c r="AC242" s="238"/>
      <c r="AD242" s="238"/>
      <c r="AE242" s="238"/>
      <c r="AF242" s="238"/>
      <c r="AG242" s="238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  <c r="CC242" s="96"/>
      <c r="CD242" s="96"/>
      <c r="CE242" s="96"/>
      <c r="CF242" s="96"/>
      <c r="CG242" s="96"/>
    </row>
    <row r="243" spans="1:85" s="148" customFormat="1" ht="16.5" hidden="1" customHeight="1">
      <c r="A243" s="238"/>
      <c r="B243" s="238"/>
      <c r="C243" s="239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40"/>
      <c r="S243" s="238"/>
      <c r="T243" s="238"/>
      <c r="U243" s="238"/>
      <c r="V243" s="238"/>
      <c r="W243" s="238"/>
      <c r="X243" s="238"/>
      <c r="Y243" s="238"/>
      <c r="Z243" s="240"/>
      <c r="AA243" s="238"/>
      <c r="AB243" s="238"/>
      <c r="AC243" s="238"/>
      <c r="AD243" s="238"/>
      <c r="AE243" s="238"/>
      <c r="AF243" s="238"/>
      <c r="AG243" s="238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/>
      <c r="BQ243" s="95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  <c r="CE243" s="96"/>
      <c r="CF243" s="96"/>
      <c r="CG243" s="96"/>
    </row>
    <row r="244" spans="1:85" s="148" customFormat="1" ht="16.5" hidden="1" customHeight="1">
      <c r="A244" s="238"/>
      <c r="B244" s="238"/>
      <c r="C244" s="239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40"/>
      <c r="S244" s="238"/>
      <c r="T244" s="238"/>
      <c r="U244" s="238"/>
      <c r="V244" s="238"/>
      <c r="W244" s="238"/>
      <c r="X244" s="238"/>
      <c r="Y244" s="238"/>
      <c r="Z244" s="240"/>
      <c r="AA244" s="238"/>
      <c r="AB244" s="238"/>
      <c r="AC244" s="238"/>
      <c r="AD244" s="238"/>
      <c r="AE244" s="238"/>
      <c r="AF244" s="238"/>
      <c r="AG244" s="238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  <c r="CC244" s="96"/>
      <c r="CD244" s="96"/>
      <c r="CE244" s="96"/>
      <c r="CF244" s="96"/>
      <c r="CG244" s="96"/>
    </row>
    <row r="245" spans="1:85" s="148" customFormat="1" ht="16.5" hidden="1" customHeight="1">
      <c r="A245" s="238"/>
      <c r="B245" s="238"/>
      <c r="C245" s="239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40"/>
      <c r="S245" s="238"/>
      <c r="T245" s="238"/>
      <c r="U245" s="238"/>
      <c r="V245" s="238"/>
      <c r="W245" s="238"/>
      <c r="X245" s="238"/>
      <c r="Y245" s="238"/>
      <c r="Z245" s="240"/>
      <c r="AA245" s="238"/>
      <c r="AB245" s="238"/>
      <c r="AC245" s="238"/>
      <c r="AD245" s="238"/>
      <c r="AE245" s="238"/>
      <c r="AF245" s="238"/>
      <c r="AG245" s="238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6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  <c r="CE245" s="96"/>
      <c r="CF245" s="96"/>
      <c r="CG245" s="96"/>
    </row>
    <row r="246" spans="1:85" s="148" customFormat="1" ht="16.5" hidden="1" customHeight="1">
      <c r="A246" s="238"/>
      <c r="B246" s="238"/>
      <c r="C246" s="239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40"/>
      <c r="S246" s="238"/>
      <c r="T246" s="238"/>
      <c r="U246" s="238"/>
      <c r="V246" s="238"/>
      <c r="W246" s="238"/>
      <c r="X246" s="238"/>
      <c r="Y246" s="238"/>
      <c r="Z246" s="240"/>
      <c r="AA246" s="238"/>
      <c r="AB246" s="238"/>
      <c r="AC246" s="238"/>
      <c r="AD246" s="238"/>
      <c r="AE246" s="238"/>
      <c r="AF246" s="238"/>
      <c r="AG246" s="238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  <c r="CC246" s="96"/>
      <c r="CD246" s="96"/>
      <c r="CE246" s="96"/>
      <c r="CF246" s="96"/>
      <c r="CG246" s="96"/>
    </row>
    <row r="247" spans="1:85" s="148" customFormat="1" ht="16.5" hidden="1" customHeight="1">
      <c r="A247" s="238"/>
      <c r="B247" s="238"/>
      <c r="C247" s="239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40"/>
      <c r="S247" s="238"/>
      <c r="T247" s="238"/>
      <c r="U247" s="238"/>
      <c r="V247" s="238"/>
      <c r="W247" s="238"/>
      <c r="X247" s="238"/>
      <c r="Y247" s="238"/>
      <c r="Z247" s="240"/>
      <c r="AA247" s="238"/>
      <c r="AB247" s="238"/>
      <c r="AC247" s="238"/>
      <c r="AD247" s="238"/>
      <c r="AE247" s="238"/>
      <c r="AF247" s="238"/>
      <c r="AG247" s="238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95"/>
      <c r="BP247" s="95"/>
      <c r="BQ247" s="95"/>
      <c r="BR247" s="96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  <c r="CE247" s="96"/>
      <c r="CF247" s="96"/>
      <c r="CG247" s="96"/>
    </row>
    <row r="248" spans="1:85" s="148" customFormat="1" ht="16.5" hidden="1" customHeight="1">
      <c r="A248" s="238"/>
      <c r="B248" s="238"/>
      <c r="C248" s="239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40"/>
      <c r="S248" s="238"/>
      <c r="T248" s="238"/>
      <c r="U248" s="238"/>
      <c r="V248" s="238"/>
      <c r="W248" s="238"/>
      <c r="X248" s="238"/>
      <c r="Y248" s="238"/>
      <c r="Z248" s="240"/>
      <c r="AA248" s="238"/>
      <c r="AB248" s="238"/>
      <c r="AC248" s="238"/>
      <c r="AD248" s="238"/>
      <c r="AE248" s="238"/>
      <c r="AF248" s="238"/>
      <c r="AG248" s="238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95"/>
      <c r="BP248" s="95"/>
      <c r="BQ248" s="95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6"/>
      <c r="CD248" s="96"/>
      <c r="CE248" s="96"/>
      <c r="CF248" s="96"/>
      <c r="CG248" s="96"/>
    </row>
    <row r="249" spans="1:85" s="96" customFormat="1" ht="16.5" hidden="1" customHeight="1">
      <c r="A249" s="232"/>
      <c r="B249" s="232"/>
      <c r="C249" s="236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7"/>
      <c r="S249" s="232"/>
      <c r="T249" s="232"/>
      <c r="U249" s="232"/>
      <c r="V249" s="232"/>
      <c r="W249" s="232"/>
      <c r="X249" s="232"/>
      <c r="Y249" s="232"/>
      <c r="Z249" s="237"/>
      <c r="AA249" s="232"/>
      <c r="AB249" s="232"/>
      <c r="AC249" s="232"/>
      <c r="AD249" s="232"/>
      <c r="AE249" s="232"/>
      <c r="AF249" s="232"/>
      <c r="AG249" s="232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/>
      <c r="BM249" s="95"/>
      <c r="BN249" s="95"/>
      <c r="BO249" s="95"/>
      <c r="BP249" s="95"/>
      <c r="BQ249" s="95"/>
    </row>
    <row r="250" spans="1:85" s="96" customFormat="1" ht="16.5" hidden="1" customHeight="1">
      <c r="A250" s="232"/>
      <c r="B250" s="232"/>
      <c r="C250" s="236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7"/>
      <c r="S250" s="232"/>
      <c r="T250" s="232"/>
      <c r="U250" s="232"/>
      <c r="V250" s="232"/>
      <c r="W250" s="232"/>
      <c r="X250" s="232"/>
      <c r="Y250" s="232"/>
      <c r="Z250" s="237"/>
      <c r="AA250" s="232"/>
      <c r="AB250" s="232"/>
      <c r="AC250" s="232"/>
      <c r="AD250" s="232"/>
      <c r="AE250" s="232"/>
      <c r="AF250" s="232"/>
      <c r="AG250" s="232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</row>
    <row r="251" spans="1:85" s="96" customFormat="1" ht="16.5" hidden="1" customHeight="1">
      <c r="A251" s="232"/>
      <c r="B251" s="232"/>
      <c r="C251" s="236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7"/>
      <c r="S251" s="232"/>
      <c r="T251" s="232"/>
      <c r="U251" s="232"/>
      <c r="V251" s="232"/>
      <c r="W251" s="232"/>
      <c r="X251" s="232"/>
      <c r="Y251" s="232"/>
      <c r="Z251" s="237"/>
      <c r="AA251" s="232"/>
      <c r="AB251" s="232"/>
      <c r="AC251" s="232"/>
      <c r="AD251" s="232"/>
      <c r="AE251" s="232"/>
      <c r="AF251" s="232"/>
      <c r="AG251" s="232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</row>
    <row r="252" spans="1:85" s="96" customFormat="1" ht="16.5" hidden="1" customHeight="1">
      <c r="A252" s="232"/>
      <c r="B252" s="232"/>
      <c r="C252" s="236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7"/>
      <c r="S252" s="232"/>
      <c r="T252" s="232"/>
      <c r="U252" s="232"/>
      <c r="V252" s="232"/>
      <c r="W252" s="232"/>
      <c r="X252" s="232"/>
      <c r="Y252" s="232"/>
      <c r="Z252" s="237"/>
      <c r="AA252" s="232"/>
      <c r="AB252" s="232"/>
      <c r="AC252" s="232"/>
      <c r="AD252" s="232"/>
      <c r="AE252" s="232"/>
      <c r="AF252" s="232"/>
      <c r="AG252" s="232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95"/>
      <c r="BP252" s="95"/>
      <c r="BQ252" s="95"/>
    </row>
    <row r="253" spans="1:85" s="96" customFormat="1" ht="16.5" hidden="1" customHeight="1">
      <c r="A253" s="232"/>
      <c r="B253" s="232"/>
      <c r="C253" s="236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7"/>
      <c r="S253" s="232"/>
      <c r="T253" s="232"/>
      <c r="U253" s="232"/>
      <c r="V253" s="232"/>
      <c r="W253" s="232"/>
      <c r="X253" s="232"/>
      <c r="Y253" s="232"/>
      <c r="Z253" s="237"/>
      <c r="AA253" s="232"/>
      <c r="AB253" s="232"/>
      <c r="AC253" s="232"/>
      <c r="AD253" s="232"/>
      <c r="AE253" s="232"/>
      <c r="AF253" s="232"/>
      <c r="AG253" s="232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95"/>
      <c r="BP253" s="95"/>
      <c r="BQ253" s="95"/>
    </row>
    <row r="254" spans="1:85" s="96" customFormat="1" ht="16.5" hidden="1" customHeight="1">
      <c r="A254" s="232"/>
      <c r="B254" s="232"/>
      <c r="C254" s="236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7"/>
      <c r="S254" s="232"/>
      <c r="T254" s="232"/>
      <c r="U254" s="232"/>
      <c r="V254" s="232"/>
      <c r="W254" s="232"/>
      <c r="X254" s="232"/>
      <c r="Y254" s="232"/>
      <c r="Z254" s="237"/>
      <c r="AA254" s="232"/>
      <c r="AB254" s="232"/>
      <c r="AC254" s="232"/>
      <c r="AD254" s="232"/>
      <c r="AE254" s="232"/>
      <c r="AF254" s="232"/>
      <c r="AG254" s="232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95"/>
      <c r="BP254" s="95"/>
      <c r="BQ254" s="95"/>
    </row>
    <row r="255" spans="1:85" s="96" customFormat="1" ht="16.5" hidden="1" customHeight="1">
      <c r="A255" s="232"/>
      <c r="B255" s="232"/>
      <c r="C255" s="236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7"/>
      <c r="S255" s="232"/>
      <c r="T255" s="232"/>
      <c r="U255" s="232"/>
      <c r="V255" s="232"/>
      <c r="W255" s="232"/>
      <c r="X255" s="232"/>
      <c r="Y255" s="232"/>
      <c r="Z255" s="237"/>
      <c r="AA255" s="232"/>
      <c r="AB255" s="232"/>
      <c r="AC255" s="232"/>
      <c r="AD255" s="232"/>
      <c r="AE255" s="232"/>
      <c r="AF255" s="232"/>
      <c r="AG255" s="232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95"/>
      <c r="BP255" s="95"/>
      <c r="BQ255" s="95"/>
    </row>
    <row r="256" spans="1:85" s="96" customFormat="1" ht="16.5" hidden="1" customHeight="1">
      <c r="A256" s="232"/>
      <c r="B256" s="232"/>
      <c r="C256" s="236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7"/>
      <c r="S256" s="232"/>
      <c r="T256" s="232"/>
      <c r="U256" s="232"/>
      <c r="V256" s="232"/>
      <c r="W256" s="232"/>
      <c r="X256" s="232"/>
      <c r="Y256" s="232"/>
      <c r="Z256" s="237"/>
      <c r="AA256" s="232"/>
      <c r="AB256" s="232"/>
      <c r="AC256" s="232"/>
      <c r="AD256" s="232"/>
      <c r="AE256" s="232"/>
      <c r="AF256" s="232"/>
      <c r="AG256" s="232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95"/>
      <c r="BP256" s="95"/>
      <c r="BQ256" s="95"/>
    </row>
    <row r="257" spans="1:69" s="96" customFormat="1" ht="16.5" hidden="1" customHeight="1">
      <c r="A257" s="232"/>
      <c r="B257" s="232"/>
      <c r="C257" s="236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7"/>
      <c r="S257" s="232"/>
      <c r="T257" s="232"/>
      <c r="U257" s="232"/>
      <c r="V257" s="232"/>
      <c r="W257" s="232"/>
      <c r="X257" s="232"/>
      <c r="Y257" s="232"/>
      <c r="Z257" s="237"/>
      <c r="AA257" s="232"/>
      <c r="AB257" s="232"/>
      <c r="AC257" s="232"/>
      <c r="AD257" s="232"/>
      <c r="AE257" s="232"/>
      <c r="AF257" s="232"/>
      <c r="AG257" s="232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95"/>
      <c r="BP257" s="95"/>
      <c r="BQ257" s="95"/>
    </row>
    <row r="258" spans="1:69" s="96" customFormat="1" ht="16.5" hidden="1" customHeight="1">
      <c r="A258" s="232"/>
      <c r="B258" s="232"/>
      <c r="C258" s="236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7"/>
      <c r="S258" s="232"/>
      <c r="T258" s="232"/>
      <c r="U258" s="232"/>
      <c r="V258" s="232"/>
      <c r="W258" s="232"/>
      <c r="X258" s="232"/>
      <c r="Y258" s="232"/>
      <c r="Z258" s="237"/>
      <c r="AA258" s="232"/>
      <c r="AB258" s="232"/>
      <c r="AC258" s="232"/>
      <c r="AD258" s="232"/>
      <c r="AE258" s="232"/>
      <c r="AF258" s="232"/>
      <c r="AG258" s="232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95"/>
      <c r="BP258" s="95"/>
      <c r="BQ258" s="95"/>
    </row>
    <row r="259" spans="1:69" s="96" customFormat="1" ht="16.5" hidden="1" customHeight="1">
      <c r="A259" s="232"/>
      <c r="B259" s="232"/>
      <c r="C259" s="236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7"/>
      <c r="S259" s="232"/>
      <c r="T259" s="232"/>
      <c r="U259" s="232"/>
      <c r="V259" s="232"/>
      <c r="W259" s="232"/>
      <c r="X259" s="232"/>
      <c r="Y259" s="232"/>
      <c r="Z259" s="237"/>
      <c r="AA259" s="232"/>
      <c r="AB259" s="232"/>
      <c r="AC259" s="232"/>
      <c r="AD259" s="232"/>
      <c r="AE259" s="232"/>
      <c r="AF259" s="232"/>
      <c r="AG259" s="232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/>
      <c r="BM259" s="95"/>
      <c r="BN259" s="95"/>
      <c r="BO259" s="95"/>
      <c r="BP259" s="95"/>
      <c r="BQ259" s="95"/>
    </row>
    <row r="260" spans="1:69" s="96" customFormat="1" ht="16.5" hidden="1" customHeight="1">
      <c r="A260" s="232"/>
      <c r="B260" s="232"/>
      <c r="C260" s="236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7"/>
      <c r="S260" s="232"/>
      <c r="T260" s="232"/>
      <c r="U260" s="232"/>
      <c r="V260" s="232"/>
      <c r="W260" s="232"/>
      <c r="X260" s="232"/>
      <c r="Y260" s="232"/>
      <c r="Z260" s="237"/>
      <c r="AA260" s="232"/>
      <c r="AB260" s="232"/>
      <c r="AC260" s="232"/>
      <c r="AD260" s="232"/>
      <c r="AE260" s="232"/>
      <c r="AF260" s="232"/>
      <c r="AG260" s="232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95"/>
      <c r="BP260" s="95"/>
      <c r="BQ260" s="95"/>
    </row>
    <row r="261" spans="1:69" s="96" customFormat="1" ht="16.5" hidden="1" customHeight="1">
      <c r="A261" s="232"/>
      <c r="B261" s="232"/>
      <c r="C261" s="236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7"/>
      <c r="S261" s="232"/>
      <c r="T261" s="232"/>
      <c r="U261" s="232"/>
      <c r="V261" s="232"/>
      <c r="W261" s="232"/>
      <c r="X261" s="232"/>
      <c r="Y261" s="232"/>
      <c r="Z261" s="237"/>
      <c r="AA261" s="232"/>
      <c r="AB261" s="232"/>
      <c r="AC261" s="232"/>
      <c r="AD261" s="232"/>
      <c r="AE261" s="232"/>
      <c r="AF261" s="232"/>
      <c r="AG261" s="232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  <c r="BM261" s="95"/>
      <c r="BN261" s="95"/>
      <c r="BO261" s="95"/>
      <c r="BP261" s="95"/>
      <c r="BQ261" s="95"/>
    </row>
    <row r="262" spans="1:69" s="96" customFormat="1" ht="16.5" hidden="1" customHeight="1">
      <c r="A262" s="232"/>
      <c r="B262" s="232"/>
      <c r="C262" s="236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7"/>
      <c r="S262" s="232"/>
      <c r="T262" s="232"/>
      <c r="U262" s="232"/>
      <c r="V262" s="232"/>
      <c r="W262" s="232"/>
      <c r="X262" s="232"/>
      <c r="Y262" s="232"/>
      <c r="Z262" s="237"/>
      <c r="AA262" s="232"/>
      <c r="AB262" s="232"/>
      <c r="AC262" s="232"/>
      <c r="AD262" s="232"/>
      <c r="AE262" s="232"/>
      <c r="AF262" s="232"/>
      <c r="AG262" s="232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95"/>
      <c r="BP262" s="95"/>
      <c r="BQ262" s="95"/>
    </row>
    <row r="263" spans="1:69" s="96" customFormat="1" ht="16.5" hidden="1" customHeight="1">
      <c r="A263" s="232"/>
      <c r="B263" s="232"/>
      <c r="C263" s="236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7"/>
      <c r="S263" s="232"/>
      <c r="T263" s="232"/>
      <c r="U263" s="232"/>
      <c r="V263" s="232"/>
      <c r="W263" s="232"/>
      <c r="X263" s="232"/>
      <c r="Y263" s="232"/>
      <c r="Z263" s="237"/>
      <c r="AA263" s="232"/>
      <c r="AB263" s="232"/>
      <c r="AC263" s="232"/>
      <c r="AD263" s="232"/>
      <c r="AE263" s="232"/>
      <c r="AF263" s="232"/>
      <c r="AG263" s="232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/>
      <c r="BM263" s="95"/>
      <c r="BN263" s="95"/>
      <c r="BO263" s="95"/>
      <c r="BP263" s="95"/>
      <c r="BQ263" s="95"/>
    </row>
    <row r="264" spans="1:69" s="96" customFormat="1" ht="16.5" hidden="1" customHeight="1">
      <c r="A264" s="232"/>
      <c r="B264" s="232"/>
      <c r="C264" s="236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7"/>
      <c r="S264" s="232"/>
      <c r="T264" s="232"/>
      <c r="U264" s="232"/>
      <c r="V264" s="232"/>
      <c r="W264" s="232"/>
      <c r="X264" s="232"/>
      <c r="Y264" s="232"/>
      <c r="Z264" s="237"/>
      <c r="AA264" s="232"/>
      <c r="AB264" s="232"/>
      <c r="AC264" s="232"/>
      <c r="AD264" s="232"/>
      <c r="AE264" s="232"/>
      <c r="AF264" s="232"/>
      <c r="AG264" s="232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/>
      <c r="BM264" s="95"/>
      <c r="BN264" s="95"/>
      <c r="BO264" s="95"/>
      <c r="BP264" s="95"/>
      <c r="BQ264" s="95"/>
    </row>
    <row r="265" spans="1:69" s="96" customFormat="1" ht="16.5" hidden="1" customHeight="1">
      <c r="A265" s="232"/>
      <c r="B265" s="232"/>
      <c r="C265" s="236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7"/>
      <c r="S265" s="232"/>
      <c r="T265" s="232"/>
      <c r="U265" s="232"/>
      <c r="V265" s="232"/>
      <c r="W265" s="232"/>
      <c r="X265" s="232"/>
      <c r="Y265" s="232"/>
      <c r="Z265" s="237"/>
      <c r="AA265" s="232"/>
      <c r="AB265" s="232"/>
      <c r="AC265" s="232"/>
      <c r="AD265" s="232"/>
      <c r="AE265" s="232"/>
      <c r="AF265" s="232"/>
      <c r="AG265" s="232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95"/>
      <c r="BP265" s="95"/>
      <c r="BQ265" s="95"/>
    </row>
    <row r="266" spans="1:69" s="96" customFormat="1" ht="16.5" hidden="1" customHeight="1">
      <c r="A266" s="232"/>
      <c r="B266" s="232"/>
      <c r="C266" s="236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7"/>
      <c r="S266" s="232"/>
      <c r="T266" s="232"/>
      <c r="U266" s="232"/>
      <c r="V266" s="232"/>
      <c r="W266" s="232"/>
      <c r="X266" s="232"/>
      <c r="Y266" s="232"/>
      <c r="Z266" s="237"/>
      <c r="AA266" s="232"/>
      <c r="AB266" s="232"/>
      <c r="AC266" s="232"/>
      <c r="AD266" s="232"/>
      <c r="AE266" s="232"/>
      <c r="AF266" s="232"/>
      <c r="AG266" s="232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  <c r="BM266" s="95"/>
      <c r="BN266" s="95"/>
      <c r="BO266" s="95"/>
      <c r="BP266" s="95"/>
      <c r="BQ266" s="95"/>
    </row>
    <row r="267" spans="1:69" s="96" customFormat="1" ht="16.5" hidden="1" customHeight="1">
      <c r="A267" s="232"/>
      <c r="B267" s="232"/>
      <c r="C267" s="236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7"/>
      <c r="S267" s="232"/>
      <c r="T267" s="232"/>
      <c r="U267" s="232"/>
      <c r="V267" s="232"/>
      <c r="W267" s="232"/>
      <c r="X267" s="232"/>
      <c r="Y267" s="232"/>
      <c r="Z267" s="237"/>
      <c r="AA267" s="232"/>
      <c r="AB267" s="232"/>
      <c r="AC267" s="232"/>
      <c r="AD267" s="232"/>
      <c r="AE267" s="232"/>
      <c r="AF267" s="232"/>
      <c r="AG267" s="232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</row>
    <row r="268" spans="1:69" s="96" customFormat="1" ht="16.5" hidden="1" customHeight="1">
      <c r="A268" s="232"/>
      <c r="B268" s="232"/>
      <c r="C268" s="236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7"/>
      <c r="S268" s="232"/>
      <c r="T268" s="232"/>
      <c r="U268" s="232"/>
      <c r="V268" s="232"/>
      <c r="W268" s="232"/>
      <c r="X268" s="232"/>
      <c r="Y268" s="232"/>
      <c r="Z268" s="237"/>
      <c r="AA268" s="232"/>
      <c r="AB268" s="232"/>
      <c r="AC268" s="232"/>
      <c r="AD268" s="232"/>
      <c r="AE268" s="232"/>
      <c r="AF268" s="232"/>
      <c r="AG268" s="232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  <c r="BM268" s="95"/>
      <c r="BN268" s="95"/>
      <c r="BO268" s="95"/>
      <c r="BP268" s="95"/>
      <c r="BQ268" s="95"/>
    </row>
    <row r="269" spans="1:69" s="96" customFormat="1" ht="16.5" hidden="1" customHeight="1">
      <c r="A269" s="232"/>
      <c r="B269" s="232"/>
      <c r="C269" s="236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7"/>
      <c r="S269" s="232"/>
      <c r="T269" s="232"/>
      <c r="U269" s="232"/>
      <c r="V269" s="232"/>
      <c r="W269" s="232"/>
      <c r="X269" s="232"/>
      <c r="Y269" s="232"/>
      <c r="Z269" s="237"/>
      <c r="AA269" s="232"/>
      <c r="AB269" s="232"/>
      <c r="AC269" s="232"/>
      <c r="AD269" s="232"/>
      <c r="AE269" s="232"/>
      <c r="AF269" s="232"/>
      <c r="AG269" s="232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</row>
    <row r="270" spans="1:69" s="96" customFormat="1" ht="16.5" hidden="1" customHeight="1">
      <c r="A270" s="232"/>
      <c r="B270" s="232"/>
      <c r="C270" s="236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7"/>
      <c r="S270" s="232"/>
      <c r="T270" s="232"/>
      <c r="U270" s="232"/>
      <c r="V270" s="232"/>
      <c r="W270" s="232"/>
      <c r="X270" s="232"/>
      <c r="Y270" s="232"/>
      <c r="Z270" s="237"/>
      <c r="AA270" s="232"/>
      <c r="AB270" s="232"/>
      <c r="AC270" s="232"/>
      <c r="AD270" s="232"/>
      <c r="AE270" s="232"/>
      <c r="AF270" s="232"/>
      <c r="AG270" s="232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5"/>
      <c r="BP270" s="95"/>
      <c r="BQ270" s="95"/>
    </row>
    <row r="271" spans="1:69" s="96" customFormat="1" ht="16.5" hidden="1" customHeight="1">
      <c r="A271" s="232"/>
      <c r="B271" s="232"/>
      <c r="C271" s="236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7"/>
      <c r="S271" s="232"/>
      <c r="T271" s="232"/>
      <c r="U271" s="232"/>
      <c r="V271" s="232"/>
      <c r="W271" s="232"/>
      <c r="X271" s="232"/>
      <c r="Y271" s="232"/>
      <c r="Z271" s="237"/>
      <c r="AA271" s="232"/>
      <c r="AB271" s="232"/>
      <c r="AC271" s="232"/>
      <c r="AD271" s="232"/>
      <c r="AE271" s="232"/>
      <c r="AF271" s="232"/>
      <c r="AG271" s="232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/>
      <c r="BK271" s="95"/>
      <c r="BL271" s="95"/>
      <c r="BM271" s="95"/>
      <c r="BN271" s="95"/>
      <c r="BO271" s="95"/>
      <c r="BP271" s="95"/>
      <c r="BQ271" s="95"/>
    </row>
    <row r="272" spans="1:69" s="96" customFormat="1" ht="16.5" hidden="1" customHeight="1">
      <c r="A272" s="232"/>
      <c r="B272" s="232"/>
      <c r="C272" s="236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7"/>
      <c r="S272" s="232"/>
      <c r="T272" s="232"/>
      <c r="U272" s="232"/>
      <c r="V272" s="232"/>
      <c r="W272" s="232"/>
      <c r="X272" s="232"/>
      <c r="Y272" s="232"/>
      <c r="Z272" s="237"/>
      <c r="AA272" s="232"/>
      <c r="AB272" s="232"/>
      <c r="AC272" s="232"/>
      <c r="AD272" s="232"/>
      <c r="AE272" s="232"/>
      <c r="AF272" s="232"/>
      <c r="AG272" s="232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  <c r="BM272" s="95"/>
      <c r="BN272" s="95"/>
      <c r="BO272" s="95"/>
      <c r="BP272" s="95"/>
      <c r="BQ272" s="95"/>
    </row>
    <row r="273" spans="1:69" s="96" customFormat="1" ht="16.5" hidden="1" customHeight="1">
      <c r="A273" s="232"/>
      <c r="B273" s="232"/>
      <c r="C273" s="236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7"/>
      <c r="S273" s="232"/>
      <c r="T273" s="232"/>
      <c r="U273" s="232"/>
      <c r="V273" s="232"/>
      <c r="W273" s="232"/>
      <c r="X273" s="232"/>
      <c r="Y273" s="232"/>
      <c r="Z273" s="237"/>
      <c r="AA273" s="232"/>
      <c r="AB273" s="232"/>
      <c r="AC273" s="232"/>
      <c r="AD273" s="232"/>
      <c r="AE273" s="232"/>
      <c r="AF273" s="232"/>
      <c r="AG273" s="232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</row>
    <row r="274" spans="1:69" s="96" customFormat="1" ht="16.5" hidden="1" customHeight="1">
      <c r="A274" s="232"/>
      <c r="B274" s="232"/>
      <c r="C274" s="236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7"/>
      <c r="S274" s="232"/>
      <c r="T274" s="232"/>
      <c r="U274" s="232"/>
      <c r="V274" s="232"/>
      <c r="W274" s="232"/>
      <c r="X274" s="232"/>
      <c r="Y274" s="232"/>
      <c r="Z274" s="237"/>
      <c r="AA274" s="232"/>
      <c r="AB274" s="232"/>
      <c r="AC274" s="232"/>
      <c r="AD274" s="232"/>
      <c r="AE274" s="232"/>
      <c r="AF274" s="232"/>
      <c r="AG274" s="232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  <c r="BM274" s="95"/>
      <c r="BN274" s="95"/>
      <c r="BO274" s="95"/>
      <c r="BP274" s="95"/>
      <c r="BQ274" s="95"/>
    </row>
    <row r="275" spans="1:69" s="96" customFormat="1" ht="16.5" hidden="1" customHeight="1">
      <c r="A275" s="232"/>
      <c r="B275" s="232"/>
      <c r="C275" s="236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7"/>
      <c r="S275" s="232"/>
      <c r="T275" s="232"/>
      <c r="U275" s="232"/>
      <c r="V275" s="232"/>
      <c r="W275" s="232"/>
      <c r="X275" s="232"/>
      <c r="Y275" s="232"/>
      <c r="Z275" s="237"/>
      <c r="AA275" s="232"/>
      <c r="AB275" s="232"/>
      <c r="AC275" s="232"/>
      <c r="AD275" s="232"/>
      <c r="AE275" s="232"/>
      <c r="AF275" s="232"/>
      <c r="AG275" s="232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</row>
    <row r="276" spans="1:69" s="96" customFormat="1" ht="16.5" hidden="1" customHeight="1">
      <c r="A276" s="232"/>
      <c r="B276" s="232"/>
      <c r="C276" s="236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7"/>
      <c r="S276" s="232"/>
      <c r="T276" s="232"/>
      <c r="U276" s="232"/>
      <c r="V276" s="232"/>
      <c r="W276" s="232"/>
      <c r="X276" s="232"/>
      <c r="Y276" s="232"/>
      <c r="Z276" s="237"/>
      <c r="AA276" s="232"/>
      <c r="AB276" s="232"/>
      <c r="AC276" s="232"/>
      <c r="AD276" s="232"/>
      <c r="AE276" s="232"/>
      <c r="AF276" s="232"/>
      <c r="AG276" s="232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  <c r="BM276" s="95"/>
      <c r="BN276" s="95"/>
      <c r="BO276" s="95"/>
      <c r="BP276" s="95"/>
      <c r="BQ276" s="95"/>
    </row>
    <row r="277" spans="1:69" s="96" customFormat="1" ht="16.5" hidden="1" customHeight="1">
      <c r="A277" s="232"/>
      <c r="B277" s="232"/>
      <c r="C277" s="236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7"/>
      <c r="S277" s="232"/>
      <c r="T277" s="232"/>
      <c r="U277" s="232"/>
      <c r="V277" s="232"/>
      <c r="W277" s="232"/>
      <c r="X277" s="232"/>
      <c r="Y277" s="232"/>
      <c r="Z277" s="237"/>
      <c r="AA277" s="232"/>
      <c r="AB277" s="232"/>
      <c r="AC277" s="232"/>
      <c r="AD277" s="232"/>
      <c r="AE277" s="232"/>
      <c r="AF277" s="232"/>
      <c r="AG277" s="232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5"/>
      <c r="BK277" s="95"/>
      <c r="BL277" s="95"/>
      <c r="BM277" s="95"/>
      <c r="BN277" s="95"/>
      <c r="BO277" s="95"/>
      <c r="BP277" s="95"/>
      <c r="BQ277" s="95"/>
    </row>
    <row r="278" spans="1:69" s="96" customFormat="1" ht="16.5" hidden="1" customHeight="1">
      <c r="A278" s="232"/>
      <c r="B278" s="232"/>
      <c r="C278" s="236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7"/>
      <c r="S278" s="232"/>
      <c r="T278" s="232"/>
      <c r="U278" s="232"/>
      <c r="V278" s="232"/>
      <c r="W278" s="232"/>
      <c r="X278" s="232"/>
      <c r="Y278" s="232"/>
      <c r="Z278" s="237"/>
      <c r="AA278" s="232"/>
      <c r="AB278" s="232"/>
      <c r="AC278" s="232"/>
      <c r="AD278" s="232"/>
      <c r="AE278" s="232"/>
      <c r="AF278" s="232"/>
      <c r="AG278" s="232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  <c r="BM278" s="95"/>
      <c r="BN278" s="95"/>
      <c r="BO278" s="95"/>
      <c r="BP278" s="95"/>
      <c r="BQ278" s="95"/>
    </row>
    <row r="279" spans="1:69" s="96" customFormat="1" ht="16.5" hidden="1" customHeight="1">
      <c r="A279" s="232"/>
      <c r="B279" s="232"/>
      <c r="C279" s="236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7"/>
      <c r="S279" s="232"/>
      <c r="T279" s="232"/>
      <c r="U279" s="232"/>
      <c r="V279" s="232"/>
      <c r="W279" s="232"/>
      <c r="X279" s="232"/>
      <c r="Y279" s="232"/>
      <c r="Z279" s="237"/>
      <c r="AA279" s="232"/>
      <c r="AB279" s="232"/>
      <c r="AC279" s="232"/>
      <c r="AD279" s="232"/>
      <c r="AE279" s="232"/>
      <c r="AF279" s="232"/>
      <c r="AG279" s="232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5"/>
      <c r="BK279" s="95"/>
      <c r="BL279" s="95"/>
      <c r="BM279" s="95"/>
      <c r="BN279" s="95"/>
      <c r="BO279" s="95"/>
      <c r="BP279" s="95"/>
      <c r="BQ279" s="95"/>
    </row>
    <row r="280" spans="1:69" s="96" customFormat="1" ht="16.5" hidden="1" customHeight="1">
      <c r="A280" s="232"/>
      <c r="B280" s="232"/>
      <c r="C280" s="236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7"/>
      <c r="S280" s="232"/>
      <c r="T280" s="232"/>
      <c r="U280" s="232"/>
      <c r="V280" s="232"/>
      <c r="W280" s="232"/>
      <c r="X280" s="232"/>
      <c r="Y280" s="232"/>
      <c r="Z280" s="237"/>
      <c r="AA280" s="232"/>
      <c r="AB280" s="232"/>
      <c r="AC280" s="232"/>
      <c r="AD280" s="232"/>
      <c r="AE280" s="232"/>
      <c r="AF280" s="232"/>
      <c r="AG280" s="232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  <c r="BM280" s="95"/>
      <c r="BN280" s="95"/>
      <c r="BO280" s="95"/>
      <c r="BP280" s="95"/>
      <c r="BQ280" s="95"/>
    </row>
    <row r="281" spans="1:69" s="96" customFormat="1" ht="16.5" hidden="1" customHeight="1">
      <c r="A281" s="232"/>
      <c r="B281" s="232"/>
      <c r="C281" s="236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7"/>
      <c r="S281" s="232"/>
      <c r="T281" s="232"/>
      <c r="U281" s="232"/>
      <c r="V281" s="232"/>
      <c r="W281" s="232"/>
      <c r="X281" s="232"/>
      <c r="Y281" s="232"/>
      <c r="Z281" s="237"/>
      <c r="AA281" s="232"/>
      <c r="AB281" s="232"/>
      <c r="AC281" s="232"/>
      <c r="AD281" s="232"/>
      <c r="AE281" s="232"/>
      <c r="AF281" s="232"/>
      <c r="AG281" s="232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95"/>
      <c r="BP281" s="95"/>
      <c r="BQ281" s="95"/>
    </row>
    <row r="282" spans="1:69" s="96" customFormat="1" ht="16.5" hidden="1" customHeight="1">
      <c r="A282" s="232"/>
      <c r="B282" s="232"/>
      <c r="C282" s="236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7"/>
      <c r="S282" s="232"/>
      <c r="T282" s="232"/>
      <c r="U282" s="232"/>
      <c r="V282" s="232"/>
      <c r="W282" s="232"/>
      <c r="X282" s="232"/>
      <c r="Y282" s="232"/>
      <c r="Z282" s="237"/>
      <c r="AA282" s="232"/>
      <c r="AB282" s="232"/>
      <c r="AC282" s="232"/>
      <c r="AD282" s="232"/>
      <c r="AE282" s="232"/>
      <c r="AF282" s="232"/>
      <c r="AG282" s="232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95"/>
      <c r="BP282" s="95"/>
      <c r="BQ282" s="95"/>
    </row>
    <row r="283" spans="1:69" s="96" customFormat="1" ht="16.5" hidden="1" customHeight="1">
      <c r="A283" s="232"/>
      <c r="B283" s="232"/>
      <c r="C283" s="236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7"/>
      <c r="S283" s="232"/>
      <c r="T283" s="232"/>
      <c r="U283" s="232"/>
      <c r="V283" s="232"/>
      <c r="W283" s="232"/>
      <c r="X283" s="232"/>
      <c r="Y283" s="232"/>
      <c r="Z283" s="237"/>
      <c r="AA283" s="232"/>
      <c r="AB283" s="232"/>
      <c r="AC283" s="232"/>
      <c r="AD283" s="232"/>
      <c r="AE283" s="232"/>
      <c r="AF283" s="232"/>
      <c r="AG283" s="232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95"/>
      <c r="BP283" s="95"/>
      <c r="BQ283" s="95"/>
    </row>
    <row r="284" spans="1:69" s="96" customFormat="1" ht="16.5" hidden="1" customHeight="1">
      <c r="A284" s="232"/>
      <c r="B284" s="232"/>
      <c r="C284" s="236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7"/>
      <c r="S284" s="232"/>
      <c r="T284" s="232"/>
      <c r="U284" s="232"/>
      <c r="V284" s="232"/>
      <c r="W284" s="232"/>
      <c r="X284" s="232"/>
      <c r="Y284" s="232"/>
      <c r="Z284" s="237"/>
      <c r="AA284" s="232"/>
      <c r="AB284" s="232"/>
      <c r="AC284" s="232"/>
      <c r="AD284" s="232"/>
      <c r="AE284" s="232"/>
      <c r="AF284" s="232"/>
      <c r="AG284" s="232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95"/>
      <c r="BP284" s="95"/>
      <c r="BQ284" s="95"/>
    </row>
    <row r="285" spans="1:69" s="96" customFormat="1" ht="16.5" hidden="1" customHeight="1">
      <c r="A285" s="232"/>
      <c r="B285" s="232"/>
      <c r="C285" s="236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7"/>
      <c r="S285" s="232"/>
      <c r="T285" s="232"/>
      <c r="U285" s="232"/>
      <c r="V285" s="232"/>
      <c r="W285" s="232"/>
      <c r="X285" s="232"/>
      <c r="Y285" s="232"/>
      <c r="Z285" s="237"/>
      <c r="AA285" s="232"/>
      <c r="AB285" s="232"/>
      <c r="AC285" s="232"/>
      <c r="AD285" s="232"/>
      <c r="AE285" s="232"/>
      <c r="AF285" s="232"/>
      <c r="AG285" s="232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95"/>
      <c r="BP285" s="95"/>
      <c r="BQ285" s="95"/>
    </row>
    <row r="286" spans="1:69" s="96" customFormat="1" ht="16.5" hidden="1" customHeight="1">
      <c r="A286" s="232"/>
      <c r="B286" s="232"/>
      <c r="C286" s="236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7"/>
      <c r="S286" s="232"/>
      <c r="T286" s="232"/>
      <c r="U286" s="232"/>
      <c r="V286" s="232"/>
      <c r="W286" s="232"/>
      <c r="X286" s="232"/>
      <c r="Y286" s="232"/>
      <c r="Z286" s="237"/>
      <c r="AA286" s="232"/>
      <c r="AB286" s="232"/>
      <c r="AC286" s="232"/>
      <c r="AD286" s="232"/>
      <c r="AE286" s="232"/>
      <c r="AF286" s="232"/>
      <c r="AG286" s="232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95"/>
      <c r="BP286" s="95"/>
      <c r="BQ286" s="95"/>
    </row>
    <row r="287" spans="1:69" s="96" customFormat="1" ht="16.5" hidden="1" customHeight="1">
      <c r="A287" s="232"/>
      <c r="B287" s="232"/>
      <c r="C287" s="236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7"/>
      <c r="S287" s="232"/>
      <c r="T287" s="232"/>
      <c r="U287" s="232"/>
      <c r="V287" s="232"/>
      <c r="W287" s="232"/>
      <c r="X287" s="232"/>
      <c r="Y287" s="232"/>
      <c r="Z287" s="237"/>
      <c r="AA287" s="232"/>
      <c r="AB287" s="232"/>
      <c r="AC287" s="232"/>
      <c r="AD287" s="232"/>
      <c r="AE287" s="232"/>
      <c r="AF287" s="232"/>
      <c r="AG287" s="232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/>
      <c r="BM287" s="95"/>
      <c r="BN287" s="95"/>
      <c r="BO287" s="95"/>
      <c r="BP287" s="95"/>
      <c r="BQ287" s="95"/>
    </row>
    <row r="288" spans="1:69" s="96" customFormat="1" ht="16.5" hidden="1" customHeight="1">
      <c r="A288" s="232"/>
      <c r="B288" s="232"/>
      <c r="C288" s="236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7"/>
      <c r="S288" s="232"/>
      <c r="T288" s="232"/>
      <c r="U288" s="232"/>
      <c r="V288" s="232"/>
      <c r="W288" s="232"/>
      <c r="X288" s="232"/>
      <c r="Y288" s="232"/>
      <c r="Z288" s="237"/>
      <c r="AA288" s="232"/>
      <c r="AB288" s="232"/>
      <c r="AC288" s="232"/>
      <c r="AD288" s="232"/>
      <c r="AE288" s="232"/>
      <c r="AF288" s="232"/>
      <c r="AG288" s="232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95"/>
      <c r="BP288" s="95"/>
      <c r="BQ288" s="95"/>
    </row>
    <row r="289" spans="1:69" s="96" customFormat="1" ht="16.5" hidden="1" customHeight="1">
      <c r="A289" s="232"/>
      <c r="B289" s="232"/>
      <c r="C289" s="236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7"/>
      <c r="S289" s="232"/>
      <c r="T289" s="232"/>
      <c r="U289" s="232"/>
      <c r="V289" s="232"/>
      <c r="W289" s="232"/>
      <c r="X289" s="232"/>
      <c r="Y289" s="232"/>
      <c r="Z289" s="237"/>
      <c r="AA289" s="232"/>
      <c r="AB289" s="232"/>
      <c r="AC289" s="232"/>
      <c r="AD289" s="232"/>
      <c r="AE289" s="232"/>
      <c r="AF289" s="232"/>
      <c r="AG289" s="232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95"/>
      <c r="BP289" s="95"/>
      <c r="BQ289" s="95"/>
    </row>
    <row r="290" spans="1:69" s="96" customFormat="1" ht="16.5" hidden="1" customHeight="1">
      <c r="A290" s="232"/>
      <c r="B290" s="232"/>
      <c r="C290" s="236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7"/>
      <c r="S290" s="232"/>
      <c r="T290" s="232"/>
      <c r="U290" s="232"/>
      <c r="V290" s="232"/>
      <c r="W290" s="232"/>
      <c r="X290" s="232"/>
      <c r="Y290" s="232"/>
      <c r="Z290" s="237"/>
      <c r="AA290" s="232"/>
      <c r="AB290" s="232"/>
      <c r="AC290" s="232"/>
      <c r="AD290" s="232"/>
      <c r="AE290" s="232"/>
      <c r="AF290" s="232"/>
      <c r="AG290" s="232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95"/>
      <c r="BP290" s="95"/>
      <c r="BQ290" s="95"/>
    </row>
    <row r="291" spans="1:69" s="96" customFormat="1" ht="16.5" hidden="1" customHeight="1">
      <c r="A291" s="232"/>
      <c r="B291" s="232"/>
      <c r="C291" s="236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7"/>
      <c r="S291" s="232"/>
      <c r="T291" s="232"/>
      <c r="U291" s="232"/>
      <c r="V291" s="232"/>
      <c r="W291" s="232"/>
      <c r="X291" s="232"/>
      <c r="Y291" s="232"/>
      <c r="Z291" s="237"/>
      <c r="AA291" s="232"/>
      <c r="AB291" s="232"/>
      <c r="AC291" s="232"/>
      <c r="AD291" s="232"/>
      <c r="AE291" s="232"/>
      <c r="AF291" s="232"/>
      <c r="AG291" s="232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</row>
    <row r="292" spans="1:69" s="96" customFormat="1" ht="16.5" hidden="1" customHeight="1">
      <c r="A292" s="232"/>
      <c r="B292" s="232"/>
      <c r="C292" s="236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7"/>
      <c r="S292" s="232"/>
      <c r="T292" s="232"/>
      <c r="U292" s="232"/>
      <c r="V292" s="232"/>
      <c r="W292" s="232"/>
      <c r="X292" s="232"/>
      <c r="Y292" s="232"/>
      <c r="Z292" s="237"/>
      <c r="AA292" s="232"/>
      <c r="AB292" s="232"/>
      <c r="AC292" s="232"/>
      <c r="AD292" s="232"/>
      <c r="AE292" s="232"/>
      <c r="AF292" s="232"/>
      <c r="AG292" s="232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95"/>
      <c r="BP292" s="95"/>
      <c r="BQ292" s="95"/>
    </row>
    <row r="293" spans="1:69" s="96" customFormat="1" ht="16.5" hidden="1" customHeight="1">
      <c r="A293" s="232"/>
      <c r="B293" s="232"/>
      <c r="C293" s="236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7"/>
      <c r="S293" s="232"/>
      <c r="T293" s="232"/>
      <c r="U293" s="232"/>
      <c r="V293" s="232"/>
      <c r="W293" s="232"/>
      <c r="X293" s="232"/>
      <c r="Y293" s="232"/>
      <c r="Z293" s="237"/>
      <c r="AA293" s="232"/>
      <c r="AB293" s="232"/>
      <c r="AC293" s="232"/>
      <c r="AD293" s="232"/>
      <c r="AE293" s="232"/>
      <c r="AF293" s="232"/>
      <c r="AG293" s="232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95"/>
      <c r="BP293" s="95"/>
      <c r="BQ293" s="95"/>
    </row>
    <row r="294" spans="1:69" s="96" customFormat="1" ht="16.5" hidden="1" customHeight="1">
      <c r="A294" s="232"/>
      <c r="B294" s="232"/>
      <c r="C294" s="236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7"/>
      <c r="S294" s="232"/>
      <c r="T294" s="232"/>
      <c r="U294" s="232"/>
      <c r="V294" s="232"/>
      <c r="W294" s="232"/>
      <c r="X294" s="232"/>
      <c r="Y294" s="232"/>
      <c r="Z294" s="237"/>
      <c r="AA294" s="232"/>
      <c r="AB294" s="232"/>
      <c r="AC294" s="232"/>
      <c r="AD294" s="232"/>
      <c r="AE294" s="232"/>
      <c r="AF294" s="232"/>
      <c r="AG294" s="232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95"/>
      <c r="BP294" s="95"/>
      <c r="BQ294" s="95"/>
    </row>
    <row r="295" spans="1:69" s="96" customFormat="1" ht="16.5" hidden="1" customHeight="1">
      <c r="A295" s="232"/>
      <c r="B295" s="232"/>
      <c r="C295" s="236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7"/>
      <c r="S295" s="232"/>
      <c r="T295" s="232"/>
      <c r="U295" s="232"/>
      <c r="V295" s="232"/>
      <c r="W295" s="232"/>
      <c r="X295" s="232"/>
      <c r="Y295" s="232"/>
      <c r="Z295" s="237"/>
      <c r="AA295" s="232"/>
      <c r="AB295" s="232"/>
      <c r="AC295" s="232"/>
      <c r="AD295" s="232"/>
      <c r="AE295" s="232"/>
      <c r="AF295" s="232"/>
      <c r="AG295" s="232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5"/>
      <c r="BK295" s="95"/>
      <c r="BL295" s="95"/>
      <c r="BM295" s="95"/>
      <c r="BN295" s="95"/>
      <c r="BO295" s="95"/>
      <c r="BP295" s="95"/>
      <c r="BQ295" s="95"/>
    </row>
    <row r="296" spans="1:69" s="96" customFormat="1" ht="16.5" hidden="1" customHeight="1">
      <c r="A296" s="232"/>
      <c r="B296" s="232"/>
      <c r="C296" s="236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7"/>
      <c r="S296" s="232"/>
      <c r="T296" s="232"/>
      <c r="U296" s="232"/>
      <c r="V296" s="232"/>
      <c r="W296" s="232"/>
      <c r="X296" s="232"/>
      <c r="Y296" s="232"/>
      <c r="Z296" s="237"/>
      <c r="AA296" s="232"/>
      <c r="AB296" s="232"/>
      <c r="AC296" s="232"/>
      <c r="AD296" s="232"/>
      <c r="AE296" s="232"/>
      <c r="AF296" s="232"/>
      <c r="AG296" s="232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  <c r="BM296" s="95"/>
      <c r="BN296" s="95"/>
      <c r="BO296" s="95"/>
      <c r="BP296" s="95"/>
      <c r="BQ296" s="95"/>
    </row>
    <row r="297" spans="1:69" s="96" customFormat="1" ht="16.5" hidden="1" customHeight="1">
      <c r="A297" s="232"/>
      <c r="B297" s="232"/>
      <c r="C297" s="236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7"/>
      <c r="S297" s="232"/>
      <c r="T297" s="232"/>
      <c r="U297" s="232"/>
      <c r="V297" s="232"/>
      <c r="W297" s="232"/>
      <c r="X297" s="232"/>
      <c r="Y297" s="232"/>
      <c r="Z297" s="237"/>
      <c r="AA297" s="232"/>
      <c r="AB297" s="232"/>
      <c r="AC297" s="232"/>
      <c r="AD297" s="232"/>
      <c r="AE297" s="232"/>
      <c r="AF297" s="232"/>
      <c r="AG297" s="232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L297" s="95"/>
      <c r="BM297" s="95"/>
      <c r="BN297" s="95"/>
      <c r="BO297" s="95"/>
      <c r="BP297" s="95"/>
      <c r="BQ297" s="95"/>
    </row>
    <row r="298" spans="1:69" s="96" customFormat="1" ht="16.5" hidden="1" customHeight="1">
      <c r="A298" s="232"/>
      <c r="B298" s="232"/>
      <c r="C298" s="236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7"/>
      <c r="S298" s="232"/>
      <c r="T298" s="232"/>
      <c r="U298" s="232"/>
      <c r="V298" s="232"/>
      <c r="W298" s="232"/>
      <c r="X298" s="232"/>
      <c r="Y298" s="232"/>
      <c r="Z298" s="237"/>
      <c r="AA298" s="232"/>
      <c r="AB298" s="232"/>
      <c r="AC298" s="232"/>
      <c r="AD298" s="232"/>
      <c r="AE298" s="232"/>
      <c r="AF298" s="232"/>
      <c r="AG298" s="232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  <c r="BM298" s="95"/>
      <c r="BN298" s="95"/>
      <c r="BO298" s="95"/>
      <c r="BP298" s="95"/>
      <c r="BQ298" s="95"/>
    </row>
    <row r="299" spans="1:69" s="96" customFormat="1" ht="16.5" hidden="1" customHeight="1">
      <c r="A299" s="232"/>
      <c r="B299" s="232"/>
      <c r="C299" s="236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7"/>
      <c r="S299" s="232"/>
      <c r="T299" s="232"/>
      <c r="U299" s="232"/>
      <c r="V299" s="232"/>
      <c r="W299" s="232"/>
      <c r="X299" s="232"/>
      <c r="Y299" s="232"/>
      <c r="Z299" s="237"/>
      <c r="AA299" s="232"/>
      <c r="AB299" s="232"/>
      <c r="AC299" s="232"/>
      <c r="AD299" s="232"/>
      <c r="AE299" s="232"/>
      <c r="AF299" s="232"/>
      <c r="AG299" s="232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L299" s="95"/>
      <c r="BM299" s="95"/>
      <c r="BN299" s="95"/>
      <c r="BO299" s="95"/>
      <c r="BP299" s="95"/>
      <c r="BQ299" s="95"/>
    </row>
    <row r="300" spans="1:69" s="96" customFormat="1" ht="16.5" hidden="1" customHeight="1">
      <c r="A300" s="232"/>
      <c r="B300" s="232"/>
      <c r="C300" s="236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7"/>
      <c r="S300" s="232"/>
      <c r="T300" s="232"/>
      <c r="U300" s="232"/>
      <c r="V300" s="232"/>
      <c r="W300" s="232"/>
      <c r="X300" s="232"/>
      <c r="Y300" s="232"/>
      <c r="Z300" s="237"/>
      <c r="AA300" s="232"/>
      <c r="AB300" s="232"/>
      <c r="AC300" s="232"/>
      <c r="AD300" s="232"/>
      <c r="AE300" s="232"/>
      <c r="AF300" s="232"/>
      <c r="AG300" s="232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  <c r="BM300" s="95"/>
      <c r="BN300" s="95"/>
      <c r="BO300" s="95"/>
      <c r="BP300" s="95"/>
      <c r="BQ300" s="95"/>
    </row>
    <row r="301" spans="1:69" s="96" customFormat="1" ht="16.5" hidden="1" customHeight="1">
      <c r="A301" s="232"/>
      <c r="B301" s="232"/>
      <c r="C301" s="236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7"/>
      <c r="S301" s="232"/>
      <c r="T301" s="232"/>
      <c r="U301" s="232"/>
      <c r="V301" s="232"/>
      <c r="W301" s="232"/>
      <c r="X301" s="232"/>
      <c r="Y301" s="232"/>
      <c r="Z301" s="237"/>
      <c r="AA301" s="232"/>
      <c r="AB301" s="232"/>
      <c r="AC301" s="232"/>
      <c r="AD301" s="232"/>
      <c r="AE301" s="232"/>
      <c r="AF301" s="232"/>
      <c r="AG301" s="232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L301" s="95"/>
      <c r="BM301" s="95"/>
      <c r="BN301" s="95"/>
      <c r="BO301" s="95"/>
      <c r="BP301" s="95"/>
      <c r="BQ301" s="95"/>
    </row>
    <row r="302" spans="1:69" s="96" customFormat="1" ht="16.5" hidden="1" customHeight="1">
      <c r="A302" s="232"/>
      <c r="B302" s="232"/>
      <c r="C302" s="236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7"/>
      <c r="S302" s="232"/>
      <c r="T302" s="232"/>
      <c r="U302" s="232"/>
      <c r="V302" s="232"/>
      <c r="W302" s="232"/>
      <c r="X302" s="232"/>
      <c r="Y302" s="232"/>
      <c r="Z302" s="237"/>
      <c r="AA302" s="232"/>
      <c r="AB302" s="232"/>
      <c r="AC302" s="232"/>
      <c r="AD302" s="232"/>
      <c r="AE302" s="232"/>
      <c r="AF302" s="232"/>
      <c r="AG302" s="232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  <c r="BM302" s="95"/>
      <c r="BN302" s="95"/>
      <c r="BO302" s="95"/>
      <c r="BP302" s="95"/>
      <c r="BQ302" s="95"/>
    </row>
    <row r="303" spans="1:69" s="96" customFormat="1" ht="16.5" hidden="1" customHeight="1">
      <c r="A303" s="232"/>
      <c r="B303" s="232"/>
      <c r="C303" s="236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7"/>
      <c r="S303" s="232"/>
      <c r="T303" s="232"/>
      <c r="U303" s="232"/>
      <c r="V303" s="232"/>
      <c r="W303" s="232"/>
      <c r="X303" s="232"/>
      <c r="Y303" s="232"/>
      <c r="Z303" s="237"/>
      <c r="AA303" s="232"/>
      <c r="AB303" s="232"/>
      <c r="AC303" s="232"/>
      <c r="AD303" s="232"/>
      <c r="AE303" s="232"/>
      <c r="AF303" s="232"/>
      <c r="AG303" s="232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L303" s="95"/>
      <c r="BM303" s="95"/>
      <c r="BN303" s="95"/>
      <c r="BO303" s="95"/>
      <c r="BP303" s="95"/>
      <c r="BQ303" s="95"/>
    </row>
    <row r="304" spans="1:69" s="96" customFormat="1" ht="16.5" hidden="1" customHeight="1">
      <c r="A304" s="232"/>
      <c r="B304" s="232"/>
      <c r="C304" s="236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7"/>
      <c r="S304" s="232"/>
      <c r="T304" s="232"/>
      <c r="U304" s="232"/>
      <c r="V304" s="232"/>
      <c r="W304" s="232"/>
      <c r="X304" s="232"/>
      <c r="Y304" s="232"/>
      <c r="Z304" s="237"/>
      <c r="AA304" s="232"/>
      <c r="AB304" s="232"/>
      <c r="AC304" s="232"/>
      <c r="AD304" s="232"/>
      <c r="AE304" s="232"/>
      <c r="AF304" s="232"/>
      <c r="AG304" s="232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  <c r="BM304" s="95"/>
      <c r="BN304" s="95"/>
      <c r="BO304" s="95"/>
      <c r="BP304" s="95"/>
      <c r="BQ304" s="95"/>
    </row>
    <row r="305" spans="1:69" s="96" customFormat="1" ht="16.5" hidden="1" customHeight="1">
      <c r="A305" s="232"/>
      <c r="B305" s="232"/>
      <c r="C305" s="236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7"/>
      <c r="S305" s="232"/>
      <c r="T305" s="232"/>
      <c r="U305" s="232"/>
      <c r="V305" s="232"/>
      <c r="W305" s="232"/>
      <c r="X305" s="232"/>
      <c r="Y305" s="232"/>
      <c r="Z305" s="237"/>
      <c r="AA305" s="232"/>
      <c r="AB305" s="232"/>
      <c r="AC305" s="232"/>
      <c r="AD305" s="232"/>
      <c r="AE305" s="232"/>
      <c r="AF305" s="232"/>
      <c r="AG305" s="232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</row>
    <row r="306" spans="1:69" s="96" customFormat="1" ht="16.5" hidden="1" customHeight="1">
      <c r="A306" s="232"/>
      <c r="B306" s="232"/>
      <c r="C306" s="236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7"/>
      <c r="S306" s="232"/>
      <c r="T306" s="232"/>
      <c r="U306" s="232"/>
      <c r="V306" s="232"/>
      <c r="W306" s="232"/>
      <c r="X306" s="232"/>
      <c r="Y306" s="232"/>
      <c r="Z306" s="237"/>
      <c r="AA306" s="232"/>
      <c r="AB306" s="232"/>
      <c r="AC306" s="232"/>
      <c r="AD306" s="232"/>
      <c r="AE306" s="232"/>
      <c r="AF306" s="232"/>
      <c r="AG306" s="232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  <c r="BM306" s="95"/>
      <c r="BN306" s="95"/>
      <c r="BO306" s="95"/>
      <c r="BP306" s="95"/>
      <c r="BQ306" s="95"/>
    </row>
    <row r="307" spans="1:69" s="96" customFormat="1" ht="16.5" hidden="1" customHeight="1">
      <c r="A307" s="232"/>
      <c r="B307" s="232"/>
      <c r="C307" s="236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7"/>
      <c r="S307" s="232"/>
      <c r="T307" s="232"/>
      <c r="U307" s="232"/>
      <c r="V307" s="232"/>
      <c r="W307" s="232"/>
      <c r="X307" s="232"/>
      <c r="Y307" s="232"/>
      <c r="Z307" s="237"/>
      <c r="AA307" s="232"/>
      <c r="AB307" s="232"/>
      <c r="AC307" s="232"/>
      <c r="AD307" s="232"/>
      <c r="AE307" s="232"/>
      <c r="AF307" s="232"/>
      <c r="AG307" s="232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/>
      <c r="BM307" s="95"/>
      <c r="BN307" s="95"/>
      <c r="BO307" s="95"/>
      <c r="BP307" s="95"/>
      <c r="BQ307" s="95"/>
    </row>
    <row r="308" spans="1:69" s="96" customFormat="1" ht="16.5" hidden="1" customHeight="1">
      <c r="A308" s="232"/>
      <c r="B308" s="232"/>
      <c r="C308" s="236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7"/>
      <c r="S308" s="232"/>
      <c r="T308" s="232"/>
      <c r="U308" s="232"/>
      <c r="V308" s="232"/>
      <c r="W308" s="232"/>
      <c r="X308" s="232"/>
      <c r="Y308" s="232"/>
      <c r="Z308" s="237"/>
      <c r="AA308" s="232"/>
      <c r="AB308" s="232"/>
      <c r="AC308" s="232"/>
      <c r="AD308" s="232"/>
      <c r="AE308" s="232"/>
      <c r="AF308" s="232"/>
      <c r="AG308" s="232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95"/>
      <c r="BP308" s="95"/>
      <c r="BQ308" s="95"/>
    </row>
    <row r="309" spans="1:69" s="96" customFormat="1" ht="16.5" hidden="1" customHeight="1">
      <c r="A309" s="232"/>
      <c r="B309" s="232"/>
      <c r="C309" s="236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7"/>
      <c r="S309" s="232"/>
      <c r="T309" s="232"/>
      <c r="U309" s="232"/>
      <c r="V309" s="232"/>
      <c r="W309" s="232"/>
      <c r="X309" s="232"/>
      <c r="Y309" s="232"/>
      <c r="Z309" s="237"/>
      <c r="AA309" s="232"/>
      <c r="AB309" s="232"/>
      <c r="AC309" s="232"/>
      <c r="AD309" s="232"/>
      <c r="AE309" s="232"/>
      <c r="AF309" s="232"/>
      <c r="AG309" s="232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95"/>
      <c r="BP309" s="95"/>
      <c r="BQ309" s="95"/>
    </row>
    <row r="310" spans="1:69" s="96" customFormat="1" ht="16.5" hidden="1" customHeight="1">
      <c r="A310" s="232"/>
      <c r="B310" s="232"/>
      <c r="C310" s="236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7"/>
      <c r="S310" s="232"/>
      <c r="T310" s="232"/>
      <c r="U310" s="232"/>
      <c r="V310" s="232"/>
      <c r="W310" s="232"/>
      <c r="X310" s="232"/>
      <c r="Y310" s="232"/>
      <c r="Z310" s="237"/>
      <c r="AA310" s="232"/>
      <c r="AB310" s="232"/>
      <c r="AC310" s="232"/>
      <c r="AD310" s="232"/>
      <c r="AE310" s="232"/>
      <c r="AF310" s="232"/>
      <c r="AG310" s="232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95"/>
      <c r="BP310" s="95"/>
      <c r="BQ310" s="95"/>
    </row>
    <row r="311" spans="1:69" s="96" customFormat="1" ht="16.5" hidden="1" customHeight="1">
      <c r="A311" s="232"/>
      <c r="B311" s="232"/>
      <c r="C311" s="236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7"/>
      <c r="S311" s="232"/>
      <c r="T311" s="232"/>
      <c r="U311" s="232"/>
      <c r="V311" s="232"/>
      <c r="W311" s="232"/>
      <c r="X311" s="232"/>
      <c r="Y311" s="232"/>
      <c r="Z311" s="237"/>
      <c r="AA311" s="232"/>
      <c r="AB311" s="232"/>
      <c r="AC311" s="232"/>
      <c r="AD311" s="232"/>
      <c r="AE311" s="232"/>
      <c r="AF311" s="232"/>
      <c r="AG311" s="232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95"/>
      <c r="BP311" s="95"/>
      <c r="BQ311" s="95"/>
    </row>
    <row r="312" spans="1:69" s="96" customFormat="1" ht="16.5" hidden="1" customHeight="1">
      <c r="A312" s="232"/>
      <c r="B312" s="232"/>
      <c r="C312" s="236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7"/>
      <c r="S312" s="232"/>
      <c r="T312" s="232"/>
      <c r="U312" s="232"/>
      <c r="V312" s="232"/>
      <c r="W312" s="232"/>
      <c r="X312" s="232"/>
      <c r="Y312" s="232"/>
      <c r="Z312" s="237"/>
      <c r="AA312" s="232"/>
      <c r="AB312" s="232"/>
      <c r="AC312" s="232"/>
      <c r="AD312" s="232"/>
      <c r="AE312" s="232"/>
      <c r="AF312" s="232"/>
      <c r="AG312" s="232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95"/>
      <c r="BP312" s="95"/>
      <c r="BQ312" s="95"/>
    </row>
    <row r="313" spans="1:69" s="96" customFormat="1" ht="16.5" hidden="1" customHeight="1">
      <c r="A313" s="232"/>
      <c r="B313" s="232"/>
      <c r="C313" s="236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7"/>
      <c r="S313" s="232"/>
      <c r="T313" s="232"/>
      <c r="U313" s="232"/>
      <c r="V313" s="232"/>
      <c r="W313" s="232"/>
      <c r="X313" s="232"/>
      <c r="Y313" s="232"/>
      <c r="Z313" s="237"/>
      <c r="AA313" s="232"/>
      <c r="AB313" s="232"/>
      <c r="AC313" s="232"/>
      <c r="AD313" s="232"/>
      <c r="AE313" s="232"/>
      <c r="AF313" s="232"/>
      <c r="AG313" s="232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L313" s="95"/>
      <c r="BM313" s="95"/>
      <c r="BN313" s="95"/>
      <c r="BO313" s="95"/>
      <c r="BP313" s="95"/>
      <c r="BQ313" s="95"/>
    </row>
    <row r="314" spans="1:69" s="96" customFormat="1" ht="16.5" hidden="1" customHeight="1">
      <c r="A314" s="232"/>
      <c r="B314" s="232"/>
      <c r="C314" s="236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7"/>
      <c r="S314" s="232"/>
      <c r="T314" s="232"/>
      <c r="U314" s="232"/>
      <c r="V314" s="232"/>
      <c r="W314" s="232"/>
      <c r="X314" s="232"/>
      <c r="Y314" s="232"/>
      <c r="Z314" s="237"/>
      <c r="AA314" s="232"/>
      <c r="AB314" s="232"/>
      <c r="AC314" s="232"/>
      <c r="AD314" s="232"/>
      <c r="AE314" s="232"/>
      <c r="AF314" s="232"/>
      <c r="AG314" s="232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  <c r="BM314" s="95"/>
      <c r="BN314" s="95"/>
      <c r="BO314" s="95"/>
      <c r="BP314" s="95"/>
      <c r="BQ314" s="95"/>
    </row>
    <row r="315" spans="1:69" s="96" customFormat="1" ht="16.5" hidden="1" customHeight="1">
      <c r="A315" s="232"/>
      <c r="B315" s="232"/>
      <c r="C315" s="236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7"/>
      <c r="S315" s="232"/>
      <c r="T315" s="232"/>
      <c r="U315" s="232"/>
      <c r="V315" s="232"/>
      <c r="W315" s="232"/>
      <c r="X315" s="232"/>
      <c r="Y315" s="232"/>
      <c r="Z315" s="237"/>
      <c r="AA315" s="232"/>
      <c r="AB315" s="232"/>
      <c r="AC315" s="232"/>
      <c r="AD315" s="232"/>
      <c r="AE315" s="232"/>
      <c r="AF315" s="232"/>
      <c r="AG315" s="232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95"/>
      <c r="BP315" s="95"/>
      <c r="BQ315" s="95"/>
    </row>
    <row r="316" spans="1:69" s="96" customFormat="1" ht="16.5" hidden="1" customHeight="1">
      <c r="A316" s="232"/>
      <c r="B316" s="232"/>
      <c r="C316" s="236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7"/>
      <c r="S316" s="232"/>
      <c r="T316" s="232"/>
      <c r="U316" s="232"/>
      <c r="V316" s="232"/>
      <c r="W316" s="232"/>
      <c r="X316" s="232"/>
      <c r="Y316" s="232"/>
      <c r="Z316" s="237"/>
      <c r="AA316" s="232"/>
      <c r="AB316" s="232"/>
      <c r="AC316" s="232"/>
      <c r="AD316" s="232"/>
      <c r="AE316" s="232"/>
      <c r="AF316" s="232"/>
      <c r="AG316" s="232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95"/>
      <c r="BP316" s="95"/>
      <c r="BQ316" s="95"/>
    </row>
    <row r="317" spans="1:69" s="96" customFormat="1" ht="16.5" hidden="1" customHeight="1">
      <c r="A317" s="232"/>
      <c r="B317" s="232"/>
      <c r="C317" s="236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7"/>
      <c r="S317" s="232"/>
      <c r="T317" s="232"/>
      <c r="U317" s="232"/>
      <c r="V317" s="232"/>
      <c r="W317" s="232"/>
      <c r="X317" s="232"/>
      <c r="Y317" s="232"/>
      <c r="Z317" s="237"/>
      <c r="AA317" s="232"/>
      <c r="AB317" s="232"/>
      <c r="AC317" s="232"/>
      <c r="AD317" s="232"/>
      <c r="AE317" s="232"/>
      <c r="AF317" s="232"/>
      <c r="AG317" s="232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95"/>
      <c r="BP317" s="95"/>
      <c r="BQ317" s="95"/>
    </row>
    <row r="318" spans="1:69" s="96" customFormat="1" ht="16.5" hidden="1" customHeight="1">
      <c r="A318" s="232"/>
      <c r="B318" s="232"/>
      <c r="C318" s="236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7"/>
      <c r="S318" s="232"/>
      <c r="T318" s="232"/>
      <c r="U318" s="232"/>
      <c r="V318" s="232"/>
      <c r="W318" s="232"/>
      <c r="X318" s="232"/>
      <c r="Y318" s="232"/>
      <c r="Z318" s="237"/>
      <c r="AA318" s="232"/>
      <c r="AB318" s="232"/>
      <c r="AC318" s="232"/>
      <c r="AD318" s="232"/>
      <c r="AE318" s="232"/>
      <c r="AF318" s="232"/>
      <c r="AG318" s="232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95"/>
      <c r="BP318" s="95"/>
      <c r="BQ318" s="95"/>
    </row>
    <row r="319" spans="1:69" s="96" customFormat="1" ht="16.5" hidden="1" customHeight="1">
      <c r="A319" s="232"/>
      <c r="B319" s="232"/>
      <c r="C319" s="236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7"/>
      <c r="S319" s="232"/>
      <c r="T319" s="232"/>
      <c r="U319" s="232"/>
      <c r="V319" s="232"/>
      <c r="W319" s="232"/>
      <c r="X319" s="232"/>
      <c r="Y319" s="232"/>
      <c r="Z319" s="237"/>
      <c r="AA319" s="232"/>
      <c r="AB319" s="232"/>
      <c r="AC319" s="232"/>
      <c r="AD319" s="232"/>
      <c r="AE319" s="232"/>
      <c r="AF319" s="232"/>
      <c r="AG319" s="232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95"/>
      <c r="BP319" s="95"/>
      <c r="BQ319" s="95"/>
    </row>
    <row r="320" spans="1:69" s="96" customFormat="1" ht="16.5" hidden="1" customHeight="1">
      <c r="A320" s="232"/>
      <c r="B320" s="232"/>
      <c r="C320" s="236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7"/>
      <c r="S320" s="232"/>
      <c r="T320" s="232"/>
      <c r="U320" s="232"/>
      <c r="V320" s="232"/>
      <c r="W320" s="232"/>
      <c r="X320" s="232"/>
      <c r="Y320" s="232"/>
      <c r="Z320" s="237"/>
      <c r="AA320" s="232"/>
      <c r="AB320" s="232"/>
      <c r="AC320" s="232"/>
      <c r="AD320" s="232"/>
      <c r="AE320" s="232"/>
      <c r="AF320" s="232"/>
      <c r="AG320" s="232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  <c r="BM320" s="95"/>
      <c r="BN320" s="95"/>
      <c r="BO320" s="95"/>
      <c r="BP320" s="95"/>
      <c r="BQ320" s="95"/>
    </row>
    <row r="321" spans="1:69" s="96" customFormat="1" ht="16.5" hidden="1" customHeight="1">
      <c r="A321" s="232"/>
      <c r="B321" s="232"/>
      <c r="C321" s="236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7"/>
      <c r="S321" s="232"/>
      <c r="T321" s="232"/>
      <c r="U321" s="232"/>
      <c r="V321" s="232"/>
      <c r="W321" s="232"/>
      <c r="X321" s="232"/>
      <c r="Y321" s="232"/>
      <c r="Z321" s="237"/>
      <c r="AA321" s="232"/>
      <c r="AB321" s="232"/>
      <c r="AC321" s="232"/>
      <c r="AD321" s="232"/>
      <c r="AE321" s="232"/>
      <c r="AF321" s="232"/>
      <c r="AG321" s="232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L321" s="95"/>
      <c r="BM321" s="95"/>
      <c r="BN321" s="95"/>
      <c r="BO321" s="95"/>
      <c r="BP321" s="95"/>
      <c r="BQ321" s="95"/>
    </row>
    <row r="322" spans="1:69" s="96" customFormat="1" ht="16.5" hidden="1" customHeight="1">
      <c r="A322" s="232"/>
      <c r="B322" s="232"/>
      <c r="C322" s="236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7"/>
      <c r="S322" s="232"/>
      <c r="T322" s="232"/>
      <c r="U322" s="232"/>
      <c r="V322" s="232"/>
      <c r="W322" s="232"/>
      <c r="X322" s="232"/>
      <c r="Y322" s="232"/>
      <c r="Z322" s="237"/>
      <c r="AA322" s="232"/>
      <c r="AB322" s="232"/>
      <c r="AC322" s="232"/>
      <c r="AD322" s="232"/>
      <c r="AE322" s="232"/>
      <c r="AF322" s="232"/>
      <c r="AG322" s="232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  <c r="BM322" s="95"/>
      <c r="BN322" s="95"/>
      <c r="BO322" s="95"/>
      <c r="BP322" s="95"/>
      <c r="BQ322" s="95"/>
    </row>
    <row r="323" spans="1:69" s="96" customFormat="1" ht="16.5" hidden="1" customHeight="1">
      <c r="A323" s="232"/>
      <c r="B323" s="232"/>
      <c r="C323" s="236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7"/>
      <c r="S323" s="232"/>
      <c r="T323" s="232"/>
      <c r="U323" s="232"/>
      <c r="V323" s="232"/>
      <c r="W323" s="232"/>
      <c r="X323" s="232"/>
      <c r="Y323" s="232"/>
      <c r="Z323" s="237"/>
      <c r="AA323" s="232"/>
      <c r="AB323" s="232"/>
      <c r="AC323" s="232"/>
      <c r="AD323" s="232"/>
      <c r="AE323" s="232"/>
      <c r="AF323" s="232"/>
      <c r="AG323" s="232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L323" s="95"/>
      <c r="BM323" s="95"/>
      <c r="BN323" s="95"/>
      <c r="BO323" s="95"/>
      <c r="BP323" s="95"/>
      <c r="BQ323" s="95"/>
    </row>
    <row r="324" spans="1:69" s="96" customFormat="1" ht="16.5" hidden="1" customHeight="1">
      <c r="A324" s="232"/>
      <c r="B324" s="232"/>
      <c r="C324" s="236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7"/>
      <c r="S324" s="232"/>
      <c r="T324" s="232"/>
      <c r="U324" s="232"/>
      <c r="V324" s="232"/>
      <c r="W324" s="232"/>
      <c r="X324" s="232"/>
      <c r="Y324" s="232"/>
      <c r="Z324" s="237"/>
      <c r="AA324" s="232"/>
      <c r="AB324" s="232"/>
      <c r="AC324" s="232"/>
      <c r="AD324" s="232"/>
      <c r="AE324" s="232"/>
      <c r="AF324" s="232"/>
      <c r="AG324" s="232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  <c r="BM324" s="95"/>
      <c r="BN324" s="95"/>
      <c r="BO324" s="95"/>
      <c r="BP324" s="95"/>
      <c r="BQ324" s="95"/>
    </row>
    <row r="325" spans="1:69" s="96" customFormat="1" ht="16.5" hidden="1" customHeight="1">
      <c r="A325" s="232"/>
      <c r="B325" s="232"/>
      <c r="C325" s="236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7"/>
      <c r="S325" s="232"/>
      <c r="T325" s="232"/>
      <c r="U325" s="232"/>
      <c r="V325" s="232"/>
      <c r="W325" s="232"/>
      <c r="X325" s="232"/>
      <c r="Y325" s="232"/>
      <c r="Z325" s="237"/>
      <c r="AA325" s="232"/>
      <c r="AB325" s="232"/>
      <c r="AC325" s="232"/>
      <c r="AD325" s="232"/>
      <c r="AE325" s="232"/>
      <c r="AF325" s="232"/>
      <c r="AG325" s="232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/>
      <c r="BM325" s="95"/>
      <c r="BN325" s="95"/>
      <c r="BO325" s="95"/>
      <c r="BP325" s="95"/>
      <c r="BQ325" s="95"/>
    </row>
    <row r="326" spans="1:69" s="96" customFormat="1" ht="16.5" hidden="1" customHeight="1">
      <c r="A326" s="232"/>
      <c r="B326" s="232"/>
      <c r="C326" s="236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7"/>
      <c r="S326" s="232"/>
      <c r="T326" s="232"/>
      <c r="U326" s="232"/>
      <c r="V326" s="232"/>
      <c r="W326" s="232"/>
      <c r="X326" s="232"/>
      <c r="Y326" s="232"/>
      <c r="Z326" s="237"/>
      <c r="AA326" s="232"/>
      <c r="AB326" s="232"/>
      <c r="AC326" s="232"/>
      <c r="AD326" s="232"/>
      <c r="AE326" s="232"/>
      <c r="AF326" s="232"/>
      <c r="AG326" s="232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  <c r="BM326" s="95"/>
      <c r="BN326" s="95"/>
      <c r="BO326" s="95"/>
      <c r="BP326" s="95"/>
      <c r="BQ326" s="95"/>
    </row>
    <row r="327" spans="1:69" s="96" customFormat="1" ht="16.5" hidden="1" customHeight="1">
      <c r="A327" s="232"/>
      <c r="B327" s="232"/>
      <c r="C327" s="236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7"/>
      <c r="S327" s="232"/>
      <c r="T327" s="232"/>
      <c r="U327" s="232"/>
      <c r="V327" s="232"/>
      <c r="W327" s="232"/>
      <c r="X327" s="232"/>
      <c r="Y327" s="232"/>
      <c r="Z327" s="237"/>
      <c r="AA327" s="232"/>
      <c r="AB327" s="232"/>
      <c r="AC327" s="232"/>
      <c r="AD327" s="232"/>
      <c r="AE327" s="232"/>
      <c r="AF327" s="232"/>
      <c r="AG327" s="232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L327" s="95"/>
      <c r="BM327" s="95"/>
      <c r="BN327" s="95"/>
      <c r="BO327" s="95"/>
      <c r="BP327" s="95"/>
      <c r="BQ327" s="95"/>
    </row>
    <row r="328" spans="1:69" s="96" customFormat="1" ht="16.5" hidden="1" customHeight="1">
      <c r="A328" s="232"/>
      <c r="B328" s="232"/>
      <c r="C328" s="236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7"/>
      <c r="S328" s="232"/>
      <c r="T328" s="232"/>
      <c r="U328" s="232"/>
      <c r="V328" s="232"/>
      <c r="W328" s="232"/>
      <c r="X328" s="232"/>
      <c r="Y328" s="232"/>
      <c r="Z328" s="237"/>
      <c r="AA328" s="232"/>
      <c r="AB328" s="232"/>
      <c r="AC328" s="232"/>
      <c r="AD328" s="232"/>
      <c r="AE328" s="232"/>
      <c r="AF328" s="232"/>
      <c r="AG328" s="232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</row>
    <row r="329" spans="1:69" s="96" customFormat="1" ht="16.5" hidden="1" customHeight="1">
      <c r="A329" s="232"/>
      <c r="B329" s="232"/>
      <c r="C329" s="236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7"/>
      <c r="S329" s="232"/>
      <c r="T329" s="232"/>
      <c r="U329" s="232"/>
      <c r="V329" s="232"/>
      <c r="W329" s="232"/>
      <c r="X329" s="232"/>
      <c r="Y329" s="232"/>
      <c r="Z329" s="237"/>
      <c r="AA329" s="232"/>
      <c r="AB329" s="232"/>
      <c r="AC329" s="232"/>
      <c r="AD329" s="232"/>
      <c r="AE329" s="232"/>
      <c r="AF329" s="232"/>
      <c r="AG329" s="232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L329" s="95"/>
      <c r="BM329" s="95"/>
      <c r="BN329" s="95"/>
      <c r="BO329" s="95"/>
      <c r="BP329" s="95"/>
      <c r="BQ329" s="95"/>
    </row>
    <row r="330" spans="1:69" s="96" customFormat="1" ht="16.5" hidden="1" customHeight="1">
      <c r="A330" s="232"/>
      <c r="B330" s="232"/>
      <c r="C330" s="236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7"/>
      <c r="S330" s="232"/>
      <c r="T330" s="232"/>
      <c r="U330" s="232"/>
      <c r="V330" s="232"/>
      <c r="W330" s="232"/>
      <c r="X330" s="232"/>
      <c r="Y330" s="232"/>
      <c r="Z330" s="237"/>
      <c r="AA330" s="232"/>
      <c r="AB330" s="232"/>
      <c r="AC330" s="232"/>
      <c r="AD330" s="232"/>
      <c r="AE330" s="232"/>
      <c r="AF330" s="232"/>
      <c r="AG330" s="232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  <c r="BM330" s="95"/>
      <c r="BN330" s="95"/>
      <c r="BO330" s="95"/>
      <c r="BP330" s="95"/>
      <c r="BQ330" s="95"/>
    </row>
    <row r="331" spans="1:69" s="96" customFormat="1" ht="16.5" hidden="1" customHeight="1">
      <c r="A331" s="232"/>
      <c r="B331" s="232"/>
      <c r="C331" s="236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7"/>
      <c r="S331" s="232"/>
      <c r="T331" s="232"/>
      <c r="U331" s="232"/>
      <c r="V331" s="232"/>
      <c r="W331" s="232"/>
      <c r="X331" s="232"/>
      <c r="Y331" s="232"/>
      <c r="Z331" s="237"/>
      <c r="AA331" s="232"/>
      <c r="AB331" s="232"/>
      <c r="AC331" s="232"/>
      <c r="AD331" s="232"/>
      <c r="AE331" s="232"/>
      <c r="AF331" s="232"/>
      <c r="AG331" s="232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L331" s="95"/>
      <c r="BM331" s="95"/>
      <c r="BN331" s="95"/>
      <c r="BO331" s="95"/>
      <c r="BP331" s="95"/>
      <c r="BQ331" s="95"/>
    </row>
    <row r="332" spans="1:69" s="96" customFormat="1" ht="16.5" hidden="1" customHeight="1">
      <c r="A332" s="232"/>
      <c r="B332" s="232"/>
      <c r="C332" s="236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7"/>
      <c r="S332" s="232"/>
      <c r="T332" s="232"/>
      <c r="U332" s="232"/>
      <c r="V332" s="232"/>
      <c r="W332" s="232"/>
      <c r="X332" s="232"/>
      <c r="Y332" s="232"/>
      <c r="Z332" s="237"/>
      <c r="AA332" s="232"/>
      <c r="AB332" s="232"/>
      <c r="AC332" s="232"/>
      <c r="AD332" s="232"/>
      <c r="AE332" s="232"/>
      <c r="AF332" s="232"/>
      <c r="AG332" s="232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95"/>
      <c r="BP332" s="95"/>
      <c r="BQ332" s="95"/>
    </row>
    <row r="333" spans="1:69" s="96" customFormat="1" ht="16.5" hidden="1" customHeight="1">
      <c r="A333" s="232"/>
      <c r="B333" s="232"/>
      <c r="C333" s="236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7"/>
      <c r="S333" s="232"/>
      <c r="T333" s="232"/>
      <c r="U333" s="232"/>
      <c r="V333" s="232"/>
      <c r="W333" s="232"/>
      <c r="X333" s="232"/>
      <c r="Y333" s="232"/>
      <c r="Z333" s="237"/>
      <c r="AA333" s="232"/>
      <c r="AB333" s="232"/>
      <c r="AC333" s="232"/>
      <c r="AD333" s="232"/>
      <c r="AE333" s="232"/>
      <c r="AF333" s="232"/>
      <c r="AG333" s="232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L333" s="95"/>
      <c r="BM333" s="95"/>
      <c r="BN333" s="95"/>
      <c r="BO333" s="95"/>
      <c r="BP333" s="95"/>
      <c r="BQ333" s="95"/>
    </row>
    <row r="334" spans="1:69" s="96" customFormat="1" ht="16.5" hidden="1" customHeight="1">
      <c r="A334" s="232"/>
      <c r="B334" s="232"/>
      <c r="C334" s="236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7"/>
      <c r="S334" s="232"/>
      <c r="T334" s="232"/>
      <c r="U334" s="232"/>
      <c r="V334" s="232"/>
      <c r="W334" s="232"/>
      <c r="X334" s="232"/>
      <c r="Y334" s="232"/>
      <c r="Z334" s="237"/>
      <c r="AA334" s="232"/>
      <c r="AB334" s="232"/>
      <c r="AC334" s="232"/>
      <c r="AD334" s="232"/>
      <c r="AE334" s="232"/>
      <c r="AF334" s="232"/>
      <c r="AG334" s="232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95"/>
      <c r="BP334" s="95"/>
      <c r="BQ334" s="95"/>
    </row>
    <row r="335" spans="1:69" s="96" customFormat="1" ht="16.5" hidden="1" customHeight="1">
      <c r="A335" s="232"/>
      <c r="B335" s="232"/>
      <c r="C335" s="236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7"/>
      <c r="S335" s="232"/>
      <c r="T335" s="232"/>
      <c r="U335" s="232"/>
      <c r="V335" s="232"/>
      <c r="W335" s="232"/>
      <c r="X335" s="232"/>
      <c r="Y335" s="232"/>
      <c r="Z335" s="237"/>
      <c r="AA335" s="232"/>
      <c r="AB335" s="232"/>
      <c r="AC335" s="232"/>
      <c r="AD335" s="232"/>
      <c r="AE335" s="232"/>
      <c r="AF335" s="232"/>
      <c r="AG335" s="232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95"/>
      <c r="BP335" s="95"/>
      <c r="BQ335" s="95"/>
    </row>
    <row r="336" spans="1:69" s="96" customFormat="1" ht="16.5" hidden="1" customHeight="1">
      <c r="A336" s="232"/>
      <c r="B336" s="232"/>
      <c r="C336" s="236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7"/>
      <c r="S336" s="232"/>
      <c r="T336" s="232"/>
      <c r="U336" s="232"/>
      <c r="V336" s="232"/>
      <c r="W336" s="232"/>
      <c r="X336" s="232"/>
      <c r="Y336" s="232"/>
      <c r="Z336" s="237"/>
      <c r="AA336" s="232"/>
      <c r="AB336" s="232"/>
      <c r="AC336" s="232"/>
      <c r="AD336" s="232"/>
      <c r="AE336" s="232"/>
      <c r="AF336" s="232"/>
      <c r="AG336" s="232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95"/>
      <c r="BP336" s="95"/>
      <c r="BQ336" s="95"/>
    </row>
    <row r="337" spans="1:85" s="96" customFormat="1" ht="16.5" hidden="1" customHeight="1">
      <c r="A337" s="232"/>
      <c r="B337" s="232"/>
      <c r="C337" s="236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7"/>
      <c r="S337" s="232"/>
      <c r="T337" s="232"/>
      <c r="U337" s="232"/>
      <c r="V337" s="232"/>
      <c r="W337" s="232"/>
      <c r="X337" s="232"/>
      <c r="Y337" s="232"/>
      <c r="Z337" s="237"/>
      <c r="AA337" s="232"/>
      <c r="AB337" s="232"/>
      <c r="AC337" s="232"/>
      <c r="AD337" s="232"/>
      <c r="AE337" s="232"/>
      <c r="AF337" s="232"/>
      <c r="AG337" s="232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95"/>
      <c r="BP337" s="95"/>
      <c r="BQ337" s="95"/>
    </row>
    <row r="338" spans="1:85" s="101" customFormat="1" ht="16.5" hidden="1" customHeight="1">
      <c r="A338" s="241"/>
      <c r="B338" s="241"/>
      <c r="C338" s="242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3"/>
      <c r="S338" s="241"/>
      <c r="T338" s="241"/>
      <c r="U338" s="241"/>
      <c r="V338" s="241"/>
      <c r="W338" s="241"/>
      <c r="X338" s="241"/>
      <c r="Y338" s="241"/>
      <c r="Z338" s="243"/>
      <c r="AA338" s="241"/>
      <c r="AB338" s="241"/>
      <c r="AC338" s="241"/>
      <c r="AD338" s="241"/>
      <c r="AE338" s="241"/>
      <c r="AF338" s="241"/>
      <c r="AG338" s="241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95"/>
      <c r="BP338" s="95"/>
      <c r="BQ338" s="95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  <c r="CC338" s="96"/>
      <c r="CD338" s="96"/>
      <c r="CE338" s="96"/>
      <c r="CF338" s="96"/>
      <c r="CG338" s="96"/>
    </row>
    <row r="339" spans="1:85" s="101" customFormat="1" ht="16.5" hidden="1" customHeight="1">
      <c r="A339" s="241"/>
      <c r="B339" s="241"/>
      <c r="C339" s="242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3"/>
      <c r="S339" s="241"/>
      <c r="T339" s="241"/>
      <c r="U339" s="241"/>
      <c r="V339" s="241"/>
      <c r="W339" s="241"/>
      <c r="X339" s="241"/>
      <c r="Y339" s="241"/>
      <c r="Z339" s="243"/>
      <c r="AA339" s="241"/>
      <c r="AB339" s="241"/>
      <c r="AC339" s="241"/>
      <c r="AD339" s="241"/>
      <c r="AE339" s="241"/>
      <c r="AF339" s="241"/>
      <c r="AG339" s="241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95"/>
      <c r="BP339" s="95"/>
      <c r="BQ339" s="95"/>
      <c r="BR339" s="96"/>
      <c r="BS339" s="96"/>
      <c r="BT339" s="96"/>
      <c r="BU339" s="96"/>
      <c r="BV339" s="96"/>
      <c r="BW339" s="96"/>
      <c r="BX339" s="96"/>
      <c r="BY339" s="96"/>
      <c r="BZ339" s="96"/>
      <c r="CA339" s="96"/>
      <c r="CB339" s="96"/>
      <c r="CC339" s="96"/>
      <c r="CD339" s="96"/>
      <c r="CE339" s="96"/>
      <c r="CF339" s="96"/>
      <c r="CG339" s="96"/>
    </row>
    <row r="340" spans="1:85" s="101" customFormat="1" ht="16.5" hidden="1" customHeight="1">
      <c r="A340" s="241"/>
      <c r="B340" s="241"/>
      <c r="C340" s="242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3"/>
      <c r="S340" s="241"/>
      <c r="T340" s="241"/>
      <c r="U340" s="241"/>
      <c r="V340" s="241"/>
      <c r="W340" s="241"/>
      <c r="X340" s="241"/>
      <c r="Y340" s="241"/>
      <c r="Z340" s="243"/>
      <c r="AA340" s="241"/>
      <c r="AB340" s="241"/>
      <c r="AC340" s="241"/>
      <c r="AD340" s="241"/>
      <c r="AE340" s="241"/>
      <c r="AF340" s="241"/>
      <c r="AG340" s="241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95"/>
      <c r="BP340" s="95"/>
      <c r="BQ340" s="95"/>
      <c r="BR340" s="96"/>
      <c r="BS340" s="96"/>
      <c r="BT340" s="96"/>
      <c r="BU340" s="96"/>
      <c r="BV340" s="96"/>
      <c r="BW340" s="96"/>
      <c r="BX340" s="96"/>
      <c r="BY340" s="96"/>
      <c r="BZ340" s="96"/>
      <c r="CA340" s="96"/>
      <c r="CB340" s="96"/>
      <c r="CC340" s="96"/>
      <c r="CD340" s="96"/>
      <c r="CE340" s="96"/>
      <c r="CF340" s="96"/>
      <c r="CG340" s="96"/>
    </row>
    <row r="341" spans="1:85" s="101" customFormat="1" ht="16.5" hidden="1" customHeight="1">
      <c r="A341" s="241"/>
      <c r="B341" s="241"/>
      <c r="C341" s="242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3"/>
      <c r="S341" s="241"/>
      <c r="T341" s="241"/>
      <c r="U341" s="241"/>
      <c r="V341" s="241"/>
      <c r="W341" s="241"/>
      <c r="X341" s="241"/>
      <c r="Y341" s="241"/>
      <c r="Z341" s="243"/>
      <c r="AA341" s="241"/>
      <c r="AB341" s="241"/>
      <c r="AC341" s="241"/>
      <c r="AD341" s="241"/>
      <c r="AE341" s="241"/>
      <c r="AF341" s="241"/>
      <c r="AG341" s="241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6"/>
      <c r="BS341" s="96"/>
      <c r="BT341" s="96"/>
      <c r="BU341" s="96"/>
      <c r="BV341" s="96"/>
      <c r="BW341" s="96"/>
      <c r="BX341" s="96"/>
      <c r="BY341" s="96"/>
      <c r="BZ341" s="96"/>
      <c r="CA341" s="96"/>
      <c r="CB341" s="96"/>
      <c r="CC341" s="96"/>
      <c r="CD341" s="96"/>
      <c r="CE341" s="96"/>
      <c r="CF341" s="96"/>
      <c r="CG341" s="96"/>
    </row>
    <row r="342" spans="1:85" s="101" customFormat="1" ht="16.5" hidden="1" customHeight="1">
      <c r="A342" s="241"/>
      <c r="B342" s="241"/>
      <c r="C342" s="242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3"/>
      <c r="S342" s="241"/>
      <c r="T342" s="241"/>
      <c r="U342" s="241"/>
      <c r="V342" s="241"/>
      <c r="W342" s="241"/>
      <c r="X342" s="241"/>
      <c r="Y342" s="241"/>
      <c r="Z342" s="243"/>
      <c r="AA342" s="241"/>
      <c r="AB342" s="241"/>
      <c r="AC342" s="241"/>
      <c r="AD342" s="241"/>
      <c r="AE342" s="241"/>
      <c r="AF342" s="241"/>
      <c r="AG342" s="241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95"/>
      <c r="BP342" s="95"/>
      <c r="BQ342" s="95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  <c r="CC342" s="96"/>
      <c r="CD342" s="96"/>
      <c r="CE342" s="96"/>
      <c r="CF342" s="96"/>
      <c r="CG342" s="96"/>
    </row>
    <row r="343" spans="1:85" s="101" customFormat="1" ht="16.5" hidden="1" customHeight="1">
      <c r="A343" s="241"/>
      <c r="B343" s="241"/>
      <c r="C343" s="242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3"/>
      <c r="S343" s="241"/>
      <c r="T343" s="241"/>
      <c r="U343" s="241"/>
      <c r="V343" s="241"/>
      <c r="W343" s="241"/>
      <c r="X343" s="241"/>
      <c r="Y343" s="241"/>
      <c r="Z343" s="243"/>
      <c r="AA343" s="241"/>
      <c r="AB343" s="241"/>
      <c r="AC343" s="241"/>
      <c r="AD343" s="241"/>
      <c r="AE343" s="241"/>
      <c r="AF343" s="241"/>
      <c r="AG343" s="241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95"/>
      <c r="BP343" s="95"/>
      <c r="BQ343" s="95"/>
      <c r="BR343" s="96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6"/>
      <c r="CD343" s="96"/>
      <c r="CE343" s="96"/>
      <c r="CF343" s="96"/>
      <c r="CG343" s="96"/>
    </row>
    <row r="344" spans="1:85" s="101" customFormat="1" ht="16.5" hidden="1" customHeight="1">
      <c r="A344" s="241"/>
      <c r="B344" s="241"/>
      <c r="C344" s="242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3"/>
      <c r="S344" s="241"/>
      <c r="T344" s="241"/>
      <c r="U344" s="241"/>
      <c r="V344" s="241"/>
      <c r="W344" s="241"/>
      <c r="X344" s="241"/>
      <c r="Y344" s="241"/>
      <c r="Z344" s="243"/>
      <c r="AA344" s="241"/>
      <c r="AB344" s="241"/>
      <c r="AC344" s="241"/>
      <c r="AD344" s="241"/>
      <c r="AE344" s="241"/>
      <c r="AF344" s="241"/>
      <c r="AG344" s="241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95"/>
      <c r="BP344" s="95"/>
      <c r="BQ344" s="95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  <c r="CC344" s="96"/>
      <c r="CD344" s="96"/>
      <c r="CE344" s="96"/>
      <c r="CF344" s="96"/>
      <c r="CG344" s="96"/>
    </row>
    <row r="345" spans="1:85" s="101" customFormat="1" ht="16.5" hidden="1" customHeight="1">
      <c r="A345" s="241"/>
      <c r="B345" s="241"/>
      <c r="C345" s="242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3"/>
      <c r="S345" s="241"/>
      <c r="T345" s="241"/>
      <c r="U345" s="241"/>
      <c r="V345" s="241"/>
      <c r="W345" s="241"/>
      <c r="X345" s="241"/>
      <c r="Y345" s="241"/>
      <c r="Z345" s="243"/>
      <c r="AA345" s="241"/>
      <c r="AB345" s="241"/>
      <c r="AC345" s="241"/>
      <c r="AD345" s="241"/>
      <c r="AE345" s="241"/>
      <c r="AF345" s="241"/>
      <c r="AG345" s="241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95"/>
      <c r="BP345" s="95"/>
      <c r="BQ345" s="95"/>
      <c r="BR345" s="96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  <c r="CE345" s="96"/>
      <c r="CF345" s="96"/>
      <c r="CG345" s="96"/>
    </row>
    <row r="346" spans="1:85" s="101" customFormat="1" ht="16.5" hidden="1" customHeight="1">
      <c r="A346" s="241"/>
      <c r="B346" s="241"/>
      <c r="C346" s="242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3"/>
      <c r="S346" s="241"/>
      <c r="T346" s="241"/>
      <c r="U346" s="241"/>
      <c r="V346" s="241"/>
      <c r="W346" s="241"/>
      <c r="X346" s="241"/>
      <c r="Y346" s="241"/>
      <c r="Z346" s="243"/>
      <c r="AA346" s="241"/>
      <c r="AB346" s="241"/>
      <c r="AC346" s="241"/>
      <c r="AD346" s="241"/>
      <c r="AE346" s="241"/>
      <c r="AF346" s="241"/>
      <c r="AG346" s="241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95"/>
      <c r="BP346" s="95"/>
      <c r="BQ346" s="95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  <c r="CC346" s="96"/>
      <c r="CD346" s="96"/>
      <c r="CE346" s="96"/>
      <c r="CF346" s="96"/>
      <c r="CG346" s="96"/>
    </row>
    <row r="347" spans="1:85" s="101" customFormat="1" ht="16.5" hidden="1" customHeight="1">
      <c r="A347" s="241"/>
      <c r="B347" s="241"/>
      <c r="C347" s="242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3"/>
      <c r="S347" s="241"/>
      <c r="T347" s="241"/>
      <c r="U347" s="241"/>
      <c r="V347" s="241"/>
      <c r="W347" s="241"/>
      <c r="X347" s="241"/>
      <c r="Y347" s="241"/>
      <c r="Z347" s="243"/>
      <c r="AA347" s="241"/>
      <c r="AB347" s="241"/>
      <c r="AC347" s="241"/>
      <c r="AD347" s="241"/>
      <c r="AE347" s="241"/>
      <c r="AF347" s="241"/>
      <c r="AG347" s="241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95"/>
      <c r="BP347" s="95"/>
      <c r="BQ347" s="95"/>
      <c r="BR347" s="96"/>
      <c r="BS347" s="96"/>
      <c r="BT347" s="96"/>
      <c r="BU347" s="96"/>
      <c r="BV347" s="96"/>
      <c r="BW347" s="96"/>
      <c r="BX347" s="96"/>
      <c r="BY347" s="96"/>
      <c r="BZ347" s="96"/>
      <c r="CA347" s="96"/>
      <c r="CB347" s="96"/>
      <c r="CC347" s="96"/>
      <c r="CD347" s="96"/>
      <c r="CE347" s="96"/>
      <c r="CF347" s="96"/>
      <c r="CG347" s="96"/>
    </row>
  </sheetData>
  <sheetProtection password="CE28" sheet="1" objects="1" scenarios="1" formatCells="0" formatColumns="0"/>
  <customSheetViews>
    <customSheetView guid="{0E659955-9737-492F-945A-95AC3E0C4088}" showPageBreaks="1" showGridLines="0" showRowCol="0" printArea="1" hiddenRows="1" hiddenColumns="1">
      <selection activeCell="X27" sqref="X27:Z27"/>
      <pageMargins left="0.28000000000000003" right="0" top="0" bottom="0" header="0" footer="0"/>
      <printOptions verticalCentered="1"/>
      <pageSetup paperSize="9" scale="88" orientation="portrait" blackAndWhite="1" r:id="rId1"/>
      <headerFooter alignWithMargins="0"/>
    </customSheetView>
    <customSheetView guid="{6B449CA7-43A5-4BFF-BFE3-4A3E3D45323D}" showPageBreaks="1" showGridLines="0" showRowCol="0" printArea="1" hiddenRows="1" hiddenColumns="1">
      <selection activeCell="F4" sqref="F4"/>
      <pageMargins left="0.28000000000000003" right="0" top="0" bottom="0" header="0" footer="0"/>
      <printOptions verticalCentered="1"/>
      <pageSetup paperSize="9" scale="95" orientation="portrait" blackAndWhite="1" r:id="rId2"/>
      <headerFooter alignWithMargins="0"/>
    </customSheetView>
  </customSheetViews>
  <mergeCells count="164">
    <mergeCell ref="C2:AE2"/>
    <mergeCell ref="AA50:AE50"/>
    <mergeCell ref="N1:AB1"/>
    <mergeCell ref="L24:N24"/>
    <mergeCell ref="E34:Q34"/>
    <mergeCell ref="AA18:AE18"/>
    <mergeCell ref="AA19:AE19"/>
    <mergeCell ref="X22:Z22"/>
    <mergeCell ref="K1:L1"/>
    <mergeCell ref="AB35:AE35"/>
    <mergeCell ref="Z41:AE41"/>
    <mergeCell ref="C10:H10"/>
    <mergeCell ref="AB39:AE39"/>
    <mergeCell ref="V10:Y10"/>
    <mergeCell ref="D14:E14"/>
    <mergeCell ref="X24:Z24"/>
    <mergeCell ref="X27:Z27"/>
    <mergeCell ref="X25:Z25"/>
    <mergeCell ref="R10:U10"/>
    <mergeCell ref="C3:L3"/>
    <mergeCell ref="A1:J1"/>
    <mergeCell ref="R4:U4"/>
    <mergeCell ref="Q26:V26"/>
    <mergeCell ref="Z8:AE8"/>
    <mergeCell ref="AC1:AE1"/>
    <mergeCell ref="L22:N22"/>
    <mergeCell ref="C4:E4"/>
    <mergeCell ref="R6:U6"/>
    <mergeCell ref="V3:AE3"/>
    <mergeCell ref="E27:J27"/>
    <mergeCell ref="Q41:X41"/>
    <mergeCell ref="E33:Q33"/>
    <mergeCell ref="E38:Q38"/>
    <mergeCell ref="E37:Q37"/>
    <mergeCell ref="C29:N29"/>
    <mergeCell ref="S14:V14"/>
    <mergeCell ref="V9:Y9"/>
    <mergeCell ref="X8:Y8"/>
    <mergeCell ref="C8:H8"/>
    <mergeCell ref="C6:E6"/>
    <mergeCell ref="L21:N21"/>
    <mergeCell ref="I9:U9"/>
    <mergeCell ref="Q22:V22"/>
    <mergeCell ref="D13:Q13"/>
    <mergeCell ref="P10:Q10"/>
    <mergeCell ref="S15:V15"/>
    <mergeCell ref="D19:P19"/>
    <mergeCell ref="X21:Z21"/>
    <mergeCell ref="I8:W8"/>
    <mergeCell ref="X26:Z26"/>
    <mergeCell ref="S32:V32"/>
    <mergeCell ref="S31:V31"/>
    <mergeCell ref="G14:Q14"/>
    <mergeCell ref="S18:V18"/>
    <mergeCell ref="S33:V33"/>
    <mergeCell ref="Z9:AE9"/>
    <mergeCell ref="D54:Y54"/>
    <mergeCell ref="S35:V35"/>
    <mergeCell ref="E35:Q35"/>
    <mergeCell ref="W39:AA39"/>
    <mergeCell ref="E22:J22"/>
    <mergeCell ref="AA52:AE52"/>
    <mergeCell ref="L27:N27"/>
    <mergeCell ref="Q29:V29"/>
    <mergeCell ref="Q25:V25"/>
    <mergeCell ref="S44:V44"/>
    <mergeCell ref="J43:L43"/>
    <mergeCell ref="C9:H9"/>
    <mergeCell ref="S17:V17"/>
    <mergeCell ref="I10:O10"/>
    <mergeCell ref="AA48:AE48"/>
    <mergeCell ref="G15:Q15"/>
    <mergeCell ref="C90:E90"/>
    <mergeCell ref="E36:Q36"/>
    <mergeCell ref="E32:Q32"/>
    <mergeCell ref="G18:Q18"/>
    <mergeCell ref="C60:AE60"/>
    <mergeCell ref="X23:Z23"/>
    <mergeCell ref="Q21:V21"/>
    <mergeCell ref="S45:V45"/>
    <mergeCell ref="Y79:AB79"/>
    <mergeCell ref="X81:Y81"/>
    <mergeCell ref="U76:V76"/>
    <mergeCell ref="AA59:AE59"/>
    <mergeCell ref="G72:H72"/>
    <mergeCell ref="S70:V70"/>
    <mergeCell ref="S39:V39"/>
    <mergeCell ref="E31:Q31"/>
    <mergeCell ref="Q27:V27"/>
    <mergeCell ref="S37:V37"/>
    <mergeCell ref="S34:V34"/>
    <mergeCell ref="S36:V36"/>
    <mergeCell ref="E21:J21"/>
    <mergeCell ref="K46:P46"/>
    <mergeCell ref="S46:V46"/>
    <mergeCell ref="AA13:AE13"/>
    <mergeCell ref="E24:J24"/>
    <mergeCell ref="Q23:V23"/>
    <mergeCell ref="S16:V16"/>
    <mergeCell ref="L23:N23"/>
    <mergeCell ref="D20:P20"/>
    <mergeCell ref="D30:P30"/>
    <mergeCell ref="Z10:AE10"/>
    <mergeCell ref="S38:V38"/>
    <mergeCell ref="G16:Q16"/>
    <mergeCell ref="D59:Y59"/>
    <mergeCell ref="O72:Q72"/>
    <mergeCell ref="U73:V73"/>
    <mergeCell ref="AA57:AE57"/>
    <mergeCell ref="AA53:AE53"/>
    <mergeCell ref="AA51:AE51"/>
    <mergeCell ref="AA55:AE55"/>
    <mergeCell ref="AA58:AE58"/>
    <mergeCell ref="AA56:AE56"/>
    <mergeCell ref="AA54:AE54"/>
    <mergeCell ref="D51:Y51"/>
    <mergeCell ref="C94:D94"/>
    <mergeCell ref="D50:Y50"/>
    <mergeCell ref="R73:T73"/>
    <mergeCell ref="C48:X48"/>
    <mergeCell ref="C89:E89"/>
    <mergeCell ref="S89:V89"/>
    <mergeCell ref="C93:D93"/>
    <mergeCell ref="C92:D92"/>
    <mergeCell ref="J73:M73"/>
    <mergeCell ref="L72:M72"/>
    <mergeCell ref="R78:T78"/>
    <mergeCell ref="S88:V88"/>
    <mergeCell ref="S85:V85"/>
    <mergeCell ref="S86:V86"/>
    <mergeCell ref="R74:T74"/>
    <mergeCell ref="S80:V80"/>
    <mergeCell ref="Y78:AB78"/>
    <mergeCell ref="R76:T76"/>
    <mergeCell ref="D55:Y55"/>
    <mergeCell ref="S84:V84"/>
    <mergeCell ref="S82:V82"/>
    <mergeCell ref="C85:E85"/>
    <mergeCell ref="C77:F77"/>
    <mergeCell ref="C84:E84"/>
    <mergeCell ref="C87:E87"/>
    <mergeCell ref="L25:N25"/>
    <mergeCell ref="W18:Y18"/>
    <mergeCell ref="C86:E86"/>
    <mergeCell ref="G17:Q17"/>
    <mergeCell ref="E25:J25"/>
    <mergeCell ref="Q24:V24"/>
    <mergeCell ref="S87:V87"/>
    <mergeCell ref="O73:Q73"/>
    <mergeCell ref="L26:N26"/>
    <mergeCell ref="E23:J23"/>
    <mergeCell ref="C80:D80"/>
    <mergeCell ref="S83:V83"/>
    <mergeCell ref="D42:P42"/>
    <mergeCell ref="D41:J41"/>
    <mergeCell ref="D57:Y57"/>
    <mergeCell ref="D53:Y53"/>
    <mergeCell ref="E26:J26"/>
    <mergeCell ref="D58:Y58"/>
    <mergeCell ref="D56:Y56"/>
    <mergeCell ref="D49:Y49"/>
    <mergeCell ref="E39:Q39"/>
    <mergeCell ref="S43:V43"/>
    <mergeCell ref="D52:Y52"/>
  </mergeCells>
  <dataValidations count="2">
    <dataValidation type="list" allowBlank="1" showInputMessage="1" showErrorMessage="1" sqref="AC1:AE1" xr:uid="{00000000-0002-0000-0000-000000000000}">
      <formula1>$AM$2:$AM$3</formula1>
    </dataValidation>
    <dataValidation type="list" allowBlank="1" showInputMessage="1" showErrorMessage="1" sqref="K1" xr:uid="{00000000-0002-0000-0000-000001000000}">
      <formula1>"હા,ના"</formula1>
    </dataValidation>
  </dataValidations>
  <printOptions verticalCentered="1"/>
  <pageMargins left="0.28000000000000003" right="0" top="0" bottom="0" header="0" footer="0"/>
  <pageSetup paperSize="9" scale="88" orientation="portrait" blackAndWhite="1" r:id="rId3"/>
  <headerFooter alignWithMargins="0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XFD987"/>
  <sheetViews>
    <sheetView view="pageLayout" zoomScaleNormal="100" workbookViewId="0">
      <selection activeCell="G1" sqref="G1"/>
    </sheetView>
  </sheetViews>
  <sheetFormatPr defaultColWidth="0" defaultRowHeight="15" customHeight="1" zeroHeight="1"/>
  <cols>
    <col min="1" max="1" width="3" style="154" customWidth="1"/>
    <col min="2" max="2" width="1" style="158" customWidth="1"/>
    <col min="3" max="3" width="8.453125" style="158" customWidth="1"/>
    <col min="4" max="4" width="2.54296875" style="158" customWidth="1"/>
    <col min="5" max="5" width="10.453125" style="158" customWidth="1"/>
    <col min="6" max="6" width="8.453125" style="158" customWidth="1"/>
    <col min="7" max="7" width="10" style="158" customWidth="1"/>
    <col min="8" max="8" width="10.81640625" style="158" customWidth="1"/>
    <col min="9" max="9" width="9" style="158" customWidth="1"/>
    <col min="10" max="10" width="9.7265625" style="158" customWidth="1"/>
    <col min="11" max="11" width="10.54296875" style="158" customWidth="1"/>
    <col min="12" max="12" width="9.81640625" style="158" customWidth="1"/>
    <col min="13" max="13" width="11" style="158" customWidth="1"/>
    <col min="14" max="14" width="9" style="158" customWidth="1"/>
    <col min="15" max="15" width="1" style="158" customWidth="1"/>
    <col min="16" max="16" width="3" style="154" customWidth="1"/>
    <col min="17" max="29" width="8" style="157" hidden="1" customWidth="1"/>
    <col min="30" max="42" width="0" style="157" hidden="1" customWidth="1"/>
    <col min="43" max="256" width="0" style="158" hidden="1" customWidth="1"/>
    <col min="257" max="16384" width="0" style="159" hidden="1"/>
  </cols>
  <sheetData>
    <row r="1" spans="1:42 16384:16384" s="153" customFormat="1" ht="19.5" customHeight="1" thickBot="1">
      <c r="A1" s="325" t="s">
        <v>91</v>
      </c>
      <c r="B1" s="325"/>
      <c r="C1" s="325"/>
      <c r="D1" s="325"/>
      <c r="E1" s="325"/>
      <c r="F1" s="325"/>
      <c r="G1" s="149" t="s">
        <v>297</v>
      </c>
      <c r="H1" s="333" t="str">
        <f>X6</f>
        <v>અંકે રૂપિયા  પુરા</v>
      </c>
      <c r="I1" s="333"/>
      <c r="J1" s="333"/>
      <c r="K1" s="333"/>
      <c r="L1" s="333"/>
      <c r="M1" s="333"/>
      <c r="N1" s="333"/>
      <c r="O1" s="150"/>
      <c r="P1" s="151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XFD1" s="153" t="s">
        <v>233</v>
      </c>
    </row>
    <row r="2" spans="1:42 16384:16384" ht="10.5" customHeight="1">
      <c r="B2" s="155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156"/>
    </row>
    <row r="3" spans="1:42 16384:16384" s="164" customFormat="1" ht="23.25" customHeight="1">
      <c r="A3" s="160"/>
      <c r="B3" s="161"/>
      <c r="C3" s="328" t="s">
        <v>86</v>
      </c>
      <c r="D3" s="328"/>
      <c r="E3" s="328"/>
      <c r="F3" s="327" t="str">
        <f>IF('નવા સ્લેબ મુજબ (NEW SLAB)'!I8="","",'નવા સ્લેબ મુજબ (NEW SLAB)'!I8)</f>
        <v/>
      </c>
      <c r="G3" s="327"/>
      <c r="H3" s="327"/>
      <c r="I3" s="327"/>
      <c r="J3" s="328" t="s">
        <v>87</v>
      </c>
      <c r="K3" s="328"/>
      <c r="L3" s="327" t="str">
        <f>IF('નવા સ્લેબ મુજબ (NEW SLAB)'!I9="","",'નવા સ્લેબ મુજબ (NEW SLAB)'!I9)</f>
        <v/>
      </c>
      <c r="M3" s="327"/>
      <c r="N3" s="327"/>
      <c r="O3" s="162"/>
      <c r="P3" s="160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</row>
    <row r="4" spans="1:42 16384:16384" ht="6.75" customHeight="1">
      <c r="B4" s="165"/>
      <c r="C4" s="166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8"/>
    </row>
    <row r="5" spans="1:42 16384:16384" ht="58">
      <c r="B5" s="165"/>
      <c r="C5" s="331" t="s">
        <v>0</v>
      </c>
      <c r="D5" s="332"/>
      <c r="E5" s="169" t="s">
        <v>80</v>
      </c>
      <c r="F5" s="169" t="s">
        <v>32</v>
      </c>
      <c r="G5" s="169" t="s">
        <v>323</v>
      </c>
      <c r="H5" s="169" t="s">
        <v>324</v>
      </c>
      <c r="I5" s="169" t="s">
        <v>33</v>
      </c>
      <c r="J5" s="169" t="s">
        <v>325</v>
      </c>
      <c r="K5" s="169" t="s">
        <v>34</v>
      </c>
      <c r="L5" s="169" t="s">
        <v>35</v>
      </c>
      <c r="M5" s="169" t="s">
        <v>36</v>
      </c>
      <c r="N5" s="170" t="s">
        <v>1</v>
      </c>
      <c r="O5" s="171"/>
    </row>
    <row r="6" spans="1:42 16384:16384" s="158" customFormat="1" ht="22.5" customHeight="1">
      <c r="A6" s="172"/>
      <c r="B6" s="173"/>
      <c r="C6" s="329" t="s">
        <v>302</v>
      </c>
      <c r="D6" s="330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5"/>
      <c r="P6" s="172"/>
      <c r="Q6" s="157"/>
      <c r="R6" s="157" t="s">
        <v>297</v>
      </c>
      <c r="S6" s="163" t="str">
        <f>Sheet1!A12</f>
        <v>અંકે રૂપિયા  પુરા</v>
      </c>
      <c r="T6" s="157"/>
      <c r="U6" s="157"/>
      <c r="V6" s="157"/>
      <c r="W6" s="157"/>
      <c r="X6" s="157" t="str">
        <f>IF(G1="new",S6,S7)</f>
        <v>અંકે રૂપિયા  પુરા</v>
      </c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</row>
    <row r="7" spans="1:42 16384:16384" s="158" customFormat="1" ht="22.5" customHeight="1">
      <c r="A7" s="172"/>
      <c r="B7" s="173"/>
      <c r="C7" s="304" t="s">
        <v>303</v>
      </c>
      <c r="D7" s="305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5"/>
      <c r="P7" s="172"/>
      <c r="Q7" s="157"/>
      <c r="R7" s="157" t="s">
        <v>298</v>
      </c>
      <c r="S7" s="157" t="str">
        <f>Sheet1!A25</f>
        <v>અંકે રૂપિયા  પુરા</v>
      </c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</row>
    <row r="8" spans="1:42 16384:16384" s="158" customFormat="1" ht="22.5" customHeight="1">
      <c r="A8" s="172"/>
      <c r="B8" s="173"/>
      <c r="C8" s="304" t="s">
        <v>304</v>
      </c>
      <c r="D8" s="305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5"/>
      <c r="P8" s="172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</row>
    <row r="9" spans="1:42 16384:16384" s="158" customFormat="1" ht="22.5" customHeight="1">
      <c r="A9" s="172"/>
      <c r="B9" s="173"/>
      <c r="C9" s="304" t="s">
        <v>305</v>
      </c>
      <c r="D9" s="305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5"/>
      <c r="P9" s="172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</row>
    <row r="10" spans="1:42 16384:16384" s="158" customFormat="1" ht="22.5" customHeight="1">
      <c r="A10" s="172"/>
      <c r="B10" s="173"/>
      <c r="C10" s="304" t="s">
        <v>306</v>
      </c>
      <c r="D10" s="305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5"/>
      <c r="P10" s="172"/>
      <c r="Q10" s="157"/>
      <c r="R10" s="157"/>
      <c r="S10" s="176">
        <f>SUM(J6:J16)</f>
        <v>0</v>
      </c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</row>
    <row r="11" spans="1:42 16384:16384" s="158" customFormat="1" ht="22.5" customHeight="1">
      <c r="A11" s="172"/>
      <c r="B11" s="173"/>
      <c r="C11" s="304" t="s">
        <v>307</v>
      </c>
      <c r="D11" s="305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5"/>
      <c r="P11" s="172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</row>
    <row r="12" spans="1:42 16384:16384" s="158" customFormat="1" ht="22.5" customHeight="1">
      <c r="A12" s="172"/>
      <c r="B12" s="173"/>
      <c r="C12" s="304" t="s">
        <v>308</v>
      </c>
      <c r="D12" s="305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5"/>
      <c r="P12" s="172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</row>
    <row r="13" spans="1:42 16384:16384" s="158" customFormat="1" ht="22.5" customHeight="1">
      <c r="A13" s="172"/>
      <c r="B13" s="173"/>
      <c r="C13" s="304" t="s">
        <v>309</v>
      </c>
      <c r="D13" s="305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5"/>
      <c r="P13" s="172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</row>
    <row r="14" spans="1:42 16384:16384" s="158" customFormat="1" ht="22.5" customHeight="1">
      <c r="A14" s="172"/>
      <c r="B14" s="173"/>
      <c r="C14" s="304" t="s">
        <v>310</v>
      </c>
      <c r="D14" s="305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5"/>
      <c r="P14" s="172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</row>
    <row r="15" spans="1:42 16384:16384" s="158" customFormat="1" ht="22.5" customHeight="1">
      <c r="A15" s="172"/>
      <c r="B15" s="173"/>
      <c r="C15" s="304" t="s">
        <v>311</v>
      </c>
      <c r="D15" s="305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172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</row>
    <row r="16" spans="1:42 16384:16384" s="158" customFormat="1" ht="22.5" customHeight="1">
      <c r="A16" s="172"/>
      <c r="B16" s="173"/>
      <c r="C16" s="304" t="s">
        <v>312</v>
      </c>
      <c r="D16" s="305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5"/>
      <c r="P16" s="172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</row>
    <row r="17" spans="1:42" s="158" customFormat="1" ht="22.5" customHeight="1">
      <c r="A17" s="172"/>
      <c r="B17" s="173"/>
      <c r="C17" s="304" t="s">
        <v>313</v>
      </c>
      <c r="D17" s="305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5"/>
      <c r="P17" s="17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</row>
    <row r="18" spans="1:42" s="183" customFormat="1" ht="25.5" customHeight="1">
      <c r="A18" s="178"/>
      <c r="B18" s="179"/>
      <c r="C18" s="323" t="s">
        <v>39</v>
      </c>
      <c r="D18" s="324"/>
      <c r="E18" s="180">
        <f t="shared" ref="E18:N18" si="0">SUM(E6:E17)</f>
        <v>0</v>
      </c>
      <c r="F18" s="180">
        <f t="shared" si="0"/>
        <v>0</v>
      </c>
      <c r="G18" s="180">
        <f t="shared" si="0"/>
        <v>0</v>
      </c>
      <c r="H18" s="180">
        <f>SUM(H6:H17)</f>
        <v>0</v>
      </c>
      <c r="I18" s="180">
        <f t="shared" si="0"/>
        <v>0</v>
      </c>
      <c r="J18" s="180">
        <f t="shared" si="0"/>
        <v>0</v>
      </c>
      <c r="K18" s="180">
        <f t="shared" si="0"/>
        <v>0</v>
      </c>
      <c r="L18" s="180">
        <f t="shared" si="0"/>
        <v>0</v>
      </c>
      <c r="M18" s="180">
        <f t="shared" si="0"/>
        <v>0</v>
      </c>
      <c r="N18" s="180">
        <f t="shared" si="0"/>
        <v>0</v>
      </c>
      <c r="O18" s="181"/>
      <c r="P18" s="178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</row>
    <row r="19" spans="1:42" ht="9" customHeight="1">
      <c r="B19" s="165"/>
      <c r="C19" s="184"/>
      <c r="D19" s="185"/>
      <c r="O19" s="168"/>
    </row>
    <row r="20" spans="1:42" ht="22.5" customHeight="1">
      <c r="B20" s="165"/>
      <c r="C20" s="186" t="s">
        <v>42</v>
      </c>
      <c r="D20" s="187" t="s">
        <v>37</v>
      </c>
      <c r="E20" s="188"/>
      <c r="F20" s="315" t="s">
        <v>231</v>
      </c>
      <c r="G20" s="322"/>
      <c r="H20" s="321"/>
      <c r="I20" s="321"/>
      <c r="J20" s="321"/>
      <c r="K20" s="321"/>
      <c r="L20" s="321"/>
      <c r="M20" s="321"/>
      <c r="N20" s="321"/>
      <c r="O20" s="189"/>
    </row>
    <row r="21" spans="1:42" ht="22.5" customHeight="1">
      <c r="B21" s="165"/>
      <c r="C21" s="186" t="s">
        <v>43</v>
      </c>
      <c r="D21" s="187" t="s">
        <v>37</v>
      </c>
      <c r="E21" s="188"/>
      <c r="F21" s="315" t="s">
        <v>231</v>
      </c>
      <c r="G21" s="322"/>
      <c r="H21" s="321"/>
      <c r="I21" s="321"/>
      <c r="J21" s="321"/>
      <c r="K21" s="321"/>
      <c r="L21" s="321"/>
      <c r="M21" s="321"/>
      <c r="N21" s="321"/>
      <c r="O21" s="189"/>
    </row>
    <row r="22" spans="1:42" ht="22.5" customHeight="1">
      <c r="B22" s="165"/>
      <c r="C22" s="186" t="s">
        <v>44</v>
      </c>
      <c r="D22" s="187" t="s">
        <v>37</v>
      </c>
      <c r="E22" s="188"/>
      <c r="F22" s="315" t="s">
        <v>10</v>
      </c>
      <c r="G22" s="322"/>
      <c r="H22" s="321"/>
      <c r="I22" s="321"/>
      <c r="J22" s="321"/>
      <c r="K22" s="321"/>
      <c r="L22" s="321"/>
      <c r="M22" s="321"/>
      <c r="N22" s="321"/>
      <c r="O22" s="189"/>
    </row>
    <row r="23" spans="1:42" ht="22.5" customHeight="1">
      <c r="B23" s="165"/>
      <c r="C23" s="186" t="s">
        <v>45</v>
      </c>
      <c r="D23" s="187" t="s">
        <v>37</v>
      </c>
      <c r="E23" s="188"/>
      <c r="F23" s="315" t="s">
        <v>67</v>
      </c>
      <c r="G23" s="322"/>
      <c r="H23" s="321"/>
      <c r="I23" s="321"/>
      <c r="J23" s="321"/>
      <c r="K23" s="321"/>
      <c r="L23" s="321"/>
      <c r="M23" s="321"/>
      <c r="N23" s="321"/>
      <c r="O23" s="189"/>
    </row>
    <row r="24" spans="1:42" ht="18.75" customHeight="1">
      <c r="B24" s="165"/>
      <c r="C24" s="190"/>
      <c r="D24" s="191"/>
      <c r="E24" s="192"/>
      <c r="F24" s="193"/>
      <c r="G24" s="193"/>
      <c r="H24" s="193"/>
      <c r="I24" s="194"/>
      <c r="J24" s="310" t="s">
        <v>3</v>
      </c>
      <c r="K24" s="310"/>
      <c r="L24" s="310"/>
      <c r="M24" s="310"/>
      <c r="N24" s="310"/>
      <c r="O24" s="195"/>
    </row>
    <row r="25" spans="1:42" ht="57.75" customHeight="1">
      <c r="B25" s="165"/>
      <c r="C25" s="184"/>
      <c r="D25" s="196" t="s">
        <v>37</v>
      </c>
      <c r="E25" s="313">
        <f>SUM(E18+E20+E21+E22+E23)</f>
        <v>0</v>
      </c>
      <c r="F25" s="314"/>
      <c r="G25" s="317" t="s">
        <v>31</v>
      </c>
      <c r="H25" s="317"/>
      <c r="I25" s="318"/>
      <c r="J25" s="319" t="s">
        <v>4</v>
      </c>
      <c r="K25" s="316"/>
      <c r="L25" s="316"/>
      <c r="M25" s="316"/>
      <c r="N25" s="316"/>
      <c r="O25" s="197"/>
    </row>
    <row r="26" spans="1:42" ht="27" customHeight="1">
      <c r="B26" s="165"/>
      <c r="C26" s="184"/>
      <c r="D26" s="198"/>
      <c r="E26" s="199"/>
      <c r="F26" s="199"/>
      <c r="G26" s="200"/>
      <c r="H26" s="200"/>
      <c r="I26" s="200"/>
      <c r="J26" s="186" t="s">
        <v>5</v>
      </c>
      <c r="K26" s="201"/>
      <c r="L26" s="201"/>
      <c r="M26" s="202"/>
      <c r="N26" s="202"/>
      <c r="O26" s="203"/>
    </row>
    <row r="27" spans="1:42" s="158" customFormat="1" ht="15.5">
      <c r="A27" s="172"/>
      <c r="B27" s="173"/>
      <c r="C27" s="204"/>
      <c r="D27" s="205"/>
      <c r="E27" s="206"/>
      <c r="F27" s="206"/>
      <c r="G27" s="206"/>
      <c r="H27" s="206"/>
      <c r="I27" s="206"/>
      <c r="J27" s="206"/>
      <c r="K27" s="315" t="s">
        <v>6</v>
      </c>
      <c r="L27" s="316"/>
      <c r="M27" s="316"/>
      <c r="N27" s="316"/>
      <c r="O27" s="207"/>
      <c r="P27" s="172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</row>
    <row r="28" spans="1:42" s="158" customFormat="1" ht="18" customHeight="1">
      <c r="A28" s="228"/>
      <c r="B28" s="229"/>
      <c r="C28" s="320" t="s">
        <v>7</v>
      </c>
      <c r="D28" s="320"/>
      <c r="E28" s="320"/>
      <c r="F28" s="320"/>
      <c r="G28" s="311" t="s">
        <v>230</v>
      </c>
      <c r="H28" s="311"/>
      <c r="I28" s="312"/>
      <c r="J28" s="312"/>
      <c r="K28" s="312"/>
      <c r="L28" s="312"/>
      <c r="M28" s="312"/>
      <c r="N28" s="312"/>
      <c r="O28" s="230"/>
      <c r="P28" s="228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</row>
    <row r="29" spans="1:42" ht="26.25" customHeight="1">
      <c r="B29" s="165"/>
      <c r="J29" s="186"/>
      <c r="K29" s="208"/>
      <c r="L29" s="208"/>
      <c r="M29" s="208"/>
      <c r="N29" s="208"/>
      <c r="O29" s="168"/>
    </row>
    <row r="30" spans="1:42" s="211" customFormat="1" ht="18" customHeight="1">
      <c r="A30" s="209"/>
      <c r="B30" s="210"/>
      <c r="C30" s="306" t="s">
        <v>38</v>
      </c>
      <c r="D30" s="307"/>
      <c r="E30" s="307"/>
      <c r="F30" s="306"/>
      <c r="G30" s="308"/>
      <c r="H30" s="308"/>
      <c r="I30" s="309"/>
      <c r="J30" s="309"/>
      <c r="K30" s="306"/>
      <c r="L30" s="306"/>
      <c r="M30" s="306"/>
      <c r="N30" s="306"/>
      <c r="O30" s="212"/>
      <c r="P30" s="209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</row>
    <row r="31" spans="1:42" ht="25.5" hidden="1" customHeight="1"/>
    <row r="32" spans="1:42" ht="25.5" hidden="1" customHeight="1"/>
    <row r="33" ht="25.5" hidden="1" customHeight="1"/>
    <row r="34" ht="25.5" hidden="1" customHeight="1"/>
    <row r="35" ht="25.5" hidden="1" customHeight="1"/>
    <row r="36" ht="25.5" hidden="1" customHeight="1"/>
    <row r="37" ht="25.5" hidden="1" customHeight="1"/>
    <row r="38" ht="25.5" hidden="1" customHeight="1"/>
    <row r="39" ht="25.5" hidden="1" customHeight="1"/>
    <row r="40" ht="25.5" hidden="1" customHeight="1"/>
    <row r="41" ht="25.5" hidden="1" customHeight="1"/>
    <row r="42" ht="25.5" hidden="1" customHeight="1"/>
    <row r="43" ht="25.5" hidden="1" customHeight="1"/>
    <row r="44" ht="25.5" hidden="1" customHeight="1"/>
    <row r="45" ht="25.5" hidden="1" customHeight="1"/>
    <row r="46" ht="25.5" hidden="1" customHeight="1"/>
    <row r="47" ht="25.5" hidden="1" customHeight="1"/>
    <row r="48" ht="25.5" hidden="1" customHeight="1"/>
    <row r="49" ht="25.5" hidden="1" customHeight="1"/>
    <row r="50" ht="25.5" hidden="1" customHeight="1"/>
    <row r="51" ht="25.5" hidden="1" customHeight="1"/>
    <row r="52" ht="25.5" hidden="1" customHeight="1"/>
    <row r="53" ht="25.5" hidden="1" customHeight="1"/>
    <row r="54" ht="25.5" hidden="1" customHeight="1"/>
    <row r="55" ht="25.5" hidden="1" customHeight="1"/>
    <row r="56" ht="25.5" hidden="1" customHeight="1"/>
    <row r="57" ht="25.5" hidden="1" customHeight="1"/>
    <row r="58" ht="25.5" hidden="1" customHeight="1"/>
    <row r="59" ht="25.5" hidden="1" customHeight="1"/>
    <row r="60" ht="25.5" hidden="1" customHeight="1"/>
    <row r="61" ht="25.5" hidden="1" customHeight="1"/>
    <row r="62" ht="25.5" hidden="1" customHeight="1"/>
    <row r="63" ht="25.5" hidden="1" customHeight="1"/>
    <row r="64" ht="25.5" hidden="1" customHeight="1"/>
    <row r="65" ht="25.5" hidden="1" customHeight="1"/>
    <row r="66" ht="25.5" hidden="1" customHeight="1"/>
    <row r="67" ht="25.5" hidden="1" customHeight="1"/>
    <row r="68" ht="25.5" hidden="1" customHeight="1"/>
    <row r="69" ht="25.5" hidden="1" customHeight="1"/>
    <row r="70" ht="25.5" hidden="1" customHeight="1"/>
    <row r="71" ht="25.5" hidden="1" customHeight="1"/>
    <row r="72" ht="25.5" hidden="1" customHeight="1"/>
    <row r="73" ht="25.5" hidden="1" customHeight="1"/>
    <row r="74" ht="25.5" hidden="1" customHeight="1"/>
    <row r="75" ht="25.5" hidden="1" customHeight="1"/>
    <row r="76" ht="25.5" hidden="1" customHeight="1"/>
    <row r="77" ht="25.5" hidden="1" customHeight="1"/>
    <row r="78" ht="25.5" hidden="1" customHeight="1"/>
    <row r="79" ht="25.5" hidden="1" customHeight="1"/>
    <row r="80" ht="25.5" hidden="1" customHeight="1"/>
    <row r="81" ht="25.5" hidden="1" customHeight="1"/>
    <row r="82" ht="25.5" hidden="1" customHeight="1"/>
    <row r="83" ht="25.5" hidden="1" customHeight="1"/>
    <row r="84" ht="25.5" hidden="1" customHeight="1"/>
    <row r="85" ht="25.5" hidden="1" customHeight="1"/>
    <row r="86" ht="25.5" hidden="1" customHeight="1"/>
    <row r="87" ht="25.5" hidden="1" customHeight="1"/>
    <row r="88" ht="25.5" hidden="1" customHeight="1"/>
    <row r="89" ht="25.5" hidden="1" customHeight="1"/>
    <row r="90" ht="25.5" hidden="1" customHeight="1"/>
    <row r="91" ht="25.5" hidden="1" customHeight="1"/>
    <row r="92" ht="25.5" hidden="1" customHeight="1"/>
    <row r="93" ht="25.5" hidden="1" customHeight="1"/>
    <row r="94" ht="25.5" hidden="1" customHeight="1"/>
    <row r="95" ht="25.5" hidden="1" customHeight="1"/>
    <row r="96" ht="25.5" hidden="1" customHeight="1"/>
    <row r="97" ht="25.5" hidden="1" customHeight="1"/>
    <row r="98" ht="25.5" hidden="1" customHeight="1"/>
    <row r="99" ht="25.5" hidden="1" customHeight="1"/>
    <row r="100" ht="25.5" hidden="1" customHeight="1"/>
    <row r="101" ht="25.5" hidden="1" customHeight="1"/>
    <row r="102" ht="25.5" hidden="1" customHeight="1"/>
    <row r="103" ht="25.5" hidden="1" customHeight="1"/>
    <row r="104" ht="25.5" hidden="1" customHeight="1"/>
    <row r="105" ht="25.5" hidden="1" customHeight="1"/>
    <row r="106" ht="25.5" hidden="1" customHeight="1"/>
    <row r="107" ht="25.5" hidden="1" customHeight="1"/>
    <row r="108" ht="25.5" hidden="1" customHeight="1"/>
    <row r="109" ht="25.5" hidden="1" customHeight="1"/>
    <row r="110" ht="25.5" hidden="1" customHeight="1"/>
    <row r="111" ht="25.5" hidden="1" customHeight="1"/>
    <row r="112" ht="25.5" hidden="1" customHeight="1"/>
    <row r="113" ht="25.5" hidden="1" customHeight="1"/>
    <row r="114" ht="25.5" hidden="1" customHeight="1"/>
    <row r="115" ht="25.5" hidden="1" customHeight="1"/>
    <row r="116" ht="25.5" hidden="1" customHeight="1"/>
    <row r="117" ht="25.5" hidden="1" customHeight="1"/>
    <row r="118" ht="25.5" hidden="1" customHeight="1"/>
    <row r="119" ht="25.5" hidden="1" customHeight="1"/>
    <row r="120" ht="25.5" hidden="1" customHeight="1"/>
    <row r="121" ht="25.5" hidden="1" customHeight="1"/>
    <row r="122" ht="25.5" hidden="1" customHeight="1"/>
    <row r="123" ht="25.5" hidden="1" customHeight="1"/>
    <row r="124" ht="25.5" hidden="1" customHeight="1"/>
    <row r="125" ht="25.5" hidden="1" customHeight="1"/>
    <row r="126" ht="25.5" hidden="1" customHeight="1"/>
    <row r="127" ht="25.5" hidden="1" customHeight="1"/>
    <row r="128" ht="25.5" hidden="1" customHeight="1"/>
    <row r="129" ht="25.5" hidden="1" customHeight="1"/>
    <row r="130" ht="25.5" hidden="1" customHeight="1"/>
    <row r="131" ht="25.5" hidden="1" customHeight="1"/>
    <row r="132" ht="25.5" hidden="1" customHeight="1"/>
    <row r="133" ht="25.5" hidden="1" customHeight="1"/>
    <row r="134" ht="25.5" hidden="1" customHeight="1"/>
    <row r="135" ht="25.5" hidden="1" customHeight="1"/>
    <row r="136" ht="25.5" hidden="1" customHeight="1"/>
    <row r="137" ht="25.5" hidden="1" customHeight="1"/>
    <row r="138" ht="25.5" hidden="1" customHeight="1"/>
    <row r="139" ht="25.5" hidden="1" customHeight="1"/>
    <row r="140" ht="25.5" hidden="1" customHeight="1"/>
    <row r="141" ht="25.5" hidden="1" customHeight="1"/>
    <row r="142" ht="25.5" hidden="1" customHeight="1"/>
    <row r="143" ht="25.5" hidden="1" customHeight="1"/>
    <row r="144" ht="25.5" hidden="1" customHeight="1"/>
    <row r="145" ht="25.5" hidden="1" customHeight="1"/>
    <row r="146" ht="25.5" hidden="1" customHeight="1"/>
    <row r="147" ht="25.5" hidden="1" customHeight="1"/>
    <row r="148" ht="25.5" hidden="1" customHeight="1"/>
    <row r="149" ht="25.5" hidden="1" customHeight="1"/>
    <row r="150" ht="25.5" hidden="1" customHeight="1"/>
    <row r="151" ht="25.5" hidden="1" customHeight="1"/>
    <row r="152" ht="25.5" hidden="1" customHeight="1"/>
    <row r="153" ht="25.5" hidden="1" customHeight="1"/>
    <row r="154" ht="25.5" hidden="1" customHeight="1"/>
    <row r="155" ht="25.5" hidden="1" customHeight="1"/>
    <row r="156" ht="25.5" hidden="1" customHeight="1"/>
    <row r="157" ht="25.5" hidden="1" customHeight="1"/>
    <row r="158" ht="25.5" hidden="1" customHeight="1"/>
    <row r="159" ht="25.5" hidden="1" customHeight="1"/>
    <row r="160" ht="25.5" hidden="1" customHeight="1"/>
    <row r="161" ht="25.5" hidden="1" customHeight="1"/>
    <row r="162" ht="25.5" hidden="1" customHeight="1"/>
    <row r="163" ht="25.5" hidden="1" customHeight="1"/>
    <row r="164" ht="25.5" hidden="1" customHeight="1"/>
    <row r="165" ht="25.5" hidden="1" customHeight="1"/>
    <row r="166" ht="25.5" hidden="1" customHeight="1"/>
    <row r="167" ht="25.5" hidden="1" customHeight="1"/>
    <row r="168" ht="25.5" hidden="1" customHeight="1"/>
    <row r="169" ht="25.5" hidden="1" customHeight="1"/>
    <row r="170" ht="25.5" hidden="1" customHeight="1"/>
    <row r="171" ht="25.5" hidden="1" customHeight="1"/>
    <row r="172" ht="25.5" hidden="1" customHeight="1"/>
    <row r="173" ht="25.5" hidden="1" customHeight="1"/>
    <row r="174" ht="25.5" hidden="1" customHeight="1"/>
    <row r="175" ht="25.5" hidden="1" customHeight="1"/>
    <row r="176" ht="25.5" hidden="1" customHeight="1"/>
    <row r="177" ht="25.5" hidden="1" customHeight="1"/>
    <row r="178" ht="25.5" hidden="1" customHeight="1"/>
    <row r="179" ht="25.5" hidden="1" customHeight="1"/>
    <row r="180" ht="25.5" hidden="1" customHeight="1"/>
    <row r="181" ht="25.5" hidden="1" customHeight="1"/>
    <row r="182" ht="25.5" hidden="1" customHeight="1"/>
    <row r="183" ht="25.5" hidden="1" customHeight="1"/>
    <row r="184" ht="25.5" hidden="1" customHeight="1"/>
    <row r="185" ht="25.5" hidden="1" customHeight="1"/>
    <row r="186" ht="25.5" hidden="1" customHeight="1"/>
    <row r="187" ht="25.5" hidden="1" customHeight="1"/>
    <row r="188" ht="25.5" hidden="1" customHeight="1"/>
    <row r="189" ht="25.5" hidden="1" customHeight="1"/>
    <row r="190" ht="25.5" hidden="1" customHeight="1"/>
    <row r="191" ht="25.5" hidden="1" customHeight="1"/>
    <row r="192" ht="25.5" hidden="1" customHeight="1"/>
    <row r="193" ht="25.5" hidden="1" customHeight="1"/>
    <row r="194" ht="25.5" hidden="1" customHeight="1"/>
    <row r="195" ht="25.5" hidden="1" customHeight="1"/>
    <row r="196" ht="25.5" hidden="1" customHeight="1"/>
    <row r="197" ht="25.5" hidden="1" customHeight="1"/>
    <row r="198" ht="25.5" hidden="1" customHeight="1"/>
    <row r="199" ht="25.5" hidden="1" customHeight="1"/>
    <row r="200" ht="25.5" hidden="1" customHeight="1"/>
    <row r="201" ht="25.5" hidden="1" customHeight="1"/>
    <row r="202" ht="25.5" hidden="1" customHeight="1"/>
    <row r="203" ht="25.5" hidden="1" customHeight="1"/>
    <row r="204" ht="25.5" hidden="1" customHeight="1"/>
    <row r="205" ht="25.5" hidden="1" customHeight="1"/>
    <row r="206" ht="25.5" hidden="1" customHeight="1"/>
    <row r="207" ht="25.5" hidden="1" customHeight="1"/>
    <row r="208" ht="25.5" hidden="1" customHeight="1"/>
    <row r="209" ht="25.5" hidden="1" customHeight="1"/>
    <row r="210" ht="25.5" hidden="1" customHeight="1"/>
    <row r="211" ht="25.5" hidden="1" customHeight="1"/>
    <row r="212" ht="25.5" hidden="1" customHeight="1"/>
    <row r="213" ht="25.5" hidden="1" customHeight="1"/>
    <row r="214" ht="25.5" hidden="1" customHeight="1"/>
    <row r="215" ht="25.5" hidden="1" customHeight="1"/>
    <row r="216" ht="25.5" hidden="1" customHeight="1"/>
    <row r="217" ht="25.5" hidden="1" customHeight="1"/>
    <row r="218" ht="25.5" hidden="1" customHeight="1"/>
    <row r="219" ht="25.5" hidden="1" customHeight="1"/>
    <row r="220" ht="25.5" hidden="1" customHeight="1"/>
    <row r="221" ht="25.5" hidden="1" customHeight="1"/>
    <row r="222" ht="25.5" hidden="1" customHeight="1"/>
    <row r="223" ht="25.5" hidden="1" customHeight="1"/>
    <row r="224" ht="25.5" hidden="1" customHeight="1"/>
    <row r="225" ht="25.5" hidden="1" customHeight="1"/>
    <row r="226" ht="25.5" hidden="1" customHeight="1"/>
    <row r="227" ht="25.5" hidden="1" customHeight="1"/>
    <row r="228" ht="25.5" hidden="1" customHeight="1"/>
    <row r="229" ht="25.5" hidden="1" customHeight="1"/>
    <row r="230" ht="25.5" hidden="1" customHeight="1"/>
    <row r="231" ht="25.5" hidden="1" customHeight="1"/>
    <row r="232" ht="25.5" hidden="1" customHeight="1"/>
    <row r="233" ht="25.5" hidden="1" customHeight="1"/>
    <row r="234" ht="25.5" hidden="1" customHeight="1"/>
    <row r="235" ht="25.5" hidden="1" customHeight="1"/>
    <row r="236" ht="25.5" hidden="1" customHeight="1"/>
    <row r="237" ht="25.5" hidden="1" customHeight="1"/>
    <row r="238" ht="25.5" hidden="1" customHeight="1"/>
    <row r="239" ht="25.5" hidden="1" customHeight="1"/>
    <row r="240" ht="25.5" hidden="1" customHeight="1"/>
    <row r="241" ht="25.5" hidden="1" customHeight="1"/>
    <row r="242" ht="25.5" hidden="1" customHeight="1"/>
    <row r="243" ht="25.5" hidden="1" customHeight="1"/>
    <row r="244" ht="25.5" hidden="1" customHeight="1"/>
    <row r="245" ht="25.5" hidden="1" customHeight="1"/>
    <row r="246" ht="25.5" hidden="1" customHeight="1"/>
    <row r="247" ht="25.5" hidden="1" customHeight="1"/>
    <row r="248" ht="25.5" hidden="1" customHeight="1"/>
    <row r="249" ht="25.5" hidden="1" customHeight="1"/>
    <row r="250" ht="25.5" hidden="1" customHeight="1"/>
    <row r="251" ht="25.5" hidden="1" customHeight="1"/>
    <row r="252" ht="25.5" hidden="1" customHeight="1"/>
    <row r="253" ht="25.5" hidden="1" customHeight="1"/>
    <row r="254" ht="25.5" hidden="1" customHeight="1"/>
    <row r="255" ht="25.5" hidden="1" customHeight="1"/>
    <row r="256" ht="25.5" hidden="1" customHeight="1"/>
    <row r="257" ht="25.5" hidden="1" customHeight="1"/>
    <row r="258" ht="25.5" hidden="1" customHeight="1"/>
    <row r="259" ht="25.5" hidden="1" customHeight="1"/>
    <row r="260" ht="25.5" hidden="1" customHeight="1"/>
    <row r="261" ht="25.5" hidden="1" customHeight="1"/>
    <row r="262" ht="25.5" hidden="1" customHeight="1"/>
    <row r="263" ht="25.5" hidden="1" customHeight="1"/>
    <row r="264" ht="25.5" hidden="1" customHeight="1"/>
    <row r="265" ht="25.5" hidden="1" customHeight="1"/>
    <row r="266" ht="25.5" hidden="1" customHeight="1"/>
    <row r="267" ht="25.5" hidden="1" customHeight="1"/>
    <row r="268" ht="25.5" hidden="1" customHeight="1"/>
    <row r="269" ht="25.5" hidden="1" customHeight="1"/>
    <row r="270" ht="25.5" hidden="1" customHeight="1"/>
    <row r="271" ht="25.5" hidden="1" customHeight="1"/>
    <row r="272" ht="25.5" hidden="1" customHeight="1"/>
    <row r="273" ht="25.5" hidden="1" customHeight="1"/>
    <row r="274" ht="25.5" hidden="1" customHeight="1"/>
    <row r="275" ht="25.5" hidden="1" customHeight="1"/>
    <row r="276" ht="25.5" hidden="1" customHeight="1"/>
    <row r="277" ht="25.5" hidden="1" customHeight="1"/>
    <row r="278" ht="25.5" hidden="1" customHeight="1"/>
    <row r="279" ht="25.5" hidden="1" customHeight="1"/>
    <row r="280" ht="25.5" hidden="1" customHeight="1"/>
    <row r="281" ht="25.5" hidden="1" customHeight="1"/>
    <row r="282" ht="25.5" hidden="1" customHeight="1"/>
    <row r="283" ht="25.5" hidden="1" customHeight="1"/>
    <row r="284" ht="25.5" hidden="1" customHeight="1"/>
    <row r="285" ht="25.5" hidden="1" customHeight="1"/>
    <row r="286" ht="25.5" hidden="1" customHeight="1"/>
    <row r="287" ht="25.5" hidden="1" customHeight="1"/>
    <row r="288" ht="25.5" hidden="1" customHeight="1"/>
    <row r="289" ht="25.5" hidden="1" customHeight="1"/>
    <row r="290" ht="25.5" hidden="1" customHeight="1"/>
    <row r="291" ht="25.5" hidden="1" customHeight="1"/>
    <row r="292" ht="25.5" hidden="1" customHeight="1"/>
    <row r="293" ht="25.5" hidden="1" customHeight="1"/>
    <row r="294" ht="25.5" hidden="1" customHeight="1"/>
    <row r="295" ht="25.5" hidden="1" customHeight="1"/>
    <row r="296" ht="25.5" hidden="1" customHeight="1"/>
    <row r="297" ht="25.5" hidden="1" customHeight="1"/>
    <row r="298" ht="25.5" hidden="1" customHeight="1"/>
    <row r="299" ht="25.5" hidden="1" customHeight="1"/>
    <row r="300" ht="25.5" hidden="1" customHeight="1"/>
    <row r="301" ht="25.5" hidden="1" customHeight="1"/>
    <row r="302" ht="25.5" hidden="1" customHeight="1"/>
    <row r="303" ht="25.5" hidden="1" customHeight="1"/>
    <row r="304" ht="25.5" hidden="1" customHeight="1"/>
    <row r="305" ht="25.5" hidden="1" customHeight="1"/>
    <row r="306" ht="25.5" hidden="1" customHeight="1"/>
    <row r="307" ht="25.5" hidden="1" customHeight="1"/>
    <row r="308" ht="25.5" hidden="1" customHeight="1"/>
    <row r="309" ht="25.5" hidden="1" customHeight="1"/>
    <row r="310" ht="25.5" hidden="1" customHeight="1"/>
    <row r="311" ht="25.5" hidden="1" customHeight="1"/>
    <row r="312" ht="25.5" hidden="1" customHeight="1"/>
    <row r="313" ht="25.5" hidden="1" customHeight="1"/>
    <row r="314" ht="25.5" hidden="1" customHeight="1"/>
    <row r="315" ht="25.5" hidden="1" customHeight="1"/>
    <row r="316" ht="25.5" hidden="1" customHeight="1"/>
    <row r="317" ht="25.5" hidden="1" customHeight="1"/>
    <row r="318" ht="25.5" hidden="1" customHeight="1"/>
    <row r="319" ht="25.5" hidden="1" customHeight="1"/>
    <row r="320" ht="25.5" hidden="1" customHeight="1"/>
    <row r="321" ht="25.5" hidden="1" customHeight="1"/>
    <row r="322" ht="25.5" hidden="1" customHeight="1"/>
    <row r="323" ht="25.5" hidden="1" customHeight="1"/>
    <row r="324" ht="25.5" hidden="1" customHeight="1"/>
    <row r="325" ht="25.5" hidden="1" customHeight="1"/>
    <row r="326" ht="25.5" hidden="1" customHeight="1"/>
    <row r="327" ht="25.5" hidden="1" customHeight="1"/>
    <row r="328" ht="25.5" hidden="1" customHeight="1"/>
    <row r="329" ht="25.5" hidden="1" customHeight="1"/>
    <row r="330" ht="25.5" hidden="1" customHeight="1"/>
    <row r="331" ht="25.5" hidden="1" customHeight="1"/>
    <row r="332" ht="25.5" hidden="1" customHeight="1"/>
    <row r="333" ht="25.5" hidden="1" customHeight="1"/>
    <row r="334" ht="25.5" hidden="1" customHeight="1"/>
    <row r="335" ht="25.5" hidden="1" customHeight="1"/>
    <row r="336" ht="25.5" hidden="1" customHeight="1"/>
    <row r="337" ht="25.5" hidden="1" customHeight="1"/>
    <row r="338" ht="25.5" hidden="1" customHeight="1"/>
    <row r="339" ht="25.5" hidden="1" customHeight="1"/>
    <row r="340" ht="25.5" hidden="1" customHeight="1"/>
    <row r="341" ht="25.5" hidden="1" customHeight="1"/>
    <row r="342" ht="25.5" hidden="1" customHeight="1"/>
    <row r="343" ht="25.5" hidden="1" customHeight="1"/>
    <row r="344" ht="25.5" hidden="1" customHeight="1"/>
    <row r="345" ht="25.5" hidden="1" customHeight="1"/>
    <row r="346" ht="25.5" hidden="1" customHeight="1"/>
    <row r="347" ht="25.5" hidden="1" customHeight="1"/>
    <row r="348" ht="25.5" hidden="1" customHeight="1"/>
    <row r="349" ht="25.5" hidden="1" customHeight="1"/>
    <row r="350" ht="25.5" hidden="1" customHeight="1"/>
    <row r="351" ht="25.5" hidden="1" customHeight="1"/>
    <row r="352" ht="25.5" hidden="1" customHeight="1"/>
    <row r="353" ht="25.5" hidden="1" customHeight="1"/>
    <row r="354" ht="25.5" hidden="1" customHeight="1"/>
    <row r="355" ht="25.5" hidden="1" customHeight="1"/>
    <row r="356" ht="25.5" hidden="1" customHeight="1"/>
    <row r="357" ht="25.5" hidden="1" customHeight="1"/>
    <row r="358" ht="25.5" hidden="1" customHeight="1"/>
    <row r="359" ht="25.5" hidden="1" customHeight="1"/>
    <row r="360" ht="25.5" hidden="1" customHeight="1"/>
    <row r="361" ht="25.5" hidden="1" customHeight="1"/>
    <row r="362" ht="25.5" hidden="1" customHeight="1"/>
    <row r="363" ht="25.5" hidden="1" customHeight="1"/>
    <row r="364" ht="25.5" hidden="1" customHeight="1"/>
    <row r="365" ht="25.5" hidden="1" customHeight="1"/>
    <row r="366" ht="25.5" hidden="1" customHeight="1"/>
    <row r="367" ht="25.5" hidden="1" customHeight="1"/>
    <row r="368" ht="25.5" hidden="1" customHeight="1"/>
    <row r="369" ht="25.5" hidden="1" customHeight="1"/>
    <row r="370" ht="25.5" hidden="1" customHeight="1"/>
    <row r="371" ht="25.5" hidden="1" customHeight="1"/>
    <row r="372" ht="25.5" hidden="1" customHeight="1"/>
    <row r="373" ht="25.5" hidden="1" customHeight="1"/>
    <row r="374" ht="25.5" hidden="1" customHeight="1"/>
    <row r="375" ht="25.5" hidden="1" customHeight="1"/>
    <row r="376" ht="25.5" hidden="1" customHeight="1"/>
    <row r="377" ht="25.5" hidden="1" customHeight="1"/>
    <row r="378" ht="25.5" hidden="1" customHeight="1"/>
    <row r="379" ht="25.5" hidden="1" customHeight="1"/>
    <row r="380" ht="25.5" hidden="1" customHeight="1"/>
    <row r="381" ht="25.5" hidden="1" customHeight="1"/>
    <row r="382" ht="25.5" hidden="1" customHeight="1"/>
    <row r="383" ht="25.5" hidden="1" customHeight="1"/>
    <row r="384" ht="25.5" hidden="1" customHeight="1"/>
    <row r="385" ht="25.5" hidden="1" customHeight="1"/>
    <row r="386" ht="25.5" hidden="1" customHeight="1"/>
    <row r="387" ht="25.5" hidden="1" customHeight="1"/>
    <row r="388" ht="25.5" hidden="1" customHeight="1"/>
    <row r="389" ht="25.5" hidden="1" customHeight="1"/>
    <row r="390" ht="25.5" hidden="1" customHeight="1"/>
    <row r="391" ht="25.5" hidden="1" customHeight="1"/>
    <row r="392" ht="25.5" hidden="1" customHeight="1"/>
    <row r="393" ht="25.5" hidden="1" customHeight="1"/>
    <row r="394" ht="25.5" hidden="1" customHeight="1"/>
    <row r="395" ht="25.5" hidden="1" customHeight="1"/>
    <row r="396" ht="25.5" hidden="1" customHeight="1"/>
    <row r="397" ht="25.5" hidden="1" customHeight="1"/>
    <row r="398" ht="25.5" hidden="1" customHeight="1"/>
    <row r="399" ht="25.5" hidden="1" customHeight="1"/>
    <row r="400" ht="25.5" hidden="1" customHeight="1"/>
    <row r="401" ht="25.5" hidden="1" customHeight="1"/>
    <row r="402" ht="25.5" hidden="1" customHeight="1"/>
    <row r="403" ht="25.5" hidden="1" customHeight="1"/>
    <row r="404" ht="25.5" hidden="1" customHeight="1"/>
    <row r="405" ht="25.5" hidden="1" customHeight="1"/>
    <row r="406" ht="25.5" hidden="1" customHeight="1"/>
    <row r="407" ht="25.5" hidden="1" customHeight="1"/>
    <row r="408" ht="25.5" hidden="1" customHeight="1"/>
    <row r="409" ht="25.5" hidden="1" customHeight="1"/>
    <row r="410" ht="25.5" hidden="1" customHeight="1"/>
    <row r="411" ht="25.5" hidden="1" customHeight="1"/>
    <row r="412" ht="25.5" hidden="1" customHeight="1"/>
    <row r="413" ht="25.5" hidden="1" customHeight="1"/>
    <row r="414" ht="25.5" hidden="1" customHeight="1"/>
    <row r="415" ht="25.5" hidden="1" customHeight="1"/>
    <row r="416" ht="25.5" hidden="1" customHeight="1"/>
    <row r="417" ht="25.5" hidden="1" customHeight="1"/>
    <row r="418" ht="25.5" hidden="1" customHeight="1"/>
    <row r="419" ht="25.5" hidden="1" customHeight="1"/>
    <row r="420" ht="25.5" hidden="1" customHeight="1"/>
    <row r="421" ht="25.5" hidden="1" customHeight="1"/>
    <row r="422" ht="25.5" hidden="1" customHeight="1"/>
    <row r="423" ht="25.5" hidden="1" customHeight="1"/>
    <row r="424" ht="25.5" hidden="1" customHeight="1"/>
    <row r="425" ht="25.5" hidden="1" customHeight="1"/>
    <row r="426" ht="25.5" hidden="1" customHeight="1"/>
    <row r="427" ht="25.5" hidden="1" customHeight="1"/>
    <row r="428" ht="25.5" hidden="1" customHeight="1"/>
    <row r="429" ht="25.5" hidden="1" customHeight="1"/>
    <row r="430" ht="25.5" hidden="1" customHeight="1"/>
    <row r="431" ht="25.5" hidden="1" customHeight="1"/>
    <row r="432" ht="25.5" hidden="1" customHeight="1"/>
    <row r="433" ht="25.5" hidden="1" customHeight="1"/>
    <row r="434" ht="25.5" hidden="1" customHeight="1"/>
    <row r="435" ht="25.5" hidden="1" customHeight="1"/>
    <row r="436" ht="25.5" hidden="1" customHeight="1"/>
    <row r="437" ht="25.5" hidden="1" customHeight="1"/>
    <row r="438" ht="25.5" hidden="1" customHeight="1"/>
    <row r="439" ht="25.5" hidden="1" customHeight="1"/>
    <row r="440" ht="25.5" hidden="1" customHeight="1"/>
    <row r="441" ht="25.5" hidden="1" customHeight="1"/>
    <row r="442" ht="25.5" hidden="1" customHeight="1"/>
    <row r="443" ht="25.5" hidden="1" customHeight="1"/>
    <row r="444" ht="25.5" hidden="1" customHeight="1"/>
    <row r="445" ht="25.5" hidden="1" customHeight="1"/>
    <row r="446" ht="25.5" hidden="1" customHeight="1"/>
    <row r="447" ht="25.5" hidden="1" customHeight="1"/>
    <row r="448" ht="25.5" hidden="1" customHeight="1"/>
    <row r="449" ht="25.5" hidden="1" customHeight="1"/>
    <row r="450" ht="25.5" hidden="1" customHeight="1"/>
    <row r="451" ht="25.5" hidden="1" customHeight="1"/>
    <row r="452" ht="25.5" hidden="1" customHeight="1"/>
    <row r="453" ht="25.5" hidden="1" customHeight="1"/>
    <row r="454" ht="25.5" hidden="1" customHeight="1"/>
    <row r="455" ht="25.5" hidden="1" customHeight="1"/>
    <row r="456" ht="25.5" hidden="1" customHeight="1"/>
    <row r="457" ht="25.5" hidden="1" customHeight="1"/>
    <row r="458" ht="25.5" hidden="1" customHeight="1"/>
    <row r="459" ht="25.5" hidden="1" customHeight="1"/>
    <row r="460" ht="25.5" hidden="1" customHeight="1"/>
    <row r="461" ht="25.5" hidden="1" customHeight="1"/>
    <row r="462" ht="25.5" hidden="1" customHeight="1"/>
    <row r="463" ht="25.5" hidden="1" customHeight="1"/>
    <row r="464" ht="25.5" hidden="1" customHeight="1"/>
    <row r="465" ht="25.5" hidden="1" customHeight="1"/>
    <row r="466" ht="25.5" hidden="1" customHeight="1"/>
    <row r="467" ht="25.5" hidden="1" customHeight="1"/>
    <row r="468" ht="25.5" hidden="1" customHeight="1"/>
    <row r="469" ht="25.5" hidden="1" customHeight="1"/>
    <row r="470" ht="25.5" hidden="1" customHeight="1"/>
    <row r="471" ht="25.5" hidden="1" customHeight="1"/>
    <row r="472" ht="25.5" hidden="1" customHeight="1"/>
    <row r="473" ht="25.5" hidden="1" customHeight="1"/>
    <row r="474" ht="25.5" hidden="1" customHeight="1"/>
    <row r="475" ht="25.5" hidden="1" customHeight="1"/>
    <row r="476" ht="25.5" hidden="1" customHeight="1"/>
    <row r="477" ht="25.5" hidden="1" customHeight="1"/>
    <row r="478" ht="25.5" hidden="1" customHeight="1"/>
    <row r="479" ht="25.5" hidden="1" customHeight="1"/>
    <row r="480" ht="25.5" hidden="1" customHeight="1"/>
    <row r="481" ht="25.5" hidden="1" customHeight="1"/>
    <row r="482" ht="25.5" hidden="1" customHeight="1"/>
    <row r="483" ht="25.5" hidden="1" customHeight="1"/>
    <row r="484" ht="25.5" hidden="1" customHeight="1"/>
    <row r="485" ht="25.5" hidden="1" customHeight="1"/>
    <row r="486" ht="25.5" hidden="1" customHeight="1"/>
    <row r="487" ht="25.5" hidden="1" customHeight="1"/>
    <row r="488" ht="25.5" hidden="1" customHeight="1"/>
    <row r="489" ht="25.5" hidden="1" customHeight="1"/>
    <row r="490" ht="25.5" hidden="1" customHeight="1"/>
    <row r="491" ht="25.5" hidden="1" customHeight="1"/>
    <row r="492" ht="25.5" hidden="1" customHeight="1"/>
    <row r="493" ht="25.5" hidden="1" customHeight="1"/>
    <row r="494" ht="25.5" hidden="1" customHeight="1"/>
    <row r="495" ht="25.5" hidden="1" customHeight="1"/>
    <row r="496" ht="25.5" hidden="1" customHeight="1"/>
    <row r="497" ht="25.5" hidden="1" customHeight="1"/>
    <row r="498" ht="25.5" hidden="1" customHeight="1"/>
    <row r="499" ht="25.5" hidden="1" customHeight="1"/>
    <row r="500" ht="25.5" hidden="1" customHeight="1"/>
    <row r="501" ht="25.5" hidden="1" customHeight="1"/>
    <row r="502" ht="25.5" hidden="1" customHeight="1"/>
    <row r="503" ht="25.5" hidden="1" customHeight="1"/>
    <row r="504" ht="25.5" hidden="1" customHeight="1"/>
    <row r="505" ht="25.5" hidden="1" customHeight="1"/>
    <row r="506" ht="25.5" hidden="1" customHeight="1"/>
    <row r="507" ht="25.5" hidden="1" customHeight="1"/>
    <row r="508" ht="25.5" hidden="1" customHeight="1"/>
    <row r="509" ht="25.5" hidden="1" customHeight="1"/>
    <row r="510" ht="25.5" hidden="1" customHeight="1"/>
    <row r="511" ht="25.5" hidden="1" customHeight="1"/>
    <row r="512" ht="25.5" hidden="1" customHeight="1"/>
    <row r="513" ht="25.5" hidden="1" customHeight="1"/>
    <row r="514" ht="25.5" hidden="1" customHeight="1"/>
    <row r="515" ht="25.5" hidden="1" customHeight="1"/>
    <row r="516" ht="25.5" hidden="1" customHeight="1"/>
    <row r="517" ht="25.5" hidden="1" customHeight="1"/>
    <row r="518" ht="25.5" hidden="1" customHeight="1"/>
    <row r="519" ht="25.5" hidden="1" customHeight="1"/>
    <row r="520" ht="25.5" hidden="1" customHeight="1"/>
    <row r="521" ht="25.5" hidden="1" customHeight="1"/>
    <row r="522" ht="25.5" hidden="1" customHeight="1"/>
    <row r="523" ht="25.5" hidden="1" customHeight="1"/>
    <row r="524" ht="25.5" hidden="1" customHeight="1"/>
    <row r="525" ht="25.5" hidden="1" customHeight="1"/>
    <row r="526" ht="25.5" hidden="1" customHeight="1"/>
    <row r="527" ht="25.5" hidden="1" customHeight="1"/>
    <row r="528" ht="25.5" hidden="1" customHeight="1"/>
    <row r="529" ht="25.5" hidden="1" customHeight="1"/>
    <row r="530" ht="25.5" hidden="1" customHeight="1"/>
    <row r="531" ht="25.5" hidden="1" customHeight="1"/>
    <row r="532" ht="25.5" hidden="1" customHeight="1"/>
    <row r="533" ht="25.5" hidden="1" customHeight="1"/>
    <row r="534" ht="25.5" hidden="1" customHeight="1"/>
    <row r="535" ht="25.5" hidden="1" customHeight="1"/>
    <row r="536" ht="25.5" hidden="1" customHeight="1"/>
    <row r="537" ht="25.5" hidden="1" customHeight="1"/>
    <row r="538" ht="25.5" hidden="1" customHeight="1"/>
    <row r="539" ht="25.5" hidden="1" customHeight="1"/>
    <row r="540" ht="25.5" hidden="1" customHeight="1"/>
    <row r="541" ht="25.5" hidden="1" customHeight="1"/>
    <row r="542" ht="25.5" hidden="1" customHeight="1"/>
    <row r="543" ht="25.5" hidden="1" customHeight="1"/>
    <row r="544" ht="25.5" hidden="1" customHeight="1"/>
    <row r="545" ht="25.5" hidden="1" customHeight="1"/>
    <row r="546" ht="25.5" hidden="1" customHeight="1"/>
    <row r="547" ht="25.5" hidden="1" customHeight="1"/>
    <row r="548" ht="25.5" hidden="1" customHeight="1"/>
    <row r="549" ht="25.5" hidden="1" customHeight="1"/>
    <row r="550" ht="25.5" hidden="1" customHeight="1"/>
    <row r="551" ht="25.5" hidden="1" customHeight="1"/>
    <row r="552" ht="25.5" hidden="1" customHeight="1"/>
    <row r="553" ht="25.5" hidden="1" customHeight="1"/>
    <row r="554" ht="25.5" hidden="1" customHeight="1"/>
    <row r="555" ht="25.5" hidden="1" customHeight="1"/>
    <row r="556" ht="25.5" hidden="1" customHeight="1"/>
    <row r="557" ht="25.5" hidden="1" customHeight="1"/>
    <row r="558" ht="25.5" hidden="1" customHeight="1"/>
    <row r="559" ht="25.5" hidden="1" customHeight="1"/>
    <row r="560" ht="25.5" hidden="1" customHeight="1"/>
    <row r="561" ht="25.5" hidden="1" customHeight="1"/>
    <row r="562" ht="25.5" hidden="1" customHeight="1"/>
    <row r="563" ht="25.5" hidden="1" customHeight="1"/>
    <row r="564" ht="25.5" hidden="1" customHeight="1"/>
    <row r="565" ht="25.5" hidden="1" customHeight="1"/>
    <row r="566" ht="25.5" hidden="1" customHeight="1"/>
    <row r="567" ht="25.5" hidden="1" customHeight="1"/>
    <row r="568" ht="25.5" hidden="1" customHeight="1"/>
    <row r="569" ht="25.5" hidden="1" customHeight="1"/>
    <row r="570" ht="25.5" hidden="1" customHeight="1"/>
    <row r="571" ht="25.5" hidden="1" customHeight="1"/>
    <row r="572" ht="25.5" hidden="1" customHeight="1"/>
    <row r="573" ht="25.5" hidden="1" customHeight="1"/>
    <row r="574" ht="25.5" hidden="1" customHeight="1"/>
    <row r="575" ht="25.5" hidden="1" customHeight="1"/>
    <row r="576" ht="25.5" hidden="1" customHeight="1"/>
    <row r="577" ht="25.5" hidden="1" customHeight="1"/>
    <row r="578" ht="25.5" hidden="1" customHeight="1"/>
    <row r="579" ht="25.5" hidden="1" customHeight="1"/>
    <row r="580" ht="25.5" hidden="1" customHeight="1"/>
    <row r="581" ht="25.5" hidden="1" customHeight="1"/>
    <row r="582" ht="25.5" hidden="1" customHeight="1"/>
    <row r="583" ht="25.5" hidden="1" customHeight="1"/>
    <row r="584" ht="25.5" hidden="1" customHeight="1"/>
    <row r="585" ht="25.5" hidden="1" customHeight="1"/>
    <row r="586" ht="25.5" hidden="1" customHeight="1"/>
    <row r="587" ht="25.5" hidden="1" customHeight="1"/>
    <row r="588" ht="25.5" hidden="1" customHeight="1"/>
    <row r="589" ht="25.5" hidden="1" customHeight="1"/>
    <row r="590" ht="25.5" hidden="1" customHeight="1"/>
    <row r="591" ht="25.5" hidden="1" customHeight="1"/>
    <row r="592" ht="25.5" hidden="1" customHeight="1"/>
    <row r="593" ht="25.5" hidden="1" customHeight="1"/>
    <row r="594" ht="25.5" hidden="1" customHeight="1"/>
    <row r="595" ht="25.5" hidden="1" customHeight="1"/>
    <row r="596" ht="25.5" hidden="1" customHeight="1"/>
    <row r="597" ht="25.5" hidden="1" customHeight="1"/>
    <row r="598" ht="25.5" hidden="1" customHeight="1"/>
    <row r="599" ht="25.5" hidden="1" customHeight="1"/>
    <row r="600" ht="25.5" hidden="1" customHeight="1"/>
    <row r="601" ht="25.5" hidden="1" customHeight="1"/>
    <row r="602" ht="25.5" hidden="1" customHeight="1"/>
    <row r="603" ht="25.5" hidden="1" customHeight="1"/>
    <row r="604" ht="25.5" hidden="1" customHeight="1"/>
    <row r="605" ht="25.5" hidden="1" customHeight="1"/>
    <row r="606" ht="25.5" hidden="1" customHeight="1"/>
    <row r="607" ht="25.5" hidden="1" customHeight="1"/>
    <row r="608" ht="25.5" hidden="1" customHeight="1"/>
    <row r="609" ht="25.5" hidden="1" customHeight="1"/>
    <row r="610" ht="25.5" hidden="1" customHeight="1"/>
    <row r="611" ht="25.5" hidden="1" customHeight="1"/>
    <row r="612" ht="25.5" hidden="1" customHeight="1"/>
    <row r="613" ht="25.5" hidden="1" customHeight="1"/>
    <row r="614" ht="25.5" hidden="1" customHeight="1"/>
    <row r="615" ht="25.5" hidden="1" customHeight="1"/>
    <row r="616" ht="25.5" hidden="1" customHeight="1"/>
    <row r="617" ht="25.5" hidden="1" customHeight="1"/>
    <row r="618" ht="25.5" hidden="1" customHeight="1"/>
    <row r="619" ht="25.5" hidden="1" customHeight="1"/>
    <row r="620" ht="25.5" hidden="1" customHeight="1"/>
    <row r="621" ht="25.5" hidden="1" customHeight="1"/>
    <row r="622" ht="25.5" hidden="1" customHeight="1"/>
    <row r="623" ht="25.5" hidden="1" customHeight="1"/>
    <row r="624" ht="25.5" hidden="1" customHeight="1"/>
    <row r="625" ht="25.5" hidden="1" customHeight="1"/>
    <row r="626" ht="25.5" hidden="1" customHeight="1"/>
    <row r="627" ht="25.5" hidden="1" customHeight="1"/>
    <row r="628" ht="25.5" hidden="1" customHeight="1"/>
    <row r="629" ht="25.5" hidden="1" customHeight="1"/>
    <row r="630" ht="25.5" hidden="1" customHeight="1"/>
    <row r="631" ht="25.5" hidden="1" customHeight="1"/>
    <row r="632" ht="25.5" hidden="1" customHeight="1"/>
    <row r="633" ht="25.5" hidden="1" customHeight="1"/>
    <row r="634" ht="25.5" hidden="1" customHeight="1"/>
    <row r="635" ht="25.5" hidden="1" customHeight="1"/>
    <row r="636" ht="25.5" hidden="1" customHeight="1"/>
    <row r="637" ht="25.5" hidden="1" customHeight="1"/>
    <row r="638" ht="25.5" hidden="1" customHeight="1"/>
    <row r="639" ht="25.5" hidden="1" customHeight="1"/>
    <row r="640" ht="25.5" hidden="1" customHeight="1"/>
    <row r="641" ht="25.5" hidden="1" customHeight="1"/>
    <row r="642" ht="25.5" hidden="1" customHeight="1"/>
    <row r="643" ht="25.5" hidden="1" customHeight="1"/>
    <row r="644" ht="25.5" hidden="1" customHeight="1"/>
    <row r="645" ht="25.5" hidden="1" customHeight="1"/>
    <row r="646" ht="25.5" hidden="1" customHeight="1"/>
    <row r="647" ht="25.5" hidden="1" customHeight="1"/>
    <row r="648" ht="25.5" hidden="1" customHeight="1"/>
    <row r="649" ht="25.5" hidden="1" customHeight="1"/>
    <row r="650" ht="25.5" hidden="1" customHeight="1"/>
    <row r="651" ht="25.5" hidden="1" customHeight="1"/>
    <row r="652" ht="25.5" hidden="1" customHeight="1"/>
    <row r="653" ht="25.5" hidden="1" customHeight="1"/>
    <row r="654" ht="25.5" hidden="1" customHeight="1"/>
    <row r="655" ht="25.5" hidden="1" customHeight="1"/>
    <row r="656" ht="25.5" hidden="1" customHeight="1"/>
    <row r="657" ht="25.5" hidden="1" customHeight="1"/>
    <row r="658" ht="25.5" hidden="1" customHeight="1"/>
    <row r="659" ht="25.5" hidden="1" customHeight="1"/>
    <row r="660" ht="25.5" hidden="1" customHeight="1"/>
    <row r="661" ht="25.5" hidden="1" customHeight="1"/>
    <row r="662" ht="25.5" hidden="1" customHeight="1"/>
    <row r="663" ht="25.5" hidden="1" customHeight="1"/>
    <row r="664" ht="25.5" hidden="1" customHeight="1"/>
    <row r="665" ht="25.5" hidden="1" customHeight="1"/>
    <row r="666" ht="25.5" hidden="1" customHeight="1"/>
    <row r="667" ht="25.5" hidden="1" customHeight="1"/>
    <row r="668" ht="25.5" hidden="1" customHeight="1"/>
    <row r="669" ht="25.5" hidden="1" customHeight="1"/>
    <row r="670" ht="25.5" hidden="1" customHeight="1"/>
    <row r="671" ht="25.5" hidden="1" customHeight="1"/>
    <row r="672" ht="25.5" hidden="1" customHeight="1"/>
    <row r="673" ht="25.5" hidden="1" customHeight="1"/>
    <row r="674" ht="25.5" hidden="1" customHeight="1"/>
    <row r="675" ht="25.5" hidden="1" customHeight="1"/>
    <row r="676" ht="25.5" hidden="1" customHeight="1"/>
    <row r="677" ht="25.5" hidden="1" customHeight="1"/>
    <row r="678" ht="25.5" hidden="1" customHeight="1"/>
    <row r="679" ht="25.5" hidden="1" customHeight="1"/>
    <row r="680" ht="25.5" hidden="1" customHeight="1"/>
    <row r="681" ht="25.5" hidden="1" customHeight="1"/>
    <row r="682" ht="25.5" hidden="1" customHeight="1"/>
    <row r="683" ht="25.5" hidden="1" customHeight="1"/>
    <row r="684" ht="25.5" hidden="1" customHeight="1"/>
    <row r="685" ht="25.5" hidden="1" customHeight="1"/>
    <row r="686" ht="25.5" hidden="1" customHeight="1"/>
    <row r="687" ht="25.5" hidden="1" customHeight="1"/>
    <row r="688" ht="25.5" hidden="1" customHeight="1"/>
    <row r="689" ht="25.5" hidden="1" customHeight="1"/>
    <row r="690" ht="25.5" hidden="1" customHeight="1"/>
    <row r="691" ht="25.5" hidden="1" customHeight="1"/>
    <row r="692" ht="25.5" hidden="1" customHeight="1"/>
    <row r="693" ht="25.5" hidden="1" customHeight="1"/>
    <row r="694" ht="25.5" hidden="1" customHeight="1"/>
    <row r="695" ht="25.5" hidden="1" customHeight="1"/>
    <row r="696" ht="25.5" hidden="1" customHeight="1"/>
    <row r="697" ht="25.5" hidden="1" customHeight="1"/>
    <row r="698" ht="25.5" hidden="1" customHeight="1"/>
    <row r="699" ht="25.5" hidden="1" customHeight="1"/>
    <row r="700" ht="25.5" hidden="1" customHeight="1"/>
    <row r="701" ht="25.5" hidden="1" customHeight="1"/>
    <row r="702" ht="25.5" hidden="1" customHeight="1"/>
    <row r="703" ht="25.5" hidden="1" customHeight="1"/>
    <row r="704" ht="25.5" hidden="1" customHeight="1"/>
    <row r="705" ht="25.5" hidden="1" customHeight="1"/>
    <row r="706" ht="25.5" hidden="1" customHeight="1"/>
    <row r="707" ht="25.5" hidden="1" customHeight="1"/>
    <row r="708" ht="25.5" hidden="1" customHeight="1"/>
    <row r="709" ht="25.5" hidden="1" customHeight="1"/>
    <row r="710" ht="25.5" hidden="1" customHeight="1"/>
    <row r="711" ht="25.5" hidden="1" customHeight="1"/>
    <row r="712" ht="25.5" hidden="1" customHeight="1"/>
    <row r="713" ht="25.5" hidden="1" customHeight="1"/>
    <row r="714" ht="25.5" hidden="1" customHeight="1"/>
    <row r="715" ht="25.5" hidden="1" customHeight="1"/>
    <row r="716" ht="25.5" hidden="1" customHeight="1"/>
    <row r="717" ht="25.5" hidden="1" customHeight="1"/>
    <row r="718" ht="25.5" hidden="1" customHeight="1"/>
    <row r="719" ht="25.5" hidden="1" customHeight="1"/>
    <row r="720" ht="25.5" hidden="1" customHeight="1"/>
    <row r="721" ht="25.5" hidden="1" customHeight="1"/>
    <row r="722" ht="25.5" hidden="1" customHeight="1"/>
    <row r="723" ht="25.5" hidden="1" customHeight="1"/>
    <row r="724" ht="25.5" hidden="1" customHeight="1"/>
    <row r="725" ht="25.5" hidden="1" customHeight="1"/>
    <row r="726" ht="25.5" hidden="1" customHeight="1"/>
    <row r="727" ht="25.5" hidden="1" customHeight="1"/>
    <row r="728" ht="25.5" hidden="1" customHeight="1"/>
    <row r="729" ht="25.5" hidden="1" customHeight="1"/>
    <row r="730" ht="25.5" hidden="1" customHeight="1"/>
    <row r="731" ht="25.5" hidden="1" customHeight="1"/>
    <row r="732" ht="25.5" hidden="1" customHeight="1"/>
    <row r="733" ht="25.5" hidden="1" customHeight="1"/>
    <row r="734" ht="25.5" hidden="1" customHeight="1"/>
    <row r="735" ht="25.5" hidden="1" customHeight="1"/>
    <row r="736" ht="25.5" hidden="1" customHeight="1"/>
    <row r="737" ht="25.5" hidden="1" customHeight="1"/>
    <row r="738" ht="25.5" hidden="1" customHeight="1"/>
    <row r="739" ht="25.5" hidden="1" customHeight="1"/>
    <row r="740" ht="25.5" hidden="1" customHeight="1"/>
    <row r="741" ht="25.5" hidden="1" customHeight="1"/>
    <row r="742" ht="25.5" hidden="1" customHeight="1"/>
    <row r="743" ht="25.5" hidden="1" customHeight="1"/>
    <row r="744" ht="25.5" hidden="1" customHeight="1"/>
    <row r="745" ht="25.5" hidden="1" customHeight="1"/>
    <row r="746" ht="25.5" hidden="1" customHeight="1"/>
    <row r="747" ht="25.5" hidden="1" customHeight="1"/>
    <row r="748" ht="25.5" hidden="1" customHeight="1"/>
    <row r="749" ht="25.5" hidden="1" customHeight="1"/>
    <row r="750" ht="25.5" hidden="1" customHeight="1"/>
    <row r="751" ht="25.5" hidden="1" customHeight="1"/>
    <row r="752" ht="25.5" hidden="1" customHeight="1"/>
    <row r="753" ht="25.5" hidden="1" customHeight="1"/>
    <row r="754" ht="25.5" hidden="1" customHeight="1"/>
    <row r="755" ht="25.5" hidden="1" customHeight="1"/>
    <row r="756" ht="25.5" hidden="1" customHeight="1"/>
    <row r="757" ht="25.5" hidden="1" customHeight="1"/>
    <row r="758" ht="25.5" hidden="1" customHeight="1"/>
    <row r="759" ht="25.5" hidden="1" customHeight="1"/>
    <row r="760" ht="25.5" hidden="1" customHeight="1"/>
    <row r="761" ht="25.5" hidden="1" customHeight="1"/>
    <row r="762" ht="25.5" hidden="1" customHeight="1"/>
    <row r="763" ht="25.5" hidden="1" customHeight="1"/>
    <row r="764" ht="25.5" hidden="1" customHeight="1"/>
    <row r="765" ht="25.5" hidden="1" customHeight="1"/>
    <row r="766" ht="25.5" hidden="1" customHeight="1"/>
    <row r="767" ht="25.5" hidden="1" customHeight="1"/>
    <row r="768" ht="25.5" hidden="1" customHeight="1"/>
    <row r="769" ht="25.5" hidden="1" customHeight="1"/>
    <row r="770" ht="25.5" hidden="1" customHeight="1"/>
    <row r="771" ht="25.5" hidden="1" customHeight="1"/>
    <row r="772" ht="25.5" hidden="1" customHeight="1"/>
    <row r="773" ht="25.5" hidden="1" customHeight="1"/>
    <row r="774" ht="25.5" hidden="1" customHeight="1"/>
    <row r="775" ht="25.5" hidden="1" customHeight="1"/>
    <row r="776" ht="25.5" hidden="1" customHeight="1"/>
    <row r="777" ht="25.5" hidden="1" customHeight="1"/>
    <row r="778" ht="25.5" hidden="1" customHeight="1"/>
    <row r="779" ht="25.5" hidden="1" customHeight="1"/>
    <row r="780" ht="25.5" hidden="1" customHeight="1"/>
    <row r="781" ht="25.5" hidden="1" customHeight="1"/>
    <row r="782" ht="25.5" hidden="1" customHeight="1"/>
    <row r="783" ht="25.5" hidden="1" customHeight="1"/>
    <row r="784" ht="25.5" hidden="1" customHeight="1"/>
    <row r="785" ht="25.5" hidden="1" customHeight="1"/>
    <row r="786" ht="25.5" hidden="1" customHeight="1"/>
    <row r="787" ht="25.5" hidden="1" customHeight="1"/>
    <row r="788" ht="25.5" hidden="1" customHeight="1"/>
    <row r="789" ht="25.5" hidden="1" customHeight="1"/>
    <row r="790" ht="25.5" hidden="1" customHeight="1"/>
    <row r="791" ht="25.5" hidden="1" customHeight="1"/>
    <row r="792" ht="25.5" hidden="1" customHeight="1"/>
    <row r="793" ht="25.5" hidden="1" customHeight="1"/>
    <row r="794" ht="25.5" hidden="1" customHeight="1"/>
    <row r="795" ht="25.5" hidden="1" customHeight="1"/>
    <row r="796" ht="25.5" hidden="1" customHeight="1"/>
    <row r="797" ht="25.5" hidden="1" customHeight="1"/>
    <row r="798" ht="25.5" hidden="1" customHeight="1"/>
    <row r="799" ht="25.5" hidden="1" customHeight="1"/>
    <row r="800" ht="25.5" hidden="1" customHeight="1"/>
    <row r="801" ht="25.5" hidden="1" customHeight="1"/>
    <row r="802" ht="25.5" hidden="1" customHeight="1"/>
    <row r="803" ht="25.5" hidden="1" customHeight="1"/>
    <row r="804" ht="25.5" hidden="1" customHeight="1"/>
    <row r="805" ht="25.5" hidden="1" customHeight="1"/>
    <row r="806" ht="25.5" hidden="1" customHeight="1"/>
    <row r="807" ht="25.5" hidden="1" customHeight="1"/>
    <row r="808" ht="25.5" hidden="1" customHeight="1"/>
    <row r="809" ht="25.5" hidden="1" customHeight="1"/>
    <row r="810" ht="25.5" hidden="1" customHeight="1"/>
    <row r="811" ht="25.5" hidden="1" customHeight="1"/>
    <row r="812" ht="25.5" hidden="1" customHeight="1"/>
    <row r="813" ht="25.5" hidden="1" customHeight="1"/>
    <row r="814" ht="25.5" hidden="1" customHeight="1"/>
    <row r="815" ht="25.5" hidden="1" customHeight="1"/>
    <row r="816" ht="25.5" hidden="1" customHeight="1"/>
    <row r="817" ht="25.5" hidden="1" customHeight="1"/>
    <row r="818" ht="25.5" hidden="1" customHeight="1"/>
    <row r="819" ht="25.5" hidden="1" customHeight="1"/>
    <row r="820" ht="25.5" hidden="1" customHeight="1"/>
    <row r="821" ht="25.5" hidden="1" customHeight="1"/>
    <row r="822" ht="25.5" hidden="1" customHeight="1"/>
    <row r="823" ht="25.5" hidden="1" customHeight="1"/>
    <row r="824" ht="25.5" hidden="1" customHeight="1"/>
    <row r="825" ht="25.5" hidden="1" customHeight="1"/>
    <row r="826" ht="25.5" hidden="1" customHeight="1"/>
    <row r="827" ht="25.5" hidden="1" customHeight="1"/>
    <row r="828" ht="25.5" hidden="1" customHeight="1"/>
    <row r="829" ht="25.5" hidden="1" customHeight="1"/>
    <row r="830" ht="25.5" hidden="1" customHeight="1"/>
    <row r="831" ht="25.5" hidden="1" customHeight="1"/>
    <row r="832" ht="25.5" hidden="1" customHeight="1"/>
    <row r="833" ht="25.5" hidden="1" customHeight="1"/>
    <row r="834" ht="25.5" hidden="1" customHeight="1"/>
    <row r="835" ht="25.5" hidden="1" customHeight="1"/>
    <row r="836" ht="25.5" hidden="1" customHeight="1"/>
    <row r="837" ht="25.5" hidden="1" customHeight="1"/>
    <row r="838" ht="25.5" hidden="1" customHeight="1"/>
    <row r="839" ht="25.5" hidden="1" customHeight="1"/>
    <row r="840" ht="25.5" hidden="1" customHeight="1"/>
    <row r="841" ht="25.5" hidden="1" customHeight="1"/>
    <row r="842" ht="25.5" hidden="1" customHeight="1"/>
    <row r="843" ht="25.5" hidden="1" customHeight="1"/>
    <row r="844" ht="25.5" hidden="1" customHeight="1"/>
    <row r="845" ht="25.5" hidden="1" customHeight="1"/>
    <row r="846" ht="25.5" hidden="1" customHeight="1"/>
    <row r="847" ht="25.5" hidden="1" customHeight="1"/>
    <row r="848" ht="25.5" hidden="1" customHeight="1"/>
    <row r="849" ht="25.5" hidden="1" customHeight="1"/>
    <row r="850" ht="25.5" hidden="1" customHeight="1"/>
    <row r="851" ht="25.5" hidden="1" customHeight="1"/>
    <row r="852" ht="25.5" hidden="1" customHeight="1"/>
    <row r="853" ht="25.5" hidden="1" customHeight="1"/>
    <row r="854" ht="25.5" hidden="1" customHeight="1"/>
    <row r="855" ht="25.5" hidden="1" customHeight="1"/>
    <row r="856" ht="25.5" hidden="1" customHeight="1"/>
    <row r="857" ht="25.5" hidden="1" customHeight="1"/>
    <row r="858" ht="25.5" hidden="1" customHeight="1"/>
    <row r="859" ht="25.5" hidden="1" customHeight="1"/>
    <row r="860" ht="25.5" hidden="1" customHeight="1"/>
    <row r="861" ht="25.5" hidden="1" customHeight="1"/>
    <row r="862" ht="25.5" hidden="1" customHeight="1"/>
    <row r="863" ht="25.5" hidden="1" customHeight="1"/>
    <row r="864" ht="25.5" hidden="1" customHeight="1"/>
    <row r="865" ht="25.5" hidden="1" customHeight="1"/>
    <row r="866" ht="25.5" hidden="1" customHeight="1"/>
    <row r="867" ht="25.5" hidden="1" customHeight="1"/>
    <row r="868" ht="25.5" hidden="1" customHeight="1"/>
    <row r="869" ht="25.5" hidden="1" customHeight="1"/>
    <row r="870" ht="25.5" hidden="1" customHeight="1"/>
    <row r="871" ht="25.5" hidden="1" customHeight="1"/>
    <row r="872" ht="25.5" hidden="1" customHeight="1"/>
    <row r="873" ht="25.5" hidden="1" customHeight="1"/>
    <row r="874" ht="25.5" hidden="1" customHeight="1"/>
    <row r="875" ht="25.5" hidden="1" customHeight="1"/>
    <row r="876" ht="25.5" hidden="1" customHeight="1"/>
    <row r="877" ht="25.5" hidden="1" customHeight="1"/>
    <row r="878" ht="25.5" hidden="1" customHeight="1"/>
    <row r="879" ht="25.5" hidden="1" customHeight="1"/>
    <row r="880" ht="25.5" hidden="1" customHeight="1"/>
    <row r="881" ht="25.5" hidden="1" customHeight="1"/>
    <row r="882" ht="25.5" hidden="1" customHeight="1"/>
    <row r="883" ht="25.5" hidden="1" customHeight="1"/>
    <row r="884" ht="25.5" hidden="1" customHeight="1"/>
    <row r="885" ht="25.5" hidden="1" customHeight="1"/>
    <row r="886" ht="25.5" hidden="1" customHeight="1"/>
    <row r="887" ht="25.5" hidden="1" customHeight="1"/>
    <row r="888" ht="25.5" hidden="1" customHeight="1"/>
    <row r="889" ht="25.5" hidden="1" customHeight="1"/>
    <row r="890" ht="25.5" hidden="1" customHeight="1"/>
    <row r="891" ht="25.5" hidden="1" customHeight="1"/>
    <row r="892" ht="25.5" hidden="1" customHeight="1"/>
    <row r="893" ht="25.5" hidden="1" customHeight="1"/>
    <row r="894" ht="25.5" hidden="1" customHeight="1"/>
    <row r="895" ht="25.5" hidden="1" customHeight="1"/>
    <row r="896" ht="25.5" hidden="1" customHeight="1"/>
    <row r="897" ht="25.5" hidden="1" customHeight="1"/>
    <row r="898" ht="25.5" hidden="1" customHeight="1"/>
    <row r="899" ht="25.5" hidden="1" customHeight="1"/>
    <row r="900" ht="25.5" hidden="1" customHeight="1"/>
    <row r="901" ht="25.5" hidden="1" customHeight="1"/>
    <row r="902" ht="25.5" hidden="1" customHeight="1"/>
    <row r="903" ht="25.5" hidden="1" customHeight="1"/>
    <row r="904" ht="25.5" hidden="1" customHeight="1"/>
    <row r="905" ht="25.5" hidden="1" customHeight="1"/>
    <row r="906" ht="25.5" hidden="1" customHeight="1"/>
    <row r="907" ht="25.5" hidden="1" customHeight="1"/>
    <row r="908" ht="25.5" hidden="1" customHeight="1"/>
    <row r="909" ht="25.5" hidden="1" customHeight="1"/>
    <row r="910" ht="25.5" hidden="1" customHeight="1"/>
    <row r="911" ht="25.5" hidden="1" customHeight="1"/>
    <row r="912" ht="25.5" hidden="1" customHeight="1"/>
    <row r="913" ht="25.5" hidden="1" customHeight="1"/>
    <row r="914" ht="25.5" hidden="1" customHeight="1"/>
    <row r="915" ht="25.5" hidden="1" customHeight="1"/>
    <row r="916" ht="25.5" hidden="1" customHeight="1"/>
    <row r="917" ht="25.5" hidden="1" customHeight="1"/>
    <row r="918" ht="25.5" hidden="1" customHeight="1"/>
    <row r="919" ht="25.5" hidden="1" customHeight="1"/>
    <row r="920" ht="25.5" hidden="1" customHeight="1"/>
    <row r="921" ht="25.5" hidden="1" customHeight="1"/>
    <row r="922" ht="25.5" hidden="1" customHeight="1"/>
    <row r="923" ht="25.5" hidden="1" customHeight="1"/>
    <row r="924" ht="25.5" hidden="1" customHeight="1"/>
    <row r="925" ht="25.5" hidden="1" customHeight="1"/>
    <row r="926" ht="25.5" hidden="1" customHeight="1"/>
    <row r="927" ht="25.5" hidden="1" customHeight="1"/>
    <row r="928" ht="25.5" hidden="1" customHeight="1"/>
    <row r="929" ht="25.5" hidden="1" customHeight="1"/>
    <row r="930" ht="25.5" hidden="1" customHeight="1"/>
    <row r="931" ht="25.5" hidden="1" customHeight="1"/>
    <row r="932" ht="25.5" hidden="1" customHeight="1"/>
    <row r="933" ht="25.5" hidden="1" customHeight="1"/>
    <row r="934" ht="25.5" hidden="1" customHeight="1"/>
    <row r="935" ht="25.5" hidden="1" customHeight="1"/>
    <row r="936" ht="25.5" hidden="1" customHeight="1"/>
    <row r="937" ht="25.5" hidden="1" customHeight="1"/>
    <row r="938" ht="25.5" hidden="1" customHeight="1"/>
    <row r="939" ht="25.5" hidden="1" customHeight="1"/>
    <row r="940" ht="25.5" hidden="1" customHeight="1"/>
    <row r="941" ht="25.5" hidden="1" customHeight="1"/>
    <row r="942" ht="25.5" hidden="1" customHeight="1"/>
    <row r="943" ht="25.5" hidden="1" customHeight="1"/>
    <row r="944" ht="25.5" hidden="1" customHeight="1"/>
    <row r="945" ht="25.5" hidden="1" customHeight="1"/>
    <row r="946" ht="25.5" hidden="1" customHeight="1"/>
    <row r="947" ht="25.5" hidden="1" customHeight="1"/>
    <row r="948" ht="25.5" hidden="1" customHeight="1"/>
    <row r="949" ht="25.5" hidden="1" customHeight="1"/>
    <row r="950" ht="25.5" hidden="1" customHeight="1"/>
    <row r="951" ht="25.5" hidden="1" customHeight="1"/>
    <row r="952" ht="25.5" hidden="1" customHeight="1"/>
    <row r="953" ht="25.5" hidden="1" customHeight="1"/>
    <row r="954" ht="25.5" hidden="1" customHeight="1"/>
    <row r="955" ht="25.5" hidden="1" customHeight="1"/>
    <row r="956" ht="25.5" hidden="1" customHeight="1"/>
    <row r="957" ht="25.5" hidden="1" customHeight="1"/>
    <row r="958" ht="25.5" hidden="1" customHeight="1"/>
    <row r="959" ht="25.5" hidden="1" customHeight="1"/>
    <row r="960" ht="25.5" hidden="1" customHeight="1"/>
    <row r="961" ht="25.5" hidden="1" customHeight="1"/>
    <row r="962" ht="25.5" hidden="1" customHeight="1"/>
    <row r="963" ht="25.5" hidden="1" customHeight="1"/>
    <row r="964" ht="25.5" hidden="1" customHeight="1"/>
    <row r="965" ht="25.5" hidden="1" customHeight="1"/>
    <row r="966" ht="25.5" hidden="1" customHeight="1"/>
    <row r="967" ht="25.5" hidden="1" customHeight="1"/>
    <row r="968" ht="25.5" hidden="1" customHeight="1"/>
    <row r="969" ht="25.5" hidden="1" customHeight="1"/>
    <row r="970" ht="25.5" hidden="1" customHeight="1"/>
    <row r="971" ht="25.5" hidden="1" customHeight="1"/>
    <row r="972" ht="25.5" hidden="1" customHeight="1"/>
    <row r="973" ht="25.5" hidden="1" customHeight="1"/>
    <row r="974" ht="25.5" hidden="1" customHeight="1"/>
    <row r="975" ht="25.5" hidden="1" customHeight="1"/>
    <row r="976" ht="25.5" hidden="1" customHeight="1"/>
    <row r="977" ht="25.5" hidden="1" customHeight="1"/>
    <row r="978" ht="25.5" hidden="1" customHeight="1"/>
    <row r="979" ht="25.5" hidden="1" customHeight="1"/>
    <row r="980" ht="25.5" hidden="1" customHeight="1"/>
    <row r="981" ht="25.5" hidden="1" customHeight="1"/>
    <row r="982" ht="25.5" hidden="1" customHeight="1"/>
    <row r="983" ht="25.5" hidden="1" customHeight="1"/>
    <row r="984" ht="25.5" hidden="1" customHeight="1"/>
    <row r="985" ht="25.5" hidden="1" customHeight="1"/>
    <row r="986" ht="25.5" hidden="1" customHeight="1"/>
    <row r="987" ht="25.5" hidden="1" customHeight="1"/>
  </sheetData>
  <sheetProtection password="CE28" sheet="1" objects="1" scenarios="1" formatCells="0" formatColumns="0"/>
  <customSheetViews>
    <customSheetView guid="{0E659955-9737-492F-945A-95AC3E0C4088}" showPageBreaks="1" printArea="1" hiddenRows="1" hiddenColumns="1" view="pageLayout">
      <selection activeCell="G1" sqref="G1"/>
      <pageMargins left="0" right="0.25" top="0" bottom="0" header="0" footer="0"/>
      <printOptions horizontalCentered="1" verticalCentered="1"/>
      <pageSetup paperSize="9" scale="86" orientation="portrait" blackAndWhite="1" r:id="rId1"/>
      <headerFooter alignWithMargins="0"/>
    </customSheetView>
    <customSheetView guid="{6B449CA7-43A5-4BFF-BFE3-4A3E3D45323D}" showGridLines="0" showRowCol="0" hiddenRows="1" hiddenColumns="1">
      <selection activeCell="E6" sqref="E6"/>
      <pageMargins left="0" right="0.25" top="0" bottom="0" header="0" footer="0"/>
      <printOptions horizontalCentered="1" verticalCentered="1"/>
      <pageSetup paperSize="9" scale="90" orientation="portrait" blackAndWhite="1" r:id="rId2"/>
      <headerFooter alignWithMargins="0">
        <oddFooter>&amp;Lsuleman&amp;R97253 90192</oddFooter>
      </headerFooter>
    </customSheetView>
  </customSheetViews>
  <mergeCells count="38">
    <mergeCell ref="C18:D18"/>
    <mergeCell ref="C7:D7"/>
    <mergeCell ref="A1:F1"/>
    <mergeCell ref="C2:N2"/>
    <mergeCell ref="L3:N3"/>
    <mergeCell ref="J3:K3"/>
    <mergeCell ref="F3:I3"/>
    <mergeCell ref="C11:D11"/>
    <mergeCell ref="C8:D8"/>
    <mergeCell ref="C6:D6"/>
    <mergeCell ref="C3:E3"/>
    <mergeCell ref="C13:D13"/>
    <mergeCell ref="C5:D5"/>
    <mergeCell ref="C9:D9"/>
    <mergeCell ref="H1:N1"/>
    <mergeCell ref="C14:D14"/>
    <mergeCell ref="H20:N20"/>
    <mergeCell ref="H23:N23"/>
    <mergeCell ref="F21:G21"/>
    <mergeCell ref="F20:G20"/>
    <mergeCell ref="H21:N21"/>
    <mergeCell ref="F22:G22"/>
    <mergeCell ref="H22:N22"/>
    <mergeCell ref="F23:G23"/>
    <mergeCell ref="C30:N30"/>
    <mergeCell ref="J24:N24"/>
    <mergeCell ref="G28:H28"/>
    <mergeCell ref="I28:N28"/>
    <mergeCell ref="E25:F25"/>
    <mergeCell ref="K27:N27"/>
    <mergeCell ref="G25:I25"/>
    <mergeCell ref="J25:N25"/>
    <mergeCell ref="C28:F28"/>
    <mergeCell ref="C17:D17"/>
    <mergeCell ref="C10:D10"/>
    <mergeCell ref="C16:D16"/>
    <mergeCell ref="C15:D15"/>
    <mergeCell ref="C12:D12"/>
  </mergeCells>
  <conditionalFormatting sqref="E6:N17">
    <cfRule type="containsBlanks" dxfId="0" priority="1">
      <formula>LEN(TRIM(E6))=0</formula>
    </cfRule>
  </conditionalFormatting>
  <dataValidations count="1">
    <dataValidation type="list" allowBlank="1" showInputMessage="1" showErrorMessage="1" sqref="G1" xr:uid="{00000000-0002-0000-0100-000000000000}">
      <formula1>"new,old"</formula1>
    </dataValidation>
  </dataValidations>
  <printOptions horizontalCentered="1" verticalCentered="1"/>
  <pageMargins left="0" right="0.25" top="0" bottom="0" header="0" footer="0"/>
  <pageSetup paperSize="9" scale="86" orientation="portrait" blackAndWhite="1" r:id="rId3"/>
  <headerFooter alignWithMargins="0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R341"/>
  <sheetViews>
    <sheetView workbookViewId="0">
      <selection activeCell="AG1" sqref="AG1:AG62"/>
    </sheetView>
  </sheetViews>
  <sheetFormatPr defaultColWidth="0" defaultRowHeight="16.5" customHeight="1" zeroHeight="1"/>
  <cols>
    <col min="1" max="1" width="3.54296875" style="91" customWidth="1"/>
    <col min="2" max="2" width="1.453125" style="91" customWidth="1"/>
    <col min="3" max="3" width="3.453125" style="92" customWidth="1"/>
    <col min="4" max="4" width="3.54296875" style="91" customWidth="1"/>
    <col min="5" max="5" width="3.7265625" style="91" bestFit="1" customWidth="1"/>
    <col min="6" max="17" width="3.54296875" style="91" customWidth="1"/>
    <col min="18" max="18" width="3.54296875" style="93" customWidth="1"/>
    <col min="19" max="25" width="3.54296875" style="91" customWidth="1"/>
    <col min="26" max="26" width="3.54296875" style="93" customWidth="1"/>
    <col min="27" max="31" width="3.54296875" style="91" customWidth="1"/>
    <col min="32" max="32" width="1.453125" style="91" customWidth="1"/>
    <col min="33" max="33" width="3.54296875" style="91" customWidth="1"/>
    <col min="34" max="37" width="3.54296875" style="7" hidden="1" customWidth="1"/>
    <col min="38" max="38" width="16.1796875" style="7" hidden="1" customWidth="1"/>
    <col min="39" max="42" width="12.54296875" style="7" hidden="1" customWidth="1"/>
    <col min="43" max="43" width="13.1796875" style="7" hidden="1" customWidth="1"/>
    <col min="44" max="57" width="9.1796875" style="7" hidden="1" customWidth="1"/>
    <col min="58" max="122" width="9.1796875" style="22" hidden="1" customWidth="1"/>
    <col min="123" max="256" width="9.1796875" style="33" hidden="1" customWidth="1"/>
    <col min="257" max="16384" width="9.1796875" style="33" hidden="1"/>
  </cols>
  <sheetData>
    <row r="1" spans="1:122" s="66" customFormat="1" ht="24" customHeight="1" thickBot="1">
      <c r="A1" s="334" t="s">
        <v>301</v>
      </c>
      <c r="B1" s="334"/>
      <c r="C1" s="334"/>
      <c r="D1" s="334"/>
      <c r="E1" s="334"/>
      <c r="F1" s="334"/>
      <c r="G1" s="334"/>
      <c r="H1" s="334"/>
      <c r="I1" s="334"/>
      <c r="J1" s="334"/>
      <c r="K1" s="378" t="s">
        <v>300</v>
      </c>
      <c r="L1" s="379"/>
      <c r="M1" s="377" t="s">
        <v>232</v>
      </c>
      <c r="N1" s="377"/>
      <c r="O1" s="375" t="s">
        <v>90</v>
      </c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9" t="s">
        <v>89</v>
      </c>
      <c r="AD1" s="379"/>
      <c r="AE1" s="379"/>
      <c r="AF1" s="62"/>
      <c r="AG1" s="63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</row>
    <row r="2" spans="1:122" ht="21" customHeight="1">
      <c r="A2" s="63"/>
      <c r="B2" s="37"/>
      <c r="C2" s="335" t="s">
        <v>296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8"/>
      <c r="AG2" s="63"/>
      <c r="AM2" s="7" t="s">
        <v>88</v>
      </c>
      <c r="AN2" s="7">
        <f>AO32</f>
        <v>0</v>
      </c>
      <c r="AO2" s="7">
        <v>0</v>
      </c>
      <c r="AP2" s="7">
        <f>IF(AC1="C.P.F.",AN2,AO2)</f>
        <v>0</v>
      </c>
      <c r="AQ2" s="7">
        <f>AN32</f>
        <v>0</v>
      </c>
      <c r="AR2" s="7">
        <f>IF(AC1="C.P.F.",AQ2,AO2)</f>
        <v>0</v>
      </c>
    </row>
    <row r="3" spans="1:122" ht="16.5" customHeight="1">
      <c r="A3" s="63"/>
      <c r="B3" s="39"/>
      <c r="C3" s="342" t="s">
        <v>228</v>
      </c>
      <c r="D3" s="342"/>
      <c r="E3" s="342"/>
      <c r="F3" s="342"/>
      <c r="G3" s="342"/>
      <c r="H3" s="342"/>
      <c r="I3" s="342"/>
      <c r="J3" s="342"/>
      <c r="K3" s="342"/>
      <c r="L3" s="342"/>
      <c r="M3" s="36"/>
      <c r="N3" s="36"/>
      <c r="O3" s="36"/>
      <c r="P3" s="36"/>
      <c r="Q3" s="36"/>
      <c r="R3" s="36"/>
      <c r="S3" s="36"/>
      <c r="T3" s="36"/>
      <c r="U3" s="36"/>
      <c r="V3" s="380" t="s">
        <v>229</v>
      </c>
      <c r="W3" s="380"/>
      <c r="X3" s="380"/>
      <c r="Y3" s="380"/>
      <c r="Z3" s="380"/>
      <c r="AA3" s="380"/>
      <c r="AB3" s="380"/>
      <c r="AC3" s="380"/>
      <c r="AD3" s="380"/>
      <c r="AE3" s="380"/>
      <c r="AF3" s="40"/>
      <c r="AG3" s="63"/>
      <c r="AM3" s="7" t="s">
        <v>89</v>
      </c>
      <c r="AN3" s="7">
        <f>'કપાટ પત્રક પેહલા ભરવુ '!G18</f>
        <v>0</v>
      </c>
      <c r="AO3" s="7">
        <v>0</v>
      </c>
      <c r="AP3" s="7">
        <f>IF(AC1="G.P.F.",AN3,AO3)</f>
        <v>0</v>
      </c>
    </row>
    <row r="4" spans="1:122" s="36" customFormat="1" ht="15.75" customHeight="1">
      <c r="A4" s="67"/>
      <c r="B4" s="41"/>
      <c r="C4" s="341" t="s">
        <v>13</v>
      </c>
      <c r="D4" s="341"/>
      <c r="E4" s="341"/>
      <c r="F4" s="32" t="str">
        <f>IF('જૂન સ્લેબ મુજબ (OLD SLAB)'!F4="","",'જૂન સ્લેબ મુજબ (OLD SLAB)'!F4)</f>
        <v/>
      </c>
      <c r="G4" s="32" t="str">
        <f>IF('જૂન સ્લેબ મુજબ (OLD SLAB)'!G4="","",'જૂન સ્લેબ મુજબ (OLD SLAB)'!G4)</f>
        <v/>
      </c>
      <c r="H4" s="32" t="str">
        <f>IF('જૂન સ્લેબ મુજબ (OLD SLAB)'!H4="","",'જૂન સ્લેબ મુજબ (OLD SLAB)'!H4)</f>
        <v/>
      </c>
      <c r="I4" s="32" t="str">
        <f>IF('જૂન સ્લેબ મુજબ (OLD SLAB)'!I4="","",'જૂન સ્લેબ મુજબ (OLD SLAB)'!I4)</f>
        <v/>
      </c>
      <c r="J4" s="32" t="str">
        <f>IF('જૂન સ્લેબ મુજબ (OLD SLAB)'!J4="","",'જૂન સ્લેબ મુજબ (OLD SLAB)'!J4)</f>
        <v/>
      </c>
      <c r="K4" s="32" t="str">
        <f>IF('જૂન સ્લેબ મુજબ (OLD SLAB)'!K4="","",'જૂન સ્લેબ મુજબ (OLD SLAB)'!K4)</f>
        <v/>
      </c>
      <c r="L4" s="32" t="str">
        <f>IF('જૂન સ્લેબ મુજબ (OLD SLAB)'!L4="","",'જૂન સ્લેબ મુજબ (OLD SLAB)'!L4)</f>
        <v/>
      </c>
      <c r="M4" s="32" t="str">
        <f>IF('જૂન સ્લેબ મુજબ (OLD SLAB)'!M4="","",'જૂન સ્લેબ મુજબ (OLD SLAB)'!M4)</f>
        <v/>
      </c>
      <c r="N4" s="32" t="str">
        <f>IF('જૂન સ્લેબ મુજબ (OLD SLAB)'!N4="","",'જૂન સ્લેબ મુજબ (OLD SLAB)'!N4)</f>
        <v/>
      </c>
      <c r="O4" s="32" t="str">
        <f>IF('જૂન સ્લેબ મુજબ (OLD SLAB)'!O4="","",'જૂન સ્લેબ મુજબ (OLD SLAB)'!O4)</f>
        <v/>
      </c>
      <c r="R4" s="347" t="s">
        <v>11</v>
      </c>
      <c r="S4" s="347"/>
      <c r="T4" s="347"/>
      <c r="U4" s="347"/>
      <c r="V4" s="32" t="str">
        <f>IF('જૂન સ્લેબ મુજબ (OLD SLAB)'!V4="","",'જૂન સ્લેબ મુજબ (OLD SLAB)'!V4)</f>
        <v/>
      </c>
      <c r="W4" s="32" t="str">
        <f>IF('જૂન સ્લેબ મુજબ (OLD SLAB)'!W4="","",'જૂન સ્લેબ મુજબ (OLD SLAB)'!W4)</f>
        <v/>
      </c>
      <c r="X4" s="32" t="str">
        <f>IF('જૂન સ્લેબ મુજબ (OLD SLAB)'!X4="","",'જૂન સ્લેબ મુજબ (OLD SLAB)'!X4)</f>
        <v/>
      </c>
      <c r="Y4" s="32" t="str">
        <f>IF('જૂન સ્લેબ મુજબ (OLD SLAB)'!Y4="","",'જૂન સ્લેબ મુજબ (OLD SLAB)'!Y4)</f>
        <v/>
      </c>
      <c r="Z4" s="32" t="str">
        <f>IF('જૂન સ્લેબ મુજબ (OLD SLAB)'!Z4="","",'જૂન સ્લેબ મુજબ (OLD SLAB)'!Z4)</f>
        <v/>
      </c>
      <c r="AA4" s="32" t="str">
        <f>IF('જૂન સ્લેબ મુજબ (OLD SLAB)'!AA4="","",'જૂન સ્લેબ મુજબ (OLD SLAB)'!AA4)</f>
        <v/>
      </c>
      <c r="AB4" s="32" t="str">
        <f>IF('જૂન સ્લેબ મુજબ (OLD SLAB)'!AB4="","",'જૂન સ્લેબ મુજબ (OLD SLAB)'!AB4)</f>
        <v/>
      </c>
      <c r="AC4" s="32" t="str">
        <f>IF('જૂન સ્લેબ મુજબ (OLD SLAB)'!AC4="","",'જૂન સ્લેબ મુજબ (OLD SLAB)'!AC4)</f>
        <v/>
      </c>
      <c r="AD4" s="32" t="str">
        <f>IF('જૂન સ્લેબ મુજબ (OLD SLAB)'!AD4="","",'જૂન સ્લેબ મુજબ (OLD SLAB)'!AD4)</f>
        <v/>
      </c>
      <c r="AE4" s="32" t="str">
        <f>IF('જૂન સ્લેબ મુજબ (OLD SLAB)'!AE4="","",'જૂન સ્લેબ મુજબ (OLD SLAB)'!AE4)</f>
        <v/>
      </c>
      <c r="AF4" s="42"/>
      <c r="AG4" s="6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</row>
    <row r="5" spans="1:122" ht="2.25" customHeight="1">
      <c r="A5" s="63"/>
      <c r="B5" s="43"/>
      <c r="C5" s="34"/>
      <c r="D5" s="34"/>
      <c r="E5" s="34"/>
      <c r="F5" s="33"/>
      <c r="G5" s="33"/>
      <c r="H5" s="33"/>
      <c r="I5" s="33"/>
      <c r="J5" s="36"/>
      <c r="K5" s="36"/>
      <c r="L5" s="36"/>
      <c r="M5" s="36"/>
      <c r="N5" s="36"/>
      <c r="O5" s="35"/>
      <c r="P5" s="35"/>
      <c r="Q5" s="35"/>
      <c r="R5" s="35"/>
      <c r="S5" s="35"/>
      <c r="T5" s="35"/>
      <c r="U5" s="35"/>
      <c r="V5" s="35"/>
      <c r="W5" s="33"/>
      <c r="X5" s="33"/>
      <c r="Y5" s="33"/>
      <c r="Z5" s="33"/>
      <c r="AA5" s="33"/>
      <c r="AB5" s="36"/>
      <c r="AC5" s="33"/>
      <c r="AD5" s="33"/>
      <c r="AE5" s="33"/>
      <c r="AF5" s="44"/>
      <c r="AG5" s="63"/>
    </row>
    <row r="6" spans="1:122" s="36" customFormat="1" ht="16.5" customHeight="1">
      <c r="A6" s="67"/>
      <c r="B6" s="41"/>
      <c r="C6" s="341" t="s">
        <v>14</v>
      </c>
      <c r="D6" s="341"/>
      <c r="E6" s="341"/>
      <c r="F6" s="32" t="str">
        <f>IF('જૂન સ્લેબ મુજબ (OLD SLAB)'!F6="","",'જૂન સ્લેબ મુજબ (OLD SLAB)'!F6)</f>
        <v/>
      </c>
      <c r="G6" s="32" t="str">
        <f>IF('જૂન સ્લેબ મુજબ (OLD SLAB)'!G6="","",'જૂન સ્લેબ મુજબ (OLD SLAB)'!G6)</f>
        <v/>
      </c>
      <c r="H6" s="32" t="str">
        <f>IF('જૂન સ્લેબ મુજબ (OLD SLAB)'!H6="","",'જૂન સ્લેબ મુજબ (OLD SLAB)'!H6)</f>
        <v/>
      </c>
      <c r="I6" s="32" t="str">
        <f>IF('જૂન સ્લેબ મુજબ (OLD SLAB)'!I6="","",'જૂન સ્લેબ મુજબ (OLD SLAB)'!I6)</f>
        <v/>
      </c>
      <c r="J6" s="32" t="str">
        <f>IF('જૂન સ્લેબ મુજબ (OLD SLAB)'!J6="","",'જૂન સ્લેબ મુજબ (OLD SLAB)'!J6)</f>
        <v/>
      </c>
      <c r="K6" s="32" t="str">
        <f>IF('જૂન સ્લેબ મુજબ (OLD SLAB)'!K6="","",'જૂન સ્લેબ મુજબ (OLD SLAB)'!K6)</f>
        <v/>
      </c>
      <c r="L6" s="32" t="str">
        <f>IF('જૂન સ્લેબ મુજબ (OLD SLAB)'!L6="","",'જૂન સ્લેબ મુજબ (OLD SLAB)'!L6)</f>
        <v/>
      </c>
      <c r="M6" s="32" t="str">
        <f>IF('જૂન સ્લેબ મુજબ (OLD SLAB)'!M6="","",'જૂન સ્લેબ મુજબ (OLD SLAB)'!M6)</f>
        <v/>
      </c>
      <c r="N6" s="32" t="str">
        <f>IF('જૂન સ્લેબ મુજબ (OLD SLAB)'!N6="","",'જૂન સ્લેબ મુજબ (OLD SLAB)'!N6)</f>
        <v/>
      </c>
      <c r="O6" s="32" t="str">
        <f>IF('જૂન સ્લેબ મુજબ (OLD SLAB)'!O6="","",'જૂન સ્લેબ મુજબ (OLD SLAB)'!O6)</f>
        <v/>
      </c>
      <c r="P6" s="32" t="str">
        <f>IF('જૂન સ્લેબ મુજબ (OLD SLAB)'!P6="","",'જૂન સ્લેબ મુજબ (OLD SLAB)'!P6)</f>
        <v/>
      </c>
      <c r="Q6" s="32" t="str">
        <f>IF('જૂન સ્લેબ મુજબ (OLD SLAB)'!Q6="","",'જૂન સ્લેબ મુજબ (OLD SLAB)'!Q6)</f>
        <v/>
      </c>
      <c r="R6" s="347" t="s">
        <v>12</v>
      </c>
      <c r="S6" s="347"/>
      <c r="T6" s="347"/>
      <c r="U6" s="347"/>
      <c r="V6" s="32" t="str">
        <f>IF('જૂન સ્લેબ મુજબ (OLD SLAB)'!V6="","",'જૂન સ્લેબ મુજબ (OLD SLAB)'!V6)</f>
        <v/>
      </c>
      <c r="W6" s="32" t="str">
        <f>IF('જૂન સ્લેબ મુજબ (OLD SLAB)'!W6="","",'જૂન સ્લેબ મુજબ (OLD SLAB)'!W6)</f>
        <v/>
      </c>
      <c r="Y6" s="32" t="str">
        <f>IF('જૂન સ્લેબ મુજબ (OLD SLAB)'!Y6="","",'જૂન સ્લેબ મુજબ (OLD SLAB)'!Y6)</f>
        <v/>
      </c>
      <c r="Z6" s="32" t="str">
        <f>IF('જૂન સ્લેબ મુજબ (OLD SLAB)'!Z6="","",'જૂન સ્લેબ મુજબ (OLD SLAB)'!Z6)</f>
        <v/>
      </c>
      <c r="AB6" s="32" t="str">
        <f>IF('જૂન સ્લેબ મુજબ (OLD SLAB)'!AB6="","",'જૂન સ્લેબ મુજબ (OLD SLAB)'!AB6)</f>
        <v/>
      </c>
      <c r="AC6" s="32" t="str">
        <f>IF('જૂન સ્લેબ મુજબ (OLD SLAB)'!AC6="","",'જૂન સ્લેબ મુજબ (OLD SLAB)'!AC6)</f>
        <v/>
      </c>
      <c r="AD6" s="32" t="str">
        <f>IF('જૂન સ્લેબ મુજબ (OLD SLAB)'!AD6="","",'જૂન સ્લેબ મુજબ (OLD SLAB)'!AD6)</f>
        <v/>
      </c>
      <c r="AE6" s="32" t="str">
        <f>IF('જૂન સ્લેબ મુજબ (OLD SLAB)'!AE6="","",'જૂન સ્લેબ મુજબ (OLD SLAB)'!AE6)</f>
        <v/>
      </c>
      <c r="AF6" s="42"/>
      <c r="AG6" s="67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</row>
    <row r="7" spans="1:122" s="36" customFormat="1" ht="3.75" customHeight="1">
      <c r="A7" s="67"/>
      <c r="B7" s="41"/>
      <c r="D7" s="34"/>
      <c r="E7" s="34"/>
      <c r="F7" s="34"/>
      <c r="R7" s="34"/>
      <c r="S7" s="34"/>
      <c r="T7" s="34"/>
      <c r="U7" s="34"/>
      <c r="AF7" s="42"/>
      <c r="AG7" s="67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</row>
    <row r="8" spans="1:122" ht="16.5" customHeight="1">
      <c r="A8" s="63"/>
      <c r="B8" s="43"/>
      <c r="C8" s="343" t="s">
        <v>215</v>
      </c>
      <c r="D8" s="343"/>
      <c r="E8" s="343"/>
      <c r="F8" s="343"/>
      <c r="G8" s="343"/>
      <c r="H8" s="343"/>
      <c r="I8" s="345" t="str">
        <f>IF('જૂન સ્લેબ મુજબ (OLD SLAB)'!I8="","",'જૂન સ્લેબ મુજબ (OLD SLAB)'!I8)</f>
        <v/>
      </c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61" t="s">
        <v>59</v>
      </c>
      <c r="Y8" s="361"/>
      <c r="Z8" s="344" t="str">
        <f>IF('જૂન સ્લેબ મુજબ (OLD SLAB)'!Z8="","",'જૂન સ્લેબ મુજબ (OLD SLAB)'!Z8)</f>
        <v/>
      </c>
      <c r="AA8" s="344"/>
      <c r="AB8" s="344"/>
      <c r="AC8" s="344"/>
      <c r="AD8" s="344"/>
      <c r="AE8" s="344"/>
      <c r="AF8" s="44"/>
      <c r="AG8" s="63"/>
    </row>
    <row r="9" spans="1:122" ht="16.5" customHeight="1">
      <c r="A9" s="63"/>
      <c r="B9" s="43"/>
      <c r="C9" s="343" t="s">
        <v>216</v>
      </c>
      <c r="D9" s="343"/>
      <c r="E9" s="343"/>
      <c r="F9" s="343"/>
      <c r="G9" s="343"/>
      <c r="H9" s="343"/>
      <c r="I9" s="344" t="str">
        <f>IF('જૂન સ્લેબ મુજબ (OLD SLAB)'!I9="","",'જૂન સ્લેબ મુજબ (OLD SLAB)'!I9)</f>
        <v/>
      </c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61" t="s">
        <v>40</v>
      </c>
      <c r="W9" s="361"/>
      <c r="X9" s="361"/>
      <c r="Y9" s="361"/>
      <c r="Z9" s="344" t="str">
        <f>IF('જૂન સ્લેબ મુજબ (OLD SLAB)'!Z9="","",'જૂન સ્લેબ મુજબ (OLD SLAB)'!Z9)</f>
        <v/>
      </c>
      <c r="AA9" s="344"/>
      <c r="AB9" s="344"/>
      <c r="AC9" s="344"/>
      <c r="AD9" s="344"/>
      <c r="AE9" s="344"/>
      <c r="AF9" s="44"/>
      <c r="AG9" s="63"/>
    </row>
    <row r="10" spans="1:122" ht="16.5" customHeight="1">
      <c r="A10" s="63"/>
      <c r="B10" s="43"/>
      <c r="C10" s="343" t="s">
        <v>217</v>
      </c>
      <c r="D10" s="343"/>
      <c r="E10" s="343"/>
      <c r="F10" s="343"/>
      <c r="G10" s="343"/>
      <c r="H10" s="343"/>
      <c r="I10" s="360" t="str">
        <f>IF('જૂન સ્લેબ મુજબ (OLD SLAB)'!I10="","",'જૂન સ્લેબ મુજબ (OLD SLAB)'!I10)</f>
        <v/>
      </c>
      <c r="J10" s="360"/>
      <c r="K10" s="360"/>
      <c r="L10" s="360"/>
      <c r="M10" s="360"/>
      <c r="N10" s="360"/>
      <c r="O10" s="360"/>
      <c r="P10" s="361" t="s">
        <v>8</v>
      </c>
      <c r="Q10" s="361"/>
      <c r="R10" s="381" t="str">
        <f>IF('જૂન સ્લેબ મુજબ (OLD SLAB)'!R10="","",'જૂન સ્લેબ મુજબ (OLD SLAB)'!R10)</f>
        <v/>
      </c>
      <c r="S10" s="381"/>
      <c r="T10" s="381"/>
      <c r="U10" s="381"/>
      <c r="V10" s="362" t="s">
        <v>58</v>
      </c>
      <c r="W10" s="362"/>
      <c r="X10" s="362"/>
      <c r="Y10" s="362"/>
      <c r="Z10" s="360" t="str">
        <f>IF('જૂન સ્લેબ મુજબ (OLD SLAB)'!Z10="","",'જૂન સ્લેબ મુજબ (OLD SLAB)'!Z10)</f>
        <v/>
      </c>
      <c r="AA10" s="360"/>
      <c r="AB10" s="360"/>
      <c r="AC10" s="360"/>
      <c r="AD10" s="360"/>
      <c r="AE10" s="360"/>
      <c r="AF10" s="44"/>
      <c r="AG10" s="63"/>
    </row>
    <row r="11" spans="1:122" ht="3.75" customHeight="1">
      <c r="A11" s="63"/>
      <c r="B11" s="45"/>
      <c r="C11" s="46"/>
      <c r="D11" s="47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9"/>
      <c r="S11" s="48"/>
      <c r="T11" s="48"/>
      <c r="U11" s="48"/>
      <c r="V11" s="48"/>
      <c r="W11" s="48"/>
      <c r="X11" s="48"/>
      <c r="Y11" s="48"/>
      <c r="Z11" s="49"/>
      <c r="AA11" s="48"/>
      <c r="AB11" s="48"/>
      <c r="AC11" s="48"/>
      <c r="AD11" s="48"/>
      <c r="AE11" s="48"/>
      <c r="AF11" s="50"/>
      <c r="AG11" s="63"/>
    </row>
    <row r="12" spans="1:122" ht="3.75" customHeight="1">
      <c r="A12" s="63"/>
      <c r="B12" s="43"/>
      <c r="C12" s="36"/>
      <c r="D12" s="51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3"/>
      <c r="S12" s="52"/>
      <c r="T12" s="52"/>
      <c r="U12" s="52"/>
      <c r="V12" s="52"/>
      <c r="W12" s="52"/>
      <c r="X12" s="52"/>
      <c r="Y12" s="52"/>
      <c r="Z12" s="53"/>
      <c r="AA12" s="52"/>
      <c r="AB12" s="52"/>
      <c r="AC12" s="52"/>
      <c r="AD12" s="52"/>
      <c r="AE12" s="52"/>
      <c r="AF12" s="44"/>
      <c r="AG12" s="63"/>
    </row>
    <row r="13" spans="1:122" ht="16.5" customHeight="1">
      <c r="A13" s="63"/>
      <c r="B13" s="43"/>
      <c r="C13" s="54" t="s">
        <v>202</v>
      </c>
      <c r="D13" s="341" t="s">
        <v>53</v>
      </c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5"/>
      <c r="S13" s="33"/>
      <c r="T13" s="33"/>
      <c r="U13" s="33"/>
      <c r="V13" s="33"/>
      <c r="W13" s="33"/>
      <c r="X13" s="33"/>
      <c r="Y13" s="33"/>
      <c r="Z13" s="36" t="s">
        <v>47</v>
      </c>
      <c r="AA13" s="353">
        <f>'કપાટ પત્રક પેહલા ભરવુ '!E25</f>
        <v>0</v>
      </c>
      <c r="AB13" s="353"/>
      <c r="AC13" s="353"/>
      <c r="AD13" s="353"/>
      <c r="AE13" s="353"/>
      <c r="AF13" s="44"/>
      <c r="AG13" s="63"/>
    </row>
    <row r="14" spans="1:122" ht="16.5" customHeight="1">
      <c r="A14" s="63"/>
      <c r="B14" s="43"/>
      <c r="C14" s="36" t="s">
        <v>203</v>
      </c>
      <c r="D14" s="341" t="s">
        <v>15</v>
      </c>
      <c r="E14" s="341"/>
      <c r="F14" s="33" t="s">
        <v>16</v>
      </c>
      <c r="G14" s="341" t="s">
        <v>83</v>
      </c>
      <c r="H14" s="341"/>
      <c r="I14" s="341"/>
      <c r="J14" s="341"/>
      <c r="K14" s="341"/>
      <c r="L14" s="341"/>
      <c r="M14" s="341"/>
      <c r="N14" s="341"/>
      <c r="O14" s="341"/>
      <c r="P14" s="341"/>
      <c r="Q14" s="341"/>
      <c r="R14" s="36" t="s">
        <v>47</v>
      </c>
      <c r="S14" s="356">
        <v>50000</v>
      </c>
      <c r="T14" s="356"/>
      <c r="U14" s="356"/>
      <c r="V14" s="356"/>
      <c r="W14" s="34"/>
      <c r="X14" s="33"/>
      <c r="Y14" s="35"/>
      <c r="Z14" s="35"/>
      <c r="AA14" s="35"/>
      <c r="AB14" s="35"/>
      <c r="AC14" s="35"/>
      <c r="AD14" s="35"/>
      <c r="AE14" s="35"/>
      <c r="AF14" s="44"/>
      <c r="AG14" s="63"/>
    </row>
    <row r="15" spans="1:122" ht="16.5" customHeight="1">
      <c r="A15" s="63"/>
      <c r="B15" s="43"/>
      <c r="C15" s="36"/>
      <c r="D15" s="34"/>
      <c r="E15" s="33"/>
      <c r="F15" s="33" t="s">
        <v>17</v>
      </c>
      <c r="G15" s="341" t="s">
        <v>2</v>
      </c>
      <c r="H15" s="341"/>
      <c r="I15" s="341"/>
      <c r="J15" s="341"/>
      <c r="K15" s="341"/>
      <c r="L15" s="341"/>
      <c r="M15" s="341"/>
      <c r="N15" s="341"/>
      <c r="O15" s="341"/>
      <c r="P15" s="341"/>
      <c r="Q15" s="341"/>
      <c r="R15" s="36" t="s">
        <v>47</v>
      </c>
      <c r="S15" s="356">
        <f>AN15</f>
        <v>0</v>
      </c>
      <c r="T15" s="356"/>
      <c r="U15" s="356"/>
      <c r="V15" s="356"/>
      <c r="W15" s="34"/>
      <c r="X15" s="33"/>
      <c r="Y15" s="35"/>
      <c r="Z15" s="35"/>
      <c r="AA15" s="35"/>
      <c r="AB15" s="35"/>
      <c r="AC15" s="35"/>
      <c r="AD15" s="35"/>
      <c r="AE15" s="35"/>
      <c r="AF15" s="44"/>
      <c r="AG15" s="63"/>
      <c r="AL15" s="7">
        <f>'કપાટ પત્રક પેહલા ભરવુ '!F18</f>
        <v>0</v>
      </c>
      <c r="AM15" s="7">
        <v>0</v>
      </c>
      <c r="AN15" s="7">
        <f>IF($M$1="હા",AL15,AM15)</f>
        <v>0</v>
      </c>
    </row>
    <row r="16" spans="1:122" ht="16.5" customHeight="1">
      <c r="A16" s="63"/>
      <c r="B16" s="43"/>
      <c r="C16" s="36"/>
      <c r="D16" s="34"/>
      <c r="E16" s="33"/>
      <c r="F16" s="33" t="s">
        <v>18</v>
      </c>
      <c r="G16" s="341" t="s">
        <v>84</v>
      </c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6" t="s">
        <v>47</v>
      </c>
      <c r="S16" s="356">
        <f>AD80</f>
        <v>0</v>
      </c>
      <c r="T16" s="356"/>
      <c r="U16" s="356"/>
      <c r="V16" s="356"/>
      <c r="W16" s="34"/>
      <c r="X16" s="33"/>
      <c r="Y16" s="35"/>
      <c r="Z16" s="35"/>
      <c r="AA16" s="35"/>
      <c r="AB16" s="35"/>
      <c r="AC16" s="35"/>
      <c r="AD16" s="35"/>
      <c r="AE16" s="35"/>
      <c r="AF16" s="44"/>
      <c r="AG16" s="63"/>
    </row>
    <row r="17" spans="1:42" ht="16.5" customHeight="1">
      <c r="A17" s="63"/>
      <c r="B17" s="43"/>
      <c r="C17" s="36"/>
      <c r="D17" s="34"/>
      <c r="E17" s="33"/>
      <c r="F17" s="33" t="s">
        <v>19</v>
      </c>
      <c r="G17" s="341" t="s">
        <v>67</v>
      </c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6" t="s">
        <v>47</v>
      </c>
      <c r="S17" s="340">
        <v>0</v>
      </c>
      <c r="T17" s="340"/>
      <c r="U17" s="340"/>
      <c r="V17" s="340"/>
      <c r="W17" s="33"/>
      <c r="X17" s="33"/>
      <c r="Y17" s="33"/>
      <c r="Z17" s="33"/>
      <c r="AA17" s="33"/>
      <c r="AB17" s="33"/>
      <c r="AC17" s="33"/>
      <c r="AD17" s="33"/>
      <c r="AE17" s="33"/>
      <c r="AF17" s="44"/>
      <c r="AG17" s="63"/>
    </row>
    <row r="18" spans="1:42" ht="16.5" customHeight="1">
      <c r="A18" s="63"/>
      <c r="B18" s="43"/>
      <c r="C18" s="36"/>
      <c r="D18" s="33"/>
      <c r="E18" s="33"/>
      <c r="F18" s="33" t="s">
        <v>20</v>
      </c>
      <c r="G18" s="341" t="s">
        <v>67</v>
      </c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6" t="s">
        <v>47</v>
      </c>
      <c r="S18" s="340">
        <v>0</v>
      </c>
      <c r="T18" s="340"/>
      <c r="U18" s="340"/>
      <c r="V18" s="340"/>
      <c r="W18" s="364" t="s">
        <v>60</v>
      </c>
      <c r="X18" s="364"/>
      <c r="Y18" s="364"/>
      <c r="Z18" s="36" t="s">
        <v>47</v>
      </c>
      <c r="AA18" s="382">
        <f>SUM(S14:V18)</f>
        <v>50000</v>
      </c>
      <c r="AB18" s="382"/>
      <c r="AC18" s="382"/>
      <c r="AD18" s="382"/>
      <c r="AE18" s="382"/>
      <c r="AF18" s="44"/>
      <c r="AG18" s="63"/>
    </row>
    <row r="19" spans="1:42" ht="16.5" customHeight="1">
      <c r="A19" s="63"/>
      <c r="B19" s="43"/>
      <c r="C19" s="36" t="s">
        <v>204</v>
      </c>
      <c r="D19" s="341" t="s">
        <v>57</v>
      </c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3"/>
      <c r="R19" s="35"/>
      <c r="S19" s="35"/>
      <c r="T19" s="53"/>
      <c r="U19" s="53" t="s">
        <v>96</v>
      </c>
      <c r="V19" s="35"/>
      <c r="W19" s="33"/>
      <c r="X19" s="33"/>
      <c r="Y19" s="33"/>
      <c r="Z19" s="36" t="s">
        <v>47</v>
      </c>
      <c r="AA19" s="353">
        <f>AA13-AA18</f>
        <v>-50000</v>
      </c>
      <c r="AB19" s="353"/>
      <c r="AC19" s="353"/>
      <c r="AD19" s="353"/>
      <c r="AE19" s="353"/>
      <c r="AF19" s="44"/>
      <c r="AG19" s="63"/>
      <c r="AM19" s="9">
        <f>SUM(L21:N27)+SUM(X21:Z27)</f>
        <v>0</v>
      </c>
      <c r="AO19" s="10"/>
    </row>
    <row r="20" spans="1:42" ht="16.5" customHeight="1">
      <c r="A20" s="63"/>
      <c r="B20" s="43"/>
      <c r="C20" s="36" t="s">
        <v>205</v>
      </c>
      <c r="D20" s="341" t="s">
        <v>48</v>
      </c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3"/>
      <c r="R20" s="35"/>
      <c r="S20" s="35"/>
      <c r="T20" s="35"/>
      <c r="U20" s="35"/>
      <c r="V20" s="35"/>
      <c r="W20" s="33"/>
      <c r="X20" s="33"/>
      <c r="Y20" s="33"/>
      <c r="Z20" s="35"/>
      <c r="AA20" s="33"/>
      <c r="AB20" s="33"/>
      <c r="AC20" s="33"/>
      <c r="AD20" s="33"/>
      <c r="AE20" s="33"/>
      <c r="AF20" s="44"/>
      <c r="AG20" s="63"/>
    </row>
    <row r="21" spans="1:42" ht="16.5" customHeight="1">
      <c r="A21" s="63"/>
      <c r="B21" s="43"/>
      <c r="C21" s="36"/>
      <c r="D21" s="36" t="s">
        <v>16</v>
      </c>
      <c r="E21" s="341" t="s">
        <v>61</v>
      </c>
      <c r="F21" s="341"/>
      <c r="G21" s="341"/>
      <c r="H21" s="341"/>
      <c r="I21" s="341"/>
      <c r="J21" s="341"/>
      <c r="K21" s="36" t="s">
        <v>47</v>
      </c>
      <c r="L21" s="339">
        <f>AD86</f>
        <v>0</v>
      </c>
      <c r="M21" s="339"/>
      <c r="N21" s="339"/>
      <c r="O21" s="33"/>
      <c r="P21" s="36" t="s">
        <v>24</v>
      </c>
      <c r="Q21" s="341" t="s">
        <v>239</v>
      </c>
      <c r="R21" s="341"/>
      <c r="S21" s="341"/>
      <c r="T21" s="341"/>
      <c r="U21" s="341"/>
      <c r="V21" s="341"/>
      <c r="W21" s="36" t="s">
        <v>47</v>
      </c>
      <c r="X21" s="339">
        <v>0</v>
      </c>
      <c r="Y21" s="339"/>
      <c r="Z21" s="339"/>
      <c r="AA21" s="33"/>
      <c r="AB21" s="33"/>
      <c r="AC21" s="33"/>
      <c r="AD21" s="33"/>
      <c r="AE21" s="33"/>
      <c r="AF21" s="44"/>
      <c r="AG21" s="63"/>
      <c r="AM21" s="10">
        <f>SUM(L21:N27)</f>
        <v>0</v>
      </c>
      <c r="AN21" s="7">
        <v>50000</v>
      </c>
      <c r="AO21" s="10">
        <f>SUM(AM21:AN21)</f>
        <v>50000</v>
      </c>
    </row>
    <row r="22" spans="1:42" ht="16.5" customHeight="1">
      <c r="A22" s="63"/>
      <c r="B22" s="43"/>
      <c r="C22" s="36"/>
      <c r="D22" s="36" t="s">
        <v>17</v>
      </c>
      <c r="E22" s="341" t="s">
        <v>62</v>
      </c>
      <c r="F22" s="341"/>
      <c r="G22" s="341"/>
      <c r="H22" s="341"/>
      <c r="I22" s="341"/>
      <c r="J22" s="341"/>
      <c r="K22" s="36" t="s">
        <v>47</v>
      </c>
      <c r="L22" s="370">
        <f>AD85</f>
        <v>0</v>
      </c>
      <c r="M22" s="370"/>
      <c r="N22" s="370"/>
      <c r="O22" s="33"/>
      <c r="P22" s="36" t="s">
        <v>64</v>
      </c>
      <c r="Q22" s="341" t="s">
        <v>21</v>
      </c>
      <c r="R22" s="341"/>
      <c r="S22" s="341"/>
      <c r="T22" s="341"/>
      <c r="U22" s="341"/>
      <c r="V22" s="341"/>
      <c r="W22" s="36" t="s">
        <v>47</v>
      </c>
      <c r="X22" s="339">
        <v>0</v>
      </c>
      <c r="Y22" s="339"/>
      <c r="Z22" s="339"/>
      <c r="AA22" s="33"/>
      <c r="AB22" s="33"/>
      <c r="AC22" s="33"/>
      <c r="AD22" s="33"/>
      <c r="AE22" s="33"/>
      <c r="AF22" s="44"/>
      <c r="AG22" s="63"/>
      <c r="AM22" s="7">
        <f>'કપાટ પત્રક પેહલા ભરવુ '!H18</f>
        <v>0</v>
      </c>
    </row>
    <row r="23" spans="1:42" ht="16.5" customHeight="1">
      <c r="A23" s="63"/>
      <c r="B23" s="43"/>
      <c r="C23" s="36"/>
      <c r="D23" s="36" t="s">
        <v>18</v>
      </c>
      <c r="E23" s="341" t="s">
        <v>50</v>
      </c>
      <c r="F23" s="341"/>
      <c r="G23" s="341"/>
      <c r="H23" s="341"/>
      <c r="I23" s="341"/>
      <c r="J23" s="341"/>
      <c r="K23" s="36" t="s">
        <v>47</v>
      </c>
      <c r="L23" s="339">
        <f>AD84</f>
        <v>0</v>
      </c>
      <c r="M23" s="339"/>
      <c r="N23" s="339"/>
      <c r="O23" s="33"/>
      <c r="P23" s="36" t="s">
        <v>25</v>
      </c>
      <c r="Q23" s="341" t="s">
        <v>65</v>
      </c>
      <c r="R23" s="341"/>
      <c r="S23" s="341"/>
      <c r="T23" s="341"/>
      <c r="U23" s="341"/>
      <c r="V23" s="341"/>
      <c r="W23" s="36" t="s">
        <v>47</v>
      </c>
      <c r="X23" s="339">
        <v>0</v>
      </c>
      <c r="Y23" s="339"/>
      <c r="Z23" s="339"/>
      <c r="AA23" s="33"/>
      <c r="AB23" s="33"/>
      <c r="AC23" s="33"/>
      <c r="AD23" s="33"/>
      <c r="AE23" s="33"/>
      <c r="AF23" s="44"/>
      <c r="AG23" s="63"/>
    </row>
    <row r="24" spans="1:42" ht="16.5" customHeight="1">
      <c r="A24" s="63"/>
      <c r="B24" s="43"/>
      <c r="C24" s="36"/>
      <c r="D24" s="36" t="s">
        <v>19</v>
      </c>
      <c r="E24" s="341" t="s">
        <v>240</v>
      </c>
      <c r="F24" s="341"/>
      <c r="G24" s="341"/>
      <c r="H24" s="341"/>
      <c r="I24" s="341"/>
      <c r="J24" s="341"/>
      <c r="K24" s="36" t="s">
        <v>47</v>
      </c>
      <c r="L24" s="339">
        <f>AD83</f>
        <v>0</v>
      </c>
      <c r="M24" s="339"/>
      <c r="N24" s="339"/>
      <c r="O24" s="33"/>
      <c r="P24" s="36" t="s">
        <v>26</v>
      </c>
      <c r="Q24" s="341" t="s">
        <v>241</v>
      </c>
      <c r="R24" s="341"/>
      <c r="S24" s="341"/>
      <c r="T24" s="341"/>
      <c r="U24" s="341"/>
      <c r="V24" s="341"/>
      <c r="W24" s="36" t="s">
        <v>47</v>
      </c>
      <c r="X24" s="339">
        <v>0</v>
      </c>
      <c r="Y24" s="339"/>
      <c r="Z24" s="339"/>
      <c r="AA24" s="33"/>
      <c r="AB24" s="33"/>
      <c r="AC24" s="33"/>
      <c r="AD24" s="33"/>
      <c r="AE24" s="33"/>
      <c r="AF24" s="44"/>
      <c r="AG24" s="63"/>
    </row>
    <row r="25" spans="1:42" ht="16.5" customHeight="1">
      <c r="A25" s="63"/>
      <c r="B25" s="43"/>
      <c r="C25" s="36"/>
      <c r="D25" s="36" t="s">
        <v>20</v>
      </c>
      <c r="E25" s="341" t="s">
        <v>242</v>
      </c>
      <c r="F25" s="341"/>
      <c r="G25" s="341"/>
      <c r="H25" s="341"/>
      <c r="I25" s="341"/>
      <c r="J25" s="341"/>
      <c r="K25" s="36" t="s">
        <v>47</v>
      </c>
      <c r="L25" s="339">
        <v>0</v>
      </c>
      <c r="M25" s="339"/>
      <c r="N25" s="339"/>
      <c r="O25" s="33"/>
      <c r="P25" s="36" t="s">
        <v>27</v>
      </c>
      <c r="Q25" s="341" t="s">
        <v>81</v>
      </c>
      <c r="R25" s="341"/>
      <c r="S25" s="341"/>
      <c r="T25" s="341"/>
      <c r="U25" s="341"/>
      <c r="V25" s="341"/>
      <c r="W25" s="36" t="s">
        <v>47</v>
      </c>
      <c r="X25" s="339">
        <v>0</v>
      </c>
      <c r="Y25" s="339"/>
      <c r="Z25" s="339"/>
      <c r="AA25" s="33"/>
      <c r="AB25" s="33"/>
      <c r="AC25" s="33"/>
      <c r="AD25" s="33"/>
      <c r="AE25" s="33"/>
      <c r="AF25" s="44"/>
      <c r="AG25" s="63"/>
    </row>
    <row r="26" spans="1:42" ht="16.5" customHeight="1">
      <c r="A26" s="63"/>
      <c r="B26" s="43"/>
      <c r="C26" s="36"/>
      <c r="D26" s="36" t="s">
        <v>22</v>
      </c>
      <c r="E26" s="341" t="s">
        <v>63</v>
      </c>
      <c r="F26" s="341"/>
      <c r="G26" s="341"/>
      <c r="H26" s="341"/>
      <c r="I26" s="341"/>
      <c r="J26" s="341"/>
      <c r="K26" s="36" t="s">
        <v>47</v>
      </c>
      <c r="L26" s="339">
        <f>AD81</f>
        <v>0</v>
      </c>
      <c r="M26" s="339"/>
      <c r="N26" s="339"/>
      <c r="O26" s="33"/>
      <c r="P26" s="36" t="s">
        <v>28</v>
      </c>
      <c r="Q26" s="341" t="s">
        <v>66</v>
      </c>
      <c r="R26" s="341"/>
      <c r="S26" s="341"/>
      <c r="T26" s="341"/>
      <c r="U26" s="341"/>
      <c r="V26" s="341"/>
      <c r="W26" s="36" t="s">
        <v>47</v>
      </c>
      <c r="X26" s="339">
        <v>0</v>
      </c>
      <c r="Y26" s="339"/>
      <c r="Z26" s="339"/>
      <c r="AA26" s="33"/>
      <c r="AB26" s="33"/>
      <c r="AC26" s="33"/>
      <c r="AD26" s="33"/>
      <c r="AE26" s="33"/>
      <c r="AF26" s="44"/>
      <c r="AG26" s="63"/>
    </row>
    <row r="27" spans="1:42" ht="16.5" customHeight="1">
      <c r="A27" s="63"/>
      <c r="B27" s="43"/>
      <c r="C27" s="36"/>
      <c r="D27" s="36" t="s">
        <v>23</v>
      </c>
      <c r="E27" s="341" t="s">
        <v>9</v>
      </c>
      <c r="F27" s="341"/>
      <c r="G27" s="341"/>
      <c r="H27" s="341"/>
      <c r="I27" s="341"/>
      <c r="J27" s="341"/>
      <c r="K27" s="36" t="s">
        <v>47</v>
      </c>
      <c r="L27" s="339">
        <f>AD82</f>
        <v>0</v>
      </c>
      <c r="M27" s="339"/>
      <c r="N27" s="339"/>
      <c r="O27" s="33"/>
      <c r="P27" s="36" t="s">
        <v>29</v>
      </c>
      <c r="Q27" s="341" t="s">
        <v>67</v>
      </c>
      <c r="R27" s="341"/>
      <c r="S27" s="341"/>
      <c r="T27" s="341"/>
      <c r="U27" s="341"/>
      <c r="V27" s="341"/>
      <c r="W27" s="36" t="s">
        <v>47</v>
      </c>
      <c r="X27" s="339">
        <v>0</v>
      </c>
      <c r="Y27" s="339"/>
      <c r="Z27" s="339"/>
      <c r="AA27" s="33"/>
      <c r="AB27" s="33"/>
      <c r="AC27" s="33"/>
      <c r="AD27" s="33"/>
      <c r="AE27" s="33"/>
      <c r="AF27" s="44"/>
      <c r="AG27" s="63"/>
    </row>
    <row r="28" spans="1:42" ht="3.75" customHeight="1" thickBot="1">
      <c r="A28" s="63"/>
      <c r="B28" s="43"/>
      <c r="C28" s="36"/>
      <c r="D28" s="36"/>
      <c r="E28" s="34"/>
      <c r="F28" s="34"/>
      <c r="G28" s="34"/>
      <c r="H28" s="34"/>
      <c r="I28" s="34"/>
      <c r="J28" s="33"/>
      <c r="K28" s="36"/>
      <c r="L28" s="36"/>
      <c r="M28" s="36"/>
      <c r="N28" s="36"/>
      <c r="O28" s="33"/>
      <c r="P28" s="36"/>
      <c r="Q28" s="34"/>
      <c r="R28" s="34"/>
      <c r="S28" s="34"/>
      <c r="T28" s="34"/>
      <c r="U28" s="34"/>
      <c r="V28" s="33"/>
      <c r="W28" s="36"/>
      <c r="X28" s="36"/>
      <c r="Y28" s="36"/>
      <c r="Z28" s="36"/>
      <c r="AA28" s="33"/>
      <c r="AB28" s="33"/>
      <c r="AC28" s="33"/>
      <c r="AD28" s="33"/>
      <c r="AE28" s="33"/>
      <c r="AF28" s="44"/>
      <c r="AG28" s="63"/>
    </row>
    <row r="29" spans="1:42" ht="16.5" customHeight="1" thickBot="1">
      <c r="A29" s="63"/>
      <c r="B29" s="43"/>
      <c r="C29" s="347" t="s">
        <v>68</v>
      </c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"/>
      <c r="P29" s="55" t="s">
        <v>47</v>
      </c>
      <c r="Q29" s="372">
        <f>AM33</f>
        <v>0</v>
      </c>
      <c r="R29" s="372"/>
      <c r="S29" s="372"/>
      <c r="T29" s="372"/>
      <c r="U29" s="372"/>
      <c r="V29" s="373"/>
      <c r="W29" s="33"/>
      <c r="X29" s="33"/>
      <c r="Y29" s="33"/>
      <c r="Z29" s="36"/>
      <c r="AA29" s="33"/>
      <c r="AB29" s="33"/>
      <c r="AC29" s="33"/>
      <c r="AD29" s="33"/>
      <c r="AE29" s="33"/>
      <c r="AF29" s="44"/>
      <c r="AG29" s="63"/>
      <c r="AM29" s="10">
        <f>L21+AM22+L23+L24+L25+L26+L27</f>
        <v>0</v>
      </c>
      <c r="AN29" s="10">
        <f>SUM(X21:Z27)</f>
        <v>0</v>
      </c>
      <c r="AO29" s="10">
        <f>SUM(AM29:AN29)</f>
        <v>0</v>
      </c>
    </row>
    <row r="30" spans="1:42" ht="3.75" customHeight="1">
      <c r="A30" s="63"/>
      <c r="B30" s="43"/>
      <c r="C30" s="36"/>
      <c r="D30" s="341"/>
      <c r="E30" s="341"/>
      <c r="F30" s="341"/>
      <c r="G30" s="341"/>
      <c r="H30" s="341"/>
      <c r="I30" s="341"/>
      <c r="J30" s="341"/>
      <c r="K30" s="341"/>
      <c r="L30" s="341"/>
      <c r="M30" s="341"/>
      <c r="N30" s="341"/>
      <c r="O30" s="341"/>
      <c r="P30" s="341"/>
      <c r="Q30" s="33"/>
      <c r="R30" s="35"/>
      <c r="S30" s="56"/>
      <c r="T30" s="56"/>
      <c r="U30" s="56"/>
      <c r="V30" s="56"/>
      <c r="W30" s="33"/>
      <c r="X30" s="33"/>
      <c r="Y30" s="33"/>
      <c r="Z30" s="35"/>
      <c r="AA30" s="33"/>
      <c r="AB30" s="33"/>
      <c r="AC30" s="33"/>
      <c r="AD30" s="33"/>
      <c r="AE30" s="33"/>
      <c r="AF30" s="44"/>
      <c r="AG30" s="63"/>
    </row>
    <row r="31" spans="1:42" ht="16.5" customHeight="1">
      <c r="A31" s="63"/>
      <c r="B31" s="43"/>
      <c r="C31" s="36"/>
      <c r="D31" s="36" t="s">
        <v>30</v>
      </c>
      <c r="E31" s="341" t="s">
        <v>85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6" t="s">
        <v>47</v>
      </c>
      <c r="S31" s="346">
        <v>0</v>
      </c>
      <c r="T31" s="346"/>
      <c r="U31" s="346"/>
      <c r="V31" s="346"/>
      <c r="W31" s="33"/>
      <c r="X31" s="33"/>
      <c r="Y31" s="33"/>
      <c r="Z31" s="35"/>
      <c r="AA31" s="33"/>
      <c r="AB31" s="33"/>
      <c r="AC31" s="33"/>
      <c r="AD31" s="33"/>
      <c r="AE31" s="33"/>
      <c r="AF31" s="44"/>
      <c r="AG31" s="63"/>
      <c r="AM31" s="7">
        <f>IF(AO29&gt;150000,150000,AO29)</f>
        <v>0</v>
      </c>
      <c r="AN31" s="7" t="str">
        <f>IF(AO29&gt;AM31,AO29-AM31,"")</f>
        <v/>
      </c>
      <c r="AO31" s="7">
        <f>IF(AP31&gt;AP31,AP31,AP31)</f>
        <v>0</v>
      </c>
      <c r="AP31" s="7">
        <f>IF(AN31&gt;AM22,AM22,AN31)</f>
        <v>0</v>
      </c>
    </row>
    <row r="32" spans="1:42" ht="16.5" customHeight="1">
      <c r="A32" s="63"/>
      <c r="B32" s="43"/>
      <c r="C32" s="36"/>
      <c r="D32" s="36" t="s">
        <v>72</v>
      </c>
      <c r="E32" s="341" t="s">
        <v>49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6" t="s">
        <v>47</v>
      </c>
      <c r="S32" s="346">
        <v>0</v>
      </c>
      <c r="T32" s="346"/>
      <c r="U32" s="346"/>
      <c r="V32" s="346"/>
      <c r="W32" s="33"/>
      <c r="X32" s="33"/>
      <c r="Y32" s="33"/>
      <c r="Z32" s="35"/>
      <c r="AA32" s="33"/>
      <c r="AB32" s="33"/>
      <c r="AC32" s="33"/>
      <c r="AD32" s="33"/>
      <c r="AE32" s="33"/>
      <c r="AF32" s="44"/>
      <c r="AG32" s="63"/>
      <c r="AM32" s="7">
        <f>IF(AP31&gt;50000,AM22-AO31,AM22-AP31)</f>
        <v>0</v>
      </c>
      <c r="AN32" s="7">
        <f>IF(K1="ના",0,AO31)</f>
        <v>0</v>
      </c>
      <c r="AO32" s="7">
        <f>IF(K1="ના",AM22,AM32)</f>
        <v>0</v>
      </c>
    </row>
    <row r="33" spans="1:48" ht="16.5" customHeight="1">
      <c r="A33" s="63"/>
      <c r="B33" s="43"/>
      <c r="C33" s="36"/>
      <c r="D33" s="36" t="s">
        <v>73</v>
      </c>
      <c r="E33" s="341" t="s">
        <v>234</v>
      </c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6" t="s">
        <v>47</v>
      </c>
      <c r="S33" s="346">
        <v>0</v>
      </c>
      <c r="T33" s="346"/>
      <c r="U33" s="346"/>
      <c r="V33" s="346"/>
      <c r="W33" s="33"/>
      <c r="X33" s="33"/>
      <c r="Y33" s="33"/>
      <c r="Z33" s="35"/>
      <c r="AA33" s="33"/>
      <c r="AB33" s="33"/>
      <c r="AC33" s="33"/>
      <c r="AD33" s="33"/>
      <c r="AE33" s="33"/>
      <c r="AF33" s="44"/>
      <c r="AG33" s="63"/>
      <c r="AM33" s="11">
        <f>IF(AM19&lt;150000,AM19,AM31)</f>
        <v>0</v>
      </c>
    </row>
    <row r="34" spans="1:48" ht="16.5" customHeight="1">
      <c r="A34" s="63"/>
      <c r="B34" s="43"/>
      <c r="C34" s="36"/>
      <c r="D34" s="36" t="s">
        <v>74</v>
      </c>
      <c r="E34" s="341" t="s">
        <v>235</v>
      </c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6" t="s">
        <v>47</v>
      </c>
      <c r="S34" s="346">
        <f>AR2</f>
        <v>0</v>
      </c>
      <c r="T34" s="346"/>
      <c r="U34" s="346"/>
      <c r="V34" s="346"/>
      <c r="W34" s="33"/>
      <c r="X34" s="33"/>
      <c r="Y34" s="33"/>
      <c r="Z34" s="35"/>
      <c r="AA34" s="35"/>
      <c r="AB34" s="35"/>
      <c r="AC34" s="35"/>
      <c r="AD34" s="35"/>
      <c r="AE34" s="35"/>
      <c r="AF34" s="44"/>
      <c r="AG34" s="63"/>
    </row>
    <row r="35" spans="1:48" ht="16.5" customHeight="1">
      <c r="A35" s="63"/>
      <c r="B35" s="43"/>
      <c r="C35" s="36"/>
      <c r="D35" s="36" t="s">
        <v>75</v>
      </c>
      <c r="E35" s="365" t="s">
        <v>289</v>
      </c>
      <c r="F35" s="365"/>
      <c r="G35" s="365"/>
      <c r="H35" s="365"/>
      <c r="I35" s="365"/>
      <c r="J35" s="365"/>
      <c r="K35" s="365"/>
      <c r="L35" s="365"/>
      <c r="M35" s="365"/>
      <c r="N35" s="365"/>
      <c r="O35" s="365"/>
      <c r="P35" s="365"/>
      <c r="Q35" s="365"/>
      <c r="R35" s="36" t="s">
        <v>47</v>
      </c>
      <c r="S35" s="350"/>
      <c r="T35" s="350"/>
      <c r="U35" s="350"/>
      <c r="V35" s="350"/>
      <c r="W35" s="33"/>
      <c r="X35" s="33"/>
      <c r="Y35" s="33"/>
      <c r="Z35" s="33"/>
      <c r="AA35" s="33"/>
      <c r="AB35" s="376"/>
      <c r="AC35" s="376"/>
      <c r="AD35" s="376"/>
      <c r="AE35" s="376"/>
      <c r="AF35" s="44"/>
      <c r="AG35" s="63"/>
    </row>
    <row r="36" spans="1:48" ht="16.5" customHeight="1">
      <c r="A36" s="63"/>
      <c r="B36" s="43"/>
      <c r="C36" s="36"/>
      <c r="D36" s="36" t="s">
        <v>76</v>
      </c>
      <c r="E36" s="341" t="s">
        <v>70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6" t="s">
        <v>47</v>
      </c>
      <c r="S36" s="346">
        <v>0</v>
      </c>
      <c r="T36" s="346"/>
      <c r="U36" s="346"/>
      <c r="V36" s="346"/>
      <c r="W36" s="36"/>
      <c r="X36" s="36"/>
      <c r="Y36" s="36"/>
      <c r="Z36" s="36"/>
      <c r="AA36" s="36"/>
      <c r="AB36" s="57"/>
      <c r="AC36" s="57"/>
      <c r="AD36" s="57"/>
      <c r="AE36" s="57"/>
      <c r="AF36" s="44"/>
      <c r="AG36" s="63"/>
    </row>
    <row r="37" spans="1:48" ht="16.5" customHeight="1">
      <c r="A37" s="63"/>
      <c r="B37" s="43"/>
      <c r="C37" s="36"/>
      <c r="D37" s="36" t="s">
        <v>77</v>
      </c>
      <c r="E37" s="341" t="s">
        <v>236</v>
      </c>
      <c r="F37" s="34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36" t="s">
        <v>47</v>
      </c>
      <c r="S37" s="346">
        <v>0</v>
      </c>
      <c r="T37" s="346"/>
      <c r="U37" s="346"/>
      <c r="V37" s="346"/>
      <c r="W37" s="36"/>
      <c r="X37" s="36"/>
      <c r="Y37" s="36"/>
      <c r="Z37" s="36"/>
      <c r="AA37" s="36"/>
      <c r="AB37" s="57"/>
      <c r="AC37" s="57"/>
      <c r="AD37" s="57"/>
      <c r="AE37" s="57"/>
      <c r="AF37" s="44"/>
      <c r="AG37" s="63"/>
    </row>
    <row r="38" spans="1:48" ht="16.5" customHeight="1">
      <c r="A38" s="63"/>
      <c r="B38" s="43"/>
      <c r="C38" s="36"/>
      <c r="D38" s="36" t="s">
        <v>78</v>
      </c>
      <c r="E38" s="341" t="s">
        <v>71</v>
      </c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  <c r="R38" s="36" t="s">
        <v>47</v>
      </c>
      <c r="S38" s="346">
        <v>0</v>
      </c>
      <c r="T38" s="346"/>
      <c r="U38" s="346"/>
      <c r="V38" s="346"/>
      <c r="W38" s="36"/>
      <c r="X38" s="36"/>
      <c r="Y38" s="36"/>
      <c r="Z38" s="36"/>
      <c r="AA38" s="36"/>
      <c r="AB38" s="57"/>
      <c r="AC38" s="57"/>
      <c r="AD38" s="57"/>
      <c r="AE38" s="57"/>
      <c r="AF38" s="44"/>
      <c r="AG38" s="63"/>
    </row>
    <row r="39" spans="1:48" ht="16.5" customHeight="1">
      <c r="A39" s="63"/>
      <c r="B39" s="43"/>
      <c r="C39" s="36"/>
      <c r="D39" s="36" t="s">
        <v>79</v>
      </c>
      <c r="E39" s="365" t="s">
        <v>69</v>
      </c>
      <c r="F39" s="365"/>
      <c r="G39" s="365"/>
      <c r="H39" s="365"/>
      <c r="I39" s="365"/>
      <c r="J39" s="365"/>
      <c r="K39" s="365"/>
      <c r="L39" s="365"/>
      <c r="M39" s="365"/>
      <c r="N39" s="365"/>
      <c r="O39" s="365"/>
      <c r="P39" s="365"/>
      <c r="Q39" s="365"/>
      <c r="R39" s="36" t="s">
        <v>47</v>
      </c>
      <c r="S39" s="346">
        <v>0</v>
      </c>
      <c r="T39" s="346"/>
      <c r="U39" s="346"/>
      <c r="V39" s="346"/>
      <c r="W39" s="374" t="s">
        <v>82</v>
      </c>
      <c r="X39" s="374"/>
      <c r="Y39" s="374"/>
      <c r="Z39" s="374"/>
      <c r="AA39" s="374"/>
      <c r="AB39" s="363">
        <f>SUM(Q29+S31+S32+S33+S34+S35+S36+S37+S38+S39)</f>
        <v>0</v>
      </c>
      <c r="AC39" s="363"/>
      <c r="AD39" s="363"/>
      <c r="AE39" s="363"/>
      <c r="AF39" s="44"/>
      <c r="AG39" s="63"/>
    </row>
    <row r="40" spans="1:48" ht="3.75" customHeight="1" thickBot="1">
      <c r="A40" s="63"/>
      <c r="B40" s="43"/>
      <c r="C40" s="36"/>
      <c r="D40" s="36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3"/>
      <c r="R40" s="35"/>
      <c r="S40" s="35"/>
      <c r="T40" s="35"/>
      <c r="U40" s="35"/>
      <c r="V40" s="35"/>
      <c r="W40" s="33"/>
      <c r="X40" s="33"/>
      <c r="Y40" s="33"/>
      <c r="Z40" s="35"/>
      <c r="AA40" s="35"/>
      <c r="AB40" s="35"/>
      <c r="AC40" s="35"/>
      <c r="AD40" s="35"/>
      <c r="AE40" s="35"/>
      <c r="AF40" s="44"/>
      <c r="AG40" s="63"/>
    </row>
    <row r="41" spans="1:48" ht="16.5" customHeight="1" thickBot="1">
      <c r="A41" s="63"/>
      <c r="B41" s="43"/>
      <c r="C41" s="36" t="s">
        <v>200</v>
      </c>
      <c r="D41" s="341" t="s">
        <v>218</v>
      </c>
      <c r="E41" s="341"/>
      <c r="F41" s="341"/>
      <c r="G41" s="341"/>
      <c r="H41" s="341"/>
      <c r="I41" s="341"/>
      <c r="J41" s="341"/>
      <c r="K41" s="33"/>
      <c r="L41" s="33"/>
      <c r="M41" s="33"/>
      <c r="N41" s="33"/>
      <c r="O41" s="33"/>
      <c r="P41" s="33"/>
      <c r="Q41" s="341" t="s">
        <v>46</v>
      </c>
      <c r="R41" s="341"/>
      <c r="S41" s="341"/>
      <c r="T41" s="341"/>
      <c r="U41" s="341"/>
      <c r="V41" s="341"/>
      <c r="W41" s="341"/>
      <c r="X41" s="341"/>
      <c r="Y41" s="36" t="s">
        <v>47</v>
      </c>
      <c r="Z41" s="366">
        <f>AA19-AB39</f>
        <v>-50000</v>
      </c>
      <c r="AA41" s="367"/>
      <c r="AB41" s="367"/>
      <c r="AC41" s="367"/>
      <c r="AD41" s="367"/>
      <c r="AE41" s="368"/>
      <c r="AF41" s="44"/>
      <c r="AG41" s="68">
        <f>SUM(AA19-AB39)</f>
        <v>-50000</v>
      </c>
    </row>
    <row r="42" spans="1:48" ht="16.5" customHeight="1">
      <c r="A42" s="63"/>
      <c r="B42" s="43"/>
      <c r="C42" s="36" t="s">
        <v>201</v>
      </c>
      <c r="D42" s="341" t="s">
        <v>41</v>
      </c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3"/>
      <c r="R42" s="35"/>
      <c r="S42" s="33"/>
      <c r="T42" s="33"/>
      <c r="U42" s="33"/>
      <c r="V42" s="33"/>
      <c r="W42" s="33"/>
      <c r="X42" s="33"/>
      <c r="Y42" s="36"/>
      <c r="Z42" s="35"/>
      <c r="AA42" s="35"/>
      <c r="AB42" s="35"/>
      <c r="AC42" s="35"/>
      <c r="AD42" s="35"/>
      <c r="AE42" s="33"/>
      <c r="AF42" s="44"/>
      <c r="AG42" s="63"/>
    </row>
    <row r="43" spans="1:48" ht="16.5" customHeight="1">
      <c r="A43" s="63"/>
      <c r="B43" s="43"/>
      <c r="C43" s="36"/>
      <c r="D43" s="33"/>
      <c r="E43" s="33" t="s">
        <v>202</v>
      </c>
      <c r="F43" s="33" t="s">
        <v>54</v>
      </c>
      <c r="G43" s="33" t="s">
        <v>194</v>
      </c>
      <c r="H43" s="33"/>
      <c r="I43" s="33"/>
      <c r="J43" s="341" t="s">
        <v>212</v>
      </c>
      <c r="K43" s="341"/>
      <c r="L43" s="341"/>
      <c r="M43" s="341"/>
      <c r="N43" s="341"/>
      <c r="O43" s="33">
        <v>0</v>
      </c>
      <c r="P43" s="33" t="s">
        <v>211</v>
      </c>
      <c r="Q43" s="33"/>
      <c r="R43" s="36" t="s">
        <v>47</v>
      </c>
      <c r="S43" s="359" t="s">
        <v>52</v>
      </c>
      <c r="T43" s="359"/>
      <c r="U43" s="359"/>
      <c r="V43" s="359"/>
      <c r="W43" s="33"/>
      <c r="X43" s="33"/>
      <c r="Y43" s="33"/>
      <c r="Z43" s="35"/>
      <c r="AA43" s="35"/>
      <c r="AB43" s="35"/>
      <c r="AC43" s="35"/>
      <c r="AD43" s="35"/>
      <c r="AE43" s="33"/>
      <c r="AF43" s="44"/>
      <c r="AG43" s="63"/>
      <c r="AL43" s="12">
        <f>IF($Z$41&gt;300000,300000,$I$2)</f>
        <v>0</v>
      </c>
      <c r="AM43" s="13" t="s">
        <v>213</v>
      </c>
      <c r="AN43" s="14" t="s">
        <v>213</v>
      </c>
    </row>
    <row r="44" spans="1:48" ht="16.5" customHeight="1">
      <c r="A44" s="63"/>
      <c r="B44" s="43"/>
      <c r="C44" s="36"/>
      <c r="D44" s="33"/>
      <c r="E44" s="33" t="s">
        <v>203</v>
      </c>
      <c r="F44" s="33" t="s">
        <v>55</v>
      </c>
      <c r="G44" s="33" t="s">
        <v>194</v>
      </c>
      <c r="H44" s="33"/>
      <c r="I44" s="33"/>
      <c r="J44" s="36" t="s">
        <v>56</v>
      </c>
      <c r="K44" s="33" t="s">
        <v>197</v>
      </c>
      <c r="L44" s="33"/>
      <c r="M44" s="33"/>
      <c r="N44" s="33"/>
      <c r="O44" s="33"/>
      <c r="P44" s="33"/>
      <c r="Q44" s="33"/>
      <c r="R44" s="36" t="s">
        <v>47</v>
      </c>
      <c r="S44" s="356">
        <f>IF(AN44="","",AN44)</f>
        <v>0</v>
      </c>
      <c r="T44" s="356"/>
      <c r="U44" s="356"/>
      <c r="V44" s="356"/>
      <c r="W44" s="33"/>
      <c r="X44" s="33"/>
      <c r="Y44" s="33"/>
      <c r="Z44" s="35"/>
      <c r="AA44" s="35"/>
      <c r="AB44" s="35"/>
      <c r="AC44" s="35"/>
      <c r="AD44" s="35"/>
      <c r="AE44" s="33"/>
      <c r="AF44" s="44"/>
      <c r="AG44" s="63"/>
      <c r="AL44" s="12">
        <f>IF(AM44&lt;=0,0,AM44)</f>
        <v>0</v>
      </c>
      <c r="AM44" s="15">
        <f>IF($Z$41&lt;=600000,$Z$41-300000,300000)</f>
        <v>-350000</v>
      </c>
      <c r="AN44" s="14">
        <f>ROUND(AL44*5%,0)</f>
        <v>0</v>
      </c>
    </row>
    <row r="45" spans="1:48" ht="16.5" customHeight="1">
      <c r="A45" s="63"/>
      <c r="B45" s="43"/>
      <c r="C45" s="36"/>
      <c r="D45" s="33"/>
      <c r="E45" s="33" t="s">
        <v>204</v>
      </c>
      <c r="F45" s="33" t="s">
        <v>55</v>
      </c>
      <c r="G45" s="33" t="s">
        <v>195</v>
      </c>
      <c r="H45" s="33"/>
      <c r="I45" s="33"/>
      <c r="J45" s="36" t="s">
        <v>56</v>
      </c>
      <c r="K45" s="33" t="s">
        <v>198</v>
      </c>
      <c r="L45" s="33"/>
      <c r="M45" s="33"/>
      <c r="N45" s="33"/>
      <c r="O45" s="33"/>
      <c r="P45" s="33"/>
      <c r="Q45" s="33"/>
      <c r="R45" s="36" t="s">
        <v>47</v>
      </c>
      <c r="S45" s="356">
        <f t="shared" ref="S45:S48" si="0">IF(AN45="","",AN45)</f>
        <v>0</v>
      </c>
      <c r="T45" s="356"/>
      <c r="U45" s="356"/>
      <c r="V45" s="356"/>
      <c r="W45" s="33"/>
      <c r="X45" s="33"/>
      <c r="Y45" s="33"/>
      <c r="Z45" s="35"/>
      <c r="AA45" s="35"/>
      <c r="AB45" s="35"/>
      <c r="AC45" s="35"/>
      <c r="AD45" s="35"/>
      <c r="AE45" s="33"/>
      <c r="AF45" s="40"/>
      <c r="AG45" s="63"/>
      <c r="AL45" s="12">
        <f t="shared" ref="AL45:AL48" si="1">IF(AM45&lt;=0,0,AM45)</f>
        <v>0</v>
      </c>
      <c r="AM45" s="15">
        <f>IF($Z$41&lt;=900000,$Z$41-600000,300000)</f>
        <v>-650000</v>
      </c>
      <c r="AN45" s="14">
        <f>ROUND(AL45*10%,0)</f>
        <v>0</v>
      </c>
    </row>
    <row r="46" spans="1:48" ht="16.5" customHeight="1">
      <c r="A46" s="63"/>
      <c r="B46" s="43"/>
      <c r="C46" s="36"/>
      <c r="D46" s="33"/>
      <c r="E46" s="33" t="s">
        <v>205</v>
      </c>
      <c r="F46" s="33" t="s">
        <v>55</v>
      </c>
      <c r="G46" s="33" t="s">
        <v>196</v>
      </c>
      <c r="H46" s="33"/>
      <c r="I46" s="33"/>
      <c r="J46" s="36" t="s">
        <v>56</v>
      </c>
      <c r="K46" s="341" t="s">
        <v>199</v>
      </c>
      <c r="L46" s="341"/>
      <c r="M46" s="341"/>
      <c r="N46" s="341"/>
      <c r="O46" s="341"/>
      <c r="P46" s="341"/>
      <c r="Q46" s="33"/>
      <c r="R46" s="36" t="s">
        <v>47</v>
      </c>
      <c r="S46" s="356">
        <f t="shared" si="0"/>
        <v>0</v>
      </c>
      <c r="T46" s="356"/>
      <c r="U46" s="356"/>
      <c r="V46" s="356"/>
      <c r="W46" s="33"/>
      <c r="X46" s="33"/>
      <c r="Y46" s="33"/>
      <c r="Z46" s="35"/>
      <c r="AA46" s="35"/>
      <c r="AB46" s="35"/>
      <c r="AC46" s="35"/>
      <c r="AD46" s="35"/>
      <c r="AE46" s="33"/>
      <c r="AF46" s="44"/>
      <c r="AG46" s="63"/>
      <c r="AL46" s="12">
        <f t="shared" si="1"/>
        <v>0</v>
      </c>
      <c r="AM46" s="15">
        <f>IF($Z$41&lt;=1200000,$Z$41-900000,300000)</f>
        <v>-950000</v>
      </c>
      <c r="AN46" s="14">
        <f>ROUND(AL46*15%,0)</f>
        <v>0</v>
      </c>
    </row>
    <row r="47" spans="1:48" ht="16.5" customHeight="1">
      <c r="A47" s="63"/>
      <c r="B47" s="43"/>
      <c r="C47" s="36"/>
      <c r="D47" s="33"/>
      <c r="E47" s="33" t="s">
        <v>200</v>
      </c>
      <c r="F47" s="33" t="s">
        <v>55</v>
      </c>
      <c r="G47" s="33" t="s">
        <v>206</v>
      </c>
      <c r="H47" s="33"/>
      <c r="I47" s="33"/>
      <c r="J47" s="36" t="s">
        <v>56</v>
      </c>
      <c r="K47" s="341" t="s">
        <v>207</v>
      </c>
      <c r="L47" s="341"/>
      <c r="M47" s="341"/>
      <c r="N47" s="341"/>
      <c r="O47" s="341"/>
      <c r="P47" s="341"/>
      <c r="Q47" s="34"/>
      <c r="R47" s="36" t="s">
        <v>47</v>
      </c>
      <c r="S47" s="356">
        <f t="shared" si="0"/>
        <v>0</v>
      </c>
      <c r="T47" s="356"/>
      <c r="U47" s="356"/>
      <c r="V47" s="356"/>
      <c r="W47" s="33"/>
      <c r="X47" s="33"/>
      <c r="Y47" s="33"/>
      <c r="Z47" s="35"/>
      <c r="AA47" s="35"/>
      <c r="AB47" s="35"/>
      <c r="AC47" s="35"/>
      <c r="AD47" s="35"/>
      <c r="AE47" s="33"/>
      <c r="AF47" s="44"/>
      <c r="AG47" s="63"/>
      <c r="AL47" s="12">
        <f t="shared" si="1"/>
        <v>0</v>
      </c>
      <c r="AM47" s="15">
        <f>IF($Z$41&lt;=1500000,$Z$41-1200000,300000)</f>
        <v>-1250000</v>
      </c>
      <c r="AN47" s="14">
        <f>ROUND(AL47*20%,0)</f>
        <v>0</v>
      </c>
    </row>
    <row r="48" spans="1:48" ht="16.5" customHeight="1">
      <c r="A48" s="63"/>
      <c r="B48" s="43"/>
      <c r="C48" s="36"/>
      <c r="D48" s="33"/>
      <c r="E48" s="33" t="s">
        <v>201</v>
      </c>
      <c r="F48" s="33" t="s">
        <v>55</v>
      </c>
      <c r="G48" s="33" t="s">
        <v>208</v>
      </c>
      <c r="H48" s="33"/>
      <c r="I48" s="33"/>
      <c r="J48" s="36" t="s">
        <v>56</v>
      </c>
      <c r="K48" s="341" t="s">
        <v>209</v>
      </c>
      <c r="L48" s="341"/>
      <c r="M48" s="341"/>
      <c r="N48" s="341"/>
      <c r="O48" s="341"/>
      <c r="P48" s="341"/>
      <c r="Q48" s="34"/>
      <c r="R48" s="36" t="s">
        <v>47</v>
      </c>
      <c r="S48" s="356">
        <f t="shared" si="0"/>
        <v>0</v>
      </c>
      <c r="T48" s="356"/>
      <c r="U48" s="356"/>
      <c r="V48" s="356"/>
      <c r="W48" s="33"/>
      <c r="X48" s="33"/>
      <c r="Y48" s="33"/>
      <c r="Z48" s="35"/>
      <c r="AA48" s="35"/>
      <c r="AB48" s="35"/>
      <c r="AC48" s="35"/>
      <c r="AD48" s="35"/>
      <c r="AE48" s="33"/>
      <c r="AF48" s="44"/>
      <c r="AG48" s="63"/>
      <c r="AK48" s="16"/>
      <c r="AL48" s="12">
        <f t="shared" si="1"/>
        <v>0</v>
      </c>
      <c r="AM48" s="15">
        <f>IF($Z$41&gt;1500000,$Z$41-1500000,0)</f>
        <v>0</v>
      </c>
      <c r="AN48" s="14">
        <f>ROUND(AL48*30%,0)</f>
        <v>0</v>
      </c>
      <c r="AO48" s="16"/>
      <c r="AP48" s="16"/>
      <c r="AQ48" s="16"/>
      <c r="AR48" s="16"/>
      <c r="AS48" s="16"/>
      <c r="AT48" s="16"/>
      <c r="AU48" s="16"/>
      <c r="AV48" s="16"/>
    </row>
    <row r="49" spans="1:43" ht="16.5" customHeight="1">
      <c r="A49" s="63"/>
      <c r="B49" s="43"/>
      <c r="C49" s="354" t="s">
        <v>210</v>
      </c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3"/>
      <c r="Z49" s="36" t="s">
        <v>47</v>
      </c>
      <c r="AA49" s="352">
        <f>ROUND(SUM(S44:V48),0)</f>
        <v>0</v>
      </c>
      <c r="AB49" s="352"/>
      <c r="AC49" s="352"/>
      <c r="AD49" s="352"/>
      <c r="AE49" s="352"/>
      <c r="AF49" s="44"/>
      <c r="AG49" s="63"/>
    </row>
    <row r="50" spans="1:43" ht="16.5" customHeight="1">
      <c r="A50" s="63"/>
      <c r="B50" s="43"/>
      <c r="C50" s="36" t="s">
        <v>219</v>
      </c>
      <c r="D50" s="341" t="s">
        <v>243</v>
      </c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6" t="s">
        <v>47</v>
      </c>
      <c r="AA50" s="338">
        <f>AM50</f>
        <v>0</v>
      </c>
      <c r="AB50" s="338"/>
      <c r="AC50" s="338"/>
      <c r="AD50" s="338"/>
      <c r="AE50" s="338"/>
      <c r="AF50" s="44"/>
      <c r="AG50" s="63"/>
      <c r="AL50" s="14">
        <f>IF(AA49&lt;700001,AA49)</f>
        <v>0</v>
      </c>
      <c r="AM50" s="17">
        <f>IF($Z$41&gt;700000,0,IF($Z$41&lt;700000,AA49,IF($Z$41&lt;=700000,25000)))</f>
        <v>0</v>
      </c>
      <c r="AN50" s="17">
        <f>IF($Z$41&gt;30000,0,IF($Z$41&lt;30000,AA53,IF($Z$41&lt;=30000,10000)))</f>
        <v>0</v>
      </c>
      <c r="AO50" s="18"/>
      <c r="AP50" s="18"/>
      <c r="AQ50" s="18"/>
    </row>
    <row r="51" spans="1:43" ht="16.5" customHeight="1">
      <c r="A51" s="63"/>
      <c r="B51" s="43"/>
      <c r="C51" s="36" t="s">
        <v>214</v>
      </c>
      <c r="D51" s="341" t="s">
        <v>253</v>
      </c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6" t="s">
        <v>47</v>
      </c>
      <c r="AA51" s="351">
        <f>AA49-AA50</f>
        <v>0</v>
      </c>
      <c r="AB51" s="351"/>
      <c r="AC51" s="351"/>
      <c r="AD51" s="351"/>
      <c r="AE51" s="351"/>
      <c r="AF51" s="44"/>
      <c r="AG51" s="63"/>
      <c r="AL51" s="14">
        <f>IF(AA49&lt;25001,0,(AA49-AA50))</f>
        <v>0</v>
      </c>
    </row>
    <row r="52" spans="1:43" ht="16.5" customHeight="1">
      <c r="A52" s="63"/>
      <c r="B52" s="43"/>
      <c r="C52" s="36" t="s">
        <v>220</v>
      </c>
      <c r="D52" s="341" t="s">
        <v>248</v>
      </c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6" t="s">
        <v>47</v>
      </c>
      <c r="AA52" s="390">
        <f>AL52</f>
        <v>0</v>
      </c>
      <c r="AB52" s="390"/>
      <c r="AC52" s="390"/>
      <c r="AD52" s="390"/>
      <c r="AE52" s="390"/>
      <c r="AF52" s="44"/>
      <c r="AG52" s="68">
        <f>AA49</f>
        <v>0</v>
      </c>
      <c r="AL52" s="19">
        <f>(ROUND(AA51*4%,0))</f>
        <v>0</v>
      </c>
    </row>
    <row r="53" spans="1:43" ht="16.5" customHeight="1">
      <c r="A53" s="63"/>
      <c r="B53" s="43"/>
      <c r="C53" s="36" t="s">
        <v>221</v>
      </c>
      <c r="D53" s="349" t="s">
        <v>237</v>
      </c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6" t="s">
        <v>47</v>
      </c>
      <c r="AA53" s="353">
        <f>SUM(AA51:AA52)</f>
        <v>0</v>
      </c>
      <c r="AB53" s="353"/>
      <c r="AC53" s="353"/>
      <c r="AD53" s="353"/>
      <c r="AE53" s="353"/>
      <c r="AF53" s="44"/>
      <c r="AG53" s="4"/>
      <c r="AL53" s="20">
        <f>AA50+AA51+AA52</f>
        <v>0</v>
      </c>
    </row>
    <row r="54" spans="1:43" ht="16.5" customHeight="1">
      <c r="A54" s="63"/>
      <c r="B54" s="43"/>
      <c r="C54" s="36" t="s">
        <v>222</v>
      </c>
      <c r="D54" s="371" t="s">
        <v>251</v>
      </c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6" t="s">
        <v>47</v>
      </c>
      <c r="AA54" s="340">
        <v>0</v>
      </c>
      <c r="AB54" s="340"/>
      <c r="AC54" s="340"/>
      <c r="AD54" s="340"/>
      <c r="AE54" s="340"/>
      <c r="AF54" s="44"/>
      <c r="AG54" s="63"/>
    </row>
    <row r="55" spans="1:43" ht="16.5" customHeight="1">
      <c r="A55" s="63"/>
      <c r="B55" s="43"/>
      <c r="C55" s="36" t="s">
        <v>223</v>
      </c>
      <c r="D55" s="358" t="s">
        <v>247</v>
      </c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6" t="s">
        <v>47</v>
      </c>
      <c r="AA55" s="353">
        <f>AA53-AA54</f>
        <v>0</v>
      </c>
      <c r="AB55" s="353"/>
      <c r="AC55" s="353"/>
      <c r="AD55" s="353"/>
      <c r="AE55" s="353"/>
      <c r="AF55" s="44"/>
      <c r="AG55" s="63"/>
    </row>
    <row r="56" spans="1:43" ht="16.5" customHeight="1">
      <c r="A56" s="63"/>
      <c r="B56" s="43"/>
      <c r="C56" s="36" t="s">
        <v>224</v>
      </c>
      <c r="D56" s="369" t="s">
        <v>299</v>
      </c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" t="s">
        <v>47</v>
      </c>
      <c r="AA56" s="357"/>
      <c r="AB56" s="357"/>
      <c r="AC56" s="357"/>
      <c r="AD56" s="357"/>
      <c r="AE56" s="357"/>
      <c r="AF56" s="44"/>
      <c r="AG56" s="63"/>
    </row>
    <row r="57" spans="1:43" ht="16.5" customHeight="1">
      <c r="A57" s="63"/>
      <c r="B57" s="43"/>
      <c r="C57" s="36" t="s">
        <v>225</v>
      </c>
      <c r="D57" s="358" t="s">
        <v>246</v>
      </c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6" t="s">
        <v>47</v>
      </c>
      <c r="AA57" s="353">
        <f>AA55-AA56</f>
        <v>0</v>
      </c>
      <c r="AB57" s="353"/>
      <c r="AC57" s="353"/>
      <c r="AD57" s="353"/>
      <c r="AE57" s="353"/>
      <c r="AF57" s="44"/>
      <c r="AG57" s="63"/>
    </row>
    <row r="58" spans="1:43" ht="16.5" customHeight="1">
      <c r="A58" s="63"/>
      <c r="B58" s="43"/>
      <c r="C58" s="36" t="s">
        <v>226</v>
      </c>
      <c r="D58" s="341" t="s">
        <v>238</v>
      </c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6" t="s">
        <v>47</v>
      </c>
      <c r="AA58" s="356">
        <f>'કપાટ પત્રક પેહલા ભરવુ '!S10</f>
        <v>0</v>
      </c>
      <c r="AB58" s="356"/>
      <c r="AC58" s="356"/>
      <c r="AD58" s="356"/>
      <c r="AE58" s="356"/>
      <c r="AF58" s="44"/>
      <c r="AG58" s="63"/>
    </row>
    <row r="59" spans="1:43" ht="16.5" customHeight="1">
      <c r="A59" s="63"/>
      <c r="B59" s="43"/>
      <c r="C59" s="36" t="s">
        <v>227</v>
      </c>
      <c r="D59" s="341" t="s">
        <v>252</v>
      </c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6" t="s">
        <v>47</v>
      </c>
      <c r="AA59" s="355">
        <f>'કપાટ પત્રક પેહલા ભરવુ '!J17</f>
        <v>0</v>
      </c>
      <c r="AB59" s="355"/>
      <c r="AC59" s="355"/>
      <c r="AD59" s="355"/>
      <c r="AE59" s="355"/>
      <c r="AF59" s="44"/>
      <c r="AG59" s="63"/>
      <c r="AI59" s="10">
        <f>AA57-AA58</f>
        <v>0</v>
      </c>
    </row>
    <row r="60" spans="1:43" ht="16.5" customHeight="1">
      <c r="A60" s="63"/>
      <c r="B60" s="43"/>
      <c r="C60" s="36" t="s">
        <v>244</v>
      </c>
      <c r="D60" s="358" t="s">
        <v>249</v>
      </c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6" t="s">
        <v>47</v>
      </c>
      <c r="AA60" s="356">
        <f>SUM(AA58:AA59)</f>
        <v>0</v>
      </c>
      <c r="AB60" s="356"/>
      <c r="AC60" s="356"/>
      <c r="AD60" s="356"/>
      <c r="AE60" s="356"/>
      <c r="AF60" s="44"/>
      <c r="AG60" s="63"/>
    </row>
    <row r="61" spans="1:43" ht="16.5" customHeight="1">
      <c r="A61" s="63"/>
      <c r="B61" s="43"/>
      <c r="C61" s="36" t="s">
        <v>245</v>
      </c>
      <c r="D61" s="341" t="s">
        <v>250</v>
      </c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6" t="s">
        <v>47</v>
      </c>
      <c r="AA61" s="356">
        <f>IF(AA60&gt;AA57,(AA60-AA57),0)</f>
        <v>0</v>
      </c>
      <c r="AB61" s="356"/>
      <c r="AC61" s="356"/>
      <c r="AD61" s="356"/>
      <c r="AE61" s="356"/>
      <c r="AF61" s="44"/>
      <c r="AG61" s="63"/>
    </row>
    <row r="62" spans="1:43" ht="16.5" customHeight="1" thickBot="1">
      <c r="A62" s="63"/>
      <c r="B62" s="58"/>
      <c r="C62" s="387" t="s">
        <v>51</v>
      </c>
      <c r="D62" s="388"/>
      <c r="E62" s="388"/>
      <c r="F62" s="388"/>
      <c r="G62" s="388"/>
      <c r="H62" s="388"/>
      <c r="I62" s="388"/>
      <c r="J62" s="387"/>
      <c r="K62" s="387"/>
      <c r="L62" s="387"/>
      <c r="M62" s="387"/>
      <c r="N62" s="387"/>
      <c r="O62" s="387"/>
      <c r="P62" s="387"/>
      <c r="Q62" s="387"/>
      <c r="R62" s="387"/>
      <c r="S62" s="387"/>
      <c r="T62" s="387"/>
      <c r="U62" s="387"/>
      <c r="V62" s="387"/>
      <c r="W62" s="387"/>
      <c r="X62" s="387"/>
      <c r="Y62" s="387"/>
      <c r="Z62" s="389"/>
      <c r="AA62" s="389"/>
      <c r="AB62" s="389"/>
      <c r="AC62" s="389"/>
      <c r="AD62" s="389"/>
      <c r="AE62" s="389"/>
      <c r="AF62" s="59"/>
      <c r="AG62" s="63"/>
    </row>
    <row r="63" spans="1:43" s="6" customFormat="1" ht="16.5" hidden="1" customHeight="1">
      <c r="A63" s="69"/>
      <c r="B63" s="70"/>
      <c r="C63" s="70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69"/>
    </row>
    <row r="64" spans="1:43" s="22" customFormat="1" ht="24.75" hidden="1" customHeight="1">
      <c r="A64" s="72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2"/>
      <c r="M64" s="73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2"/>
    </row>
    <row r="65" spans="1:33" s="22" customFormat="1" ht="16.5" hidden="1" customHeight="1">
      <c r="A65" s="72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2"/>
    </row>
    <row r="66" spans="1:33" s="22" customFormat="1" ht="16.5" hidden="1" customHeight="1">
      <c r="A66" s="72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2"/>
    </row>
    <row r="67" spans="1:33" s="22" customFormat="1" ht="16.5" hidden="1" customHeight="1">
      <c r="A67" s="72"/>
      <c r="B67" s="72"/>
      <c r="C67" s="74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5"/>
      <c r="S67" s="72"/>
      <c r="T67" s="72"/>
      <c r="U67" s="72"/>
      <c r="V67" s="72"/>
      <c r="W67" s="72"/>
      <c r="X67" s="72"/>
      <c r="Y67" s="72"/>
      <c r="Z67" s="75"/>
      <c r="AA67" s="72"/>
      <c r="AB67" s="72"/>
      <c r="AC67" s="72"/>
      <c r="AD67" s="72"/>
      <c r="AE67" s="72"/>
      <c r="AF67" s="72"/>
      <c r="AG67" s="72"/>
    </row>
    <row r="68" spans="1:33" s="22" customFormat="1" ht="16.5" hidden="1" customHeight="1">
      <c r="A68" s="72"/>
      <c r="B68" s="72"/>
      <c r="C68" s="74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5"/>
      <c r="S68" s="72"/>
      <c r="T68" s="72"/>
      <c r="U68" s="72"/>
      <c r="V68" s="72"/>
      <c r="W68" s="72"/>
      <c r="X68" s="72"/>
      <c r="Y68" s="72"/>
      <c r="Z68" s="75"/>
      <c r="AA68" s="72"/>
      <c r="AB68" s="72"/>
      <c r="AC68" s="72"/>
      <c r="AD68" s="72"/>
      <c r="AE68" s="72"/>
      <c r="AF68" s="72"/>
      <c r="AG68" s="72"/>
    </row>
    <row r="69" spans="1:33" s="22" customFormat="1" ht="16.5" hidden="1" customHeight="1">
      <c r="A69" s="72"/>
      <c r="B69" s="72"/>
      <c r="C69" s="74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5"/>
      <c r="S69" s="72"/>
      <c r="T69" s="72"/>
      <c r="U69" s="72"/>
      <c r="V69" s="72"/>
      <c r="W69" s="72"/>
      <c r="X69" s="72"/>
      <c r="Y69" s="72"/>
      <c r="Z69" s="76">
        <f>IF($Z$41&gt;=C91,C86,IF($Z$41&lt;C87,0,IF($Z$41&lt;C91,$Z$41-C86)))</f>
        <v>0</v>
      </c>
      <c r="AA69" s="72">
        <f>Z69*5%</f>
        <v>0</v>
      </c>
      <c r="AB69" s="72"/>
      <c r="AC69" s="72"/>
      <c r="AD69" s="72"/>
      <c r="AE69" s="72"/>
      <c r="AF69" s="72"/>
      <c r="AG69" s="72"/>
    </row>
    <row r="70" spans="1:33" s="22" customFormat="1" ht="16.5" hidden="1" customHeight="1">
      <c r="A70" s="72"/>
      <c r="B70" s="72"/>
      <c r="C70" s="74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5"/>
      <c r="S70" s="72"/>
      <c r="T70" s="72"/>
      <c r="U70" s="72"/>
      <c r="V70" s="72"/>
      <c r="W70" s="72"/>
      <c r="X70" s="72"/>
      <c r="Y70" s="72"/>
      <c r="Z70" s="76">
        <f>IF($Z$41&gt;=C92,C91,IF($Z$41&lt;C88,0,IF($Z$41&lt;C92,$Z$41-C91)))</f>
        <v>0</v>
      </c>
      <c r="AA70" s="72">
        <f>Z70*10%</f>
        <v>0</v>
      </c>
      <c r="AB70" s="72"/>
      <c r="AC70" s="72"/>
      <c r="AD70" s="72"/>
      <c r="AE70" s="72"/>
      <c r="AF70" s="72"/>
      <c r="AG70" s="72"/>
    </row>
    <row r="71" spans="1:33" s="22" customFormat="1" ht="16.5" hidden="1" customHeight="1">
      <c r="A71" s="72"/>
      <c r="B71" s="72"/>
      <c r="C71" s="74"/>
      <c r="D71" s="77"/>
      <c r="E71" s="72"/>
      <c r="F71" s="72"/>
      <c r="G71" s="72"/>
      <c r="H71" s="72"/>
      <c r="I71" s="72"/>
      <c r="J71" s="72"/>
      <c r="K71" s="72"/>
      <c r="L71" s="72"/>
      <c r="M71" s="72"/>
      <c r="N71" s="78">
        <f>SUM(L21+L22+L23+L24+L25+L26+L27+X21+X22+X23+X24+X25+X26+X27)</f>
        <v>0</v>
      </c>
      <c r="O71" s="79">
        <f>IF(N71&gt;150000,150000,IF(N71&lt;150000,N71,150000))</f>
        <v>0</v>
      </c>
      <c r="P71" s="72"/>
      <c r="Q71" s="72"/>
      <c r="R71" s="75"/>
      <c r="S71" s="72"/>
      <c r="T71" s="80"/>
      <c r="U71" s="72"/>
      <c r="V71" s="72"/>
      <c r="W71" s="72"/>
      <c r="X71" s="72"/>
      <c r="Y71" s="72"/>
      <c r="Z71" s="76">
        <f>IF($Z$41&gt;C89,$Z$41-C89,IF($Z$41&lt;C89,0))</f>
        <v>0</v>
      </c>
      <c r="AA71" s="76">
        <f>Z71*15%</f>
        <v>0</v>
      </c>
      <c r="AB71" s="72"/>
      <c r="AC71" s="72"/>
      <c r="AD71" s="72"/>
      <c r="AE71" s="72"/>
      <c r="AF71" s="72"/>
      <c r="AG71" s="72"/>
    </row>
    <row r="72" spans="1:33" s="22" customFormat="1" ht="16.5" hidden="1" customHeight="1">
      <c r="A72" s="72"/>
      <c r="B72" s="74"/>
      <c r="C72" s="74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5"/>
      <c r="O72" s="72"/>
      <c r="P72" s="72"/>
      <c r="Q72" s="72"/>
      <c r="R72" s="75"/>
      <c r="S72" s="336"/>
      <c r="T72" s="337"/>
      <c r="U72" s="337"/>
      <c r="V72" s="337"/>
      <c r="W72" s="72"/>
      <c r="X72" s="72"/>
      <c r="Y72" s="72"/>
      <c r="Z72" s="75"/>
      <c r="AA72" s="72"/>
      <c r="AB72" s="72"/>
      <c r="AC72" s="72"/>
      <c r="AD72" s="72"/>
      <c r="AE72" s="72"/>
      <c r="AF72" s="72"/>
      <c r="AG72" s="72"/>
    </row>
    <row r="73" spans="1:33" s="22" customFormat="1" ht="16.5" hidden="1" customHeight="1">
      <c r="A73" s="72"/>
      <c r="B73" s="74"/>
      <c r="C73" s="74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5"/>
      <c r="O73" s="72"/>
      <c r="P73" s="72"/>
      <c r="Q73" s="72"/>
      <c r="R73" s="75"/>
      <c r="S73" s="72"/>
      <c r="T73" s="72"/>
      <c r="U73" s="72"/>
      <c r="V73" s="72"/>
      <c r="W73" s="72"/>
      <c r="X73" s="72"/>
      <c r="Y73" s="72"/>
      <c r="Z73" s="75"/>
      <c r="AA73" s="72"/>
      <c r="AB73" s="72"/>
      <c r="AC73" s="72"/>
      <c r="AD73" s="72"/>
      <c r="AE73" s="72"/>
      <c r="AF73" s="72"/>
      <c r="AG73" s="72"/>
    </row>
    <row r="74" spans="1:33" s="22" customFormat="1" ht="16.5" hidden="1" customHeight="1">
      <c r="A74" s="72"/>
      <c r="B74" s="74"/>
      <c r="C74" s="74"/>
      <c r="D74" s="72"/>
      <c r="E74" s="72"/>
      <c r="F74" s="72"/>
      <c r="G74" s="336"/>
      <c r="H74" s="337"/>
      <c r="I74" s="72"/>
      <c r="J74" s="72"/>
      <c r="K74" s="72"/>
      <c r="L74" s="336"/>
      <c r="M74" s="337"/>
      <c r="N74" s="75"/>
      <c r="O74" s="336"/>
      <c r="P74" s="337"/>
      <c r="Q74" s="337"/>
      <c r="R74" s="75"/>
      <c r="S74" s="72"/>
      <c r="T74" s="72"/>
      <c r="U74" s="72"/>
      <c r="V74" s="72"/>
      <c r="W74" s="72"/>
      <c r="X74" s="72"/>
      <c r="Y74" s="72"/>
      <c r="Z74" s="75"/>
      <c r="AA74" s="72"/>
      <c r="AB74" s="72"/>
      <c r="AC74" s="72"/>
      <c r="AD74" s="72"/>
      <c r="AE74" s="72"/>
      <c r="AF74" s="72"/>
      <c r="AG74" s="72"/>
    </row>
    <row r="75" spans="1:33" s="22" customFormat="1" ht="16.5" hidden="1" customHeight="1">
      <c r="A75" s="72"/>
      <c r="B75" s="74"/>
      <c r="C75" s="74"/>
      <c r="D75" s="72"/>
      <c r="E75" s="72"/>
      <c r="F75" s="72"/>
      <c r="G75" s="72"/>
      <c r="H75" s="72"/>
      <c r="I75" s="72"/>
      <c r="J75" s="336"/>
      <c r="K75" s="337"/>
      <c r="L75" s="337"/>
      <c r="M75" s="337"/>
      <c r="N75" s="72"/>
      <c r="O75" s="336"/>
      <c r="P75" s="337"/>
      <c r="Q75" s="337"/>
      <c r="R75" s="336"/>
      <c r="S75" s="337"/>
      <c r="T75" s="337"/>
      <c r="U75" s="336"/>
      <c r="V75" s="337"/>
      <c r="W75" s="72"/>
      <c r="X75" s="72"/>
      <c r="Y75" s="72"/>
      <c r="Z75" s="75"/>
      <c r="AA75" s="72"/>
      <c r="AB75" s="72"/>
      <c r="AC75" s="72"/>
      <c r="AD75" s="72"/>
      <c r="AE75" s="72"/>
      <c r="AF75" s="72"/>
      <c r="AG75" s="72"/>
    </row>
    <row r="76" spans="1:33" s="22" customFormat="1" ht="16.5" hidden="1" customHeight="1">
      <c r="A76" s="81"/>
      <c r="B76" s="81"/>
      <c r="C76" s="81"/>
      <c r="D76" s="81"/>
      <c r="E76" s="81"/>
      <c r="F76" s="81"/>
      <c r="G76" s="81"/>
      <c r="H76" s="72"/>
      <c r="I76" s="72"/>
      <c r="J76" s="74"/>
      <c r="K76" s="72"/>
      <c r="L76" s="72"/>
      <c r="M76" s="72"/>
      <c r="N76" s="78"/>
      <c r="O76" s="74"/>
      <c r="P76" s="72"/>
      <c r="Q76" s="72"/>
      <c r="R76" s="336"/>
      <c r="S76" s="337"/>
      <c r="T76" s="337"/>
      <c r="U76" s="72"/>
      <c r="V76" s="72"/>
      <c r="W76" s="72"/>
      <c r="X76" s="72"/>
      <c r="Y76" s="72"/>
      <c r="Z76" s="75"/>
      <c r="AA76" s="72"/>
      <c r="AB76" s="72"/>
      <c r="AC76" s="72"/>
      <c r="AD76" s="72"/>
      <c r="AE76" s="72"/>
      <c r="AF76" s="72"/>
      <c r="AG76" s="72"/>
    </row>
    <row r="77" spans="1:33" s="22" customFormat="1" ht="16.5" hidden="1" customHeight="1">
      <c r="A77" s="81"/>
      <c r="B77" s="81"/>
      <c r="C77" s="81"/>
      <c r="D77" s="81"/>
      <c r="E77" s="81"/>
      <c r="F77" s="81"/>
      <c r="G77" s="81"/>
      <c r="H77" s="72"/>
      <c r="I77" s="72"/>
      <c r="J77" s="72"/>
      <c r="K77" s="72"/>
      <c r="L77" s="72"/>
      <c r="M77" s="72"/>
      <c r="N77" s="75"/>
      <c r="O77" s="74"/>
      <c r="P77" s="72"/>
      <c r="Q77" s="72"/>
      <c r="R77" s="75"/>
      <c r="S77" s="72"/>
      <c r="T77" s="72"/>
      <c r="U77" s="72"/>
      <c r="V77" s="72"/>
      <c r="W77" s="72"/>
      <c r="X77" s="72"/>
      <c r="Y77" s="72"/>
      <c r="Z77" s="75"/>
      <c r="AA77" s="72"/>
      <c r="AB77" s="72"/>
      <c r="AC77" s="72"/>
      <c r="AD77" s="72"/>
      <c r="AE77" s="72"/>
      <c r="AF77" s="72"/>
      <c r="AG77" s="72"/>
    </row>
    <row r="78" spans="1:33" s="22" customFormat="1" ht="16.5" hidden="1" customHeight="1">
      <c r="A78" s="81"/>
      <c r="B78" s="81"/>
      <c r="C78" s="81"/>
      <c r="D78" s="81"/>
      <c r="E78" s="81"/>
      <c r="F78" s="81"/>
      <c r="G78" s="81"/>
      <c r="H78" s="72"/>
      <c r="I78" s="72"/>
      <c r="J78" s="72"/>
      <c r="K78" s="72"/>
      <c r="L78" s="72"/>
      <c r="M78" s="72"/>
      <c r="N78" s="75"/>
      <c r="O78" s="74"/>
      <c r="P78" s="72"/>
      <c r="Q78" s="72"/>
      <c r="R78" s="336"/>
      <c r="S78" s="337"/>
      <c r="T78" s="337"/>
      <c r="U78" s="336"/>
      <c r="V78" s="337"/>
      <c r="W78" s="72"/>
      <c r="X78" s="72"/>
      <c r="Y78" s="72"/>
      <c r="Z78" s="75"/>
      <c r="AA78" s="72"/>
      <c r="AB78" s="72"/>
      <c r="AC78" s="72"/>
      <c r="AD78" s="72"/>
      <c r="AE78" s="72"/>
      <c r="AF78" s="72"/>
      <c r="AG78" s="72"/>
    </row>
    <row r="79" spans="1:33" s="22" customFormat="1" ht="16.5" hidden="1" customHeight="1">
      <c r="A79" s="81"/>
      <c r="B79" s="81"/>
      <c r="C79" s="348"/>
      <c r="D79" s="348"/>
      <c r="E79" s="348"/>
      <c r="F79" s="348"/>
      <c r="G79" s="81"/>
      <c r="H79" s="72"/>
      <c r="I79" s="72"/>
      <c r="J79" s="72"/>
      <c r="K79" s="72"/>
      <c r="L79" s="72"/>
      <c r="M79" s="72"/>
      <c r="N79" s="75"/>
      <c r="O79" s="74"/>
      <c r="P79" s="72"/>
      <c r="Q79" s="72"/>
      <c r="R79" s="75"/>
      <c r="S79" s="72"/>
      <c r="T79" s="72"/>
      <c r="U79" s="72"/>
      <c r="V79" s="72"/>
      <c r="W79" s="72"/>
      <c r="X79" s="72"/>
      <c r="Y79" s="72"/>
      <c r="Z79" s="75"/>
      <c r="AA79" s="72"/>
      <c r="AB79" s="72"/>
      <c r="AC79" s="72"/>
      <c r="AD79" s="72"/>
      <c r="AE79" s="72"/>
      <c r="AF79" s="72"/>
      <c r="AG79" s="72"/>
    </row>
    <row r="80" spans="1:33" s="22" customFormat="1" ht="16.5" hidden="1" customHeight="1">
      <c r="A80" s="81"/>
      <c r="B80" s="81"/>
      <c r="C80" s="81"/>
      <c r="D80" s="81"/>
      <c r="E80" s="81"/>
      <c r="F80" s="82"/>
      <c r="G80" s="81"/>
      <c r="H80" s="72"/>
      <c r="I80" s="72"/>
      <c r="J80" s="72"/>
      <c r="K80" s="72"/>
      <c r="L80" s="72"/>
      <c r="M80" s="72"/>
      <c r="N80" s="75"/>
      <c r="O80" s="74"/>
      <c r="P80" s="74"/>
      <c r="Q80" s="74"/>
      <c r="R80" s="336"/>
      <c r="S80" s="337"/>
      <c r="T80" s="337"/>
      <c r="U80" s="72"/>
      <c r="V80" s="72"/>
      <c r="W80" s="72"/>
      <c r="X80" s="72"/>
      <c r="Y80" s="384">
        <f>IF('કપાટ પત્રક પેહલા ભરવુ '!L18=0,0,MIN('કપાટ પત્રક પેહલા ભરવુ '!L18,C105))</f>
        <v>0</v>
      </c>
      <c r="Z80" s="337"/>
      <c r="AA80" s="337"/>
      <c r="AB80" s="337"/>
      <c r="AC80" s="72">
        <v>0</v>
      </c>
      <c r="AD80" s="72">
        <f>IF($M$1="હા",Y80,AC80)</f>
        <v>0</v>
      </c>
      <c r="AE80" s="72"/>
      <c r="AF80" s="72"/>
      <c r="AG80" s="72"/>
    </row>
    <row r="81" spans="1:33" s="22" customFormat="1" ht="16.5" hidden="1" customHeight="1">
      <c r="A81" s="81"/>
      <c r="B81" s="81"/>
      <c r="C81" s="81"/>
      <c r="D81" s="81"/>
      <c r="E81" s="81"/>
      <c r="F81" s="82"/>
      <c r="G81" s="81"/>
      <c r="H81" s="72"/>
      <c r="I81" s="72"/>
      <c r="J81" s="72"/>
      <c r="K81" s="72"/>
      <c r="L81" s="72"/>
      <c r="M81" s="72"/>
      <c r="N81" s="75"/>
      <c r="O81" s="74"/>
      <c r="P81" s="72"/>
      <c r="Q81" s="72"/>
      <c r="R81" s="75"/>
      <c r="S81" s="72"/>
      <c r="T81" s="72"/>
      <c r="U81" s="72"/>
      <c r="V81" s="72"/>
      <c r="W81" s="72"/>
      <c r="X81" s="72"/>
      <c r="Y81" s="384">
        <f>'કપાટ પત્રક પેહલા ભરવુ '!M18</f>
        <v>0</v>
      </c>
      <c r="Z81" s="337"/>
      <c r="AA81" s="337"/>
      <c r="AB81" s="337"/>
      <c r="AC81" s="72">
        <v>0</v>
      </c>
      <c r="AD81" s="72">
        <f>IF($M$1="હા",Y81,AC81)</f>
        <v>0</v>
      </c>
      <c r="AE81" s="72"/>
      <c r="AF81" s="72"/>
      <c r="AG81" s="72"/>
    </row>
    <row r="82" spans="1:33" s="22" customFormat="1" ht="16.5" hidden="1" customHeight="1">
      <c r="A82" s="81"/>
      <c r="B82" s="81"/>
      <c r="C82" s="348"/>
      <c r="D82" s="348"/>
      <c r="E82" s="81"/>
      <c r="F82" s="82"/>
      <c r="G82" s="81"/>
      <c r="H82" s="72"/>
      <c r="I82" s="72"/>
      <c r="J82" s="72"/>
      <c r="K82" s="72"/>
      <c r="L82" s="72"/>
      <c r="M82" s="72"/>
      <c r="N82" s="75"/>
      <c r="O82" s="72"/>
      <c r="P82" s="72"/>
      <c r="Q82" s="72"/>
      <c r="R82" s="75"/>
      <c r="S82" s="336"/>
      <c r="T82" s="337"/>
      <c r="U82" s="337"/>
      <c r="V82" s="337"/>
      <c r="W82" s="72"/>
      <c r="X82" s="72"/>
      <c r="Y82" s="384">
        <f>'કપાટ પત્રક પેહલા ભરવુ '!N18</f>
        <v>0</v>
      </c>
      <c r="Z82" s="337"/>
      <c r="AA82" s="337"/>
      <c r="AB82" s="337"/>
      <c r="AC82" s="72">
        <v>0</v>
      </c>
      <c r="AD82" s="72">
        <f>IF($M$1="હા",Y82,AC82)</f>
        <v>0</v>
      </c>
      <c r="AE82" s="72"/>
      <c r="AF82" s="72"/>
      <c r="AG82" s="72"/>
    </row>
    <row r="83" spans="1:33" s="22" customFormat="1" ht="16.5" hidden="1" customHeight="1">
      <c r="A83" s="81"/>
      <c r="B83" s="81"/>
      <c r="C83" s="81"/>
      <c r="D83" s="81"/>
      <c r="E83" s="81"/>
      <c r="F83" s="82"/>
      <c r="G83" s="81"/>
      <c r="H83" s="75"/>
      <c r="I83" s="75"/>
      <c r="J83" s="75"/>
      <c r="K83" s="75"/>
      <c r="L83" s="75"/>
      <c r="M83" s="75"/>
      <c r="N83" s="75"/>
      <c r="O83" s="72"/>
      <c r="P83" s="72"/>
      <c r="Q83" s="72"/>
      <c r="R83" s="75"/>
      <c r="S83" s="74"/>
      <c r="T83" s="74"/>
      <c r="U83" s="74"/>
      <c r="V83" s="74"/>
      <c r="W83" s="72"/>
      <c r="X83" s="72"/>
      <c r="Y83" s="384">
        <f>'કપાટ પત્રક પેહલા ભરવુ '!K18</f>
        <v>0</v>
      </c>
      <c r="Z83" s="337"/>
      <c r="AA83" s="337"/>
      <c r="AB83" s="337"/>
      <c r="AC83" s="72">
        <v>0</v>
      </c>
      <c r="AD83" s="72">
        <f>IF($M$1="હા",Y83,AC83)</f>
        <v>0</v>
      </c>
      <c r="AE83" s="72"/>
      <c r="AF83" s="72"/>
      <c r="AG83" s="72"/>
    </row>
    <row r="84" spans="1:33" s="22" customFormat="1" ht="16.5" hidden="1" customHeight="1">
      <c r="A84" s="81"/>
      <c r="B84" s="81"/>
      <c r="C84" s="81"/>
      <c r="D84" s="81"/>
      <c r="E84" s="81"/>
      <c r="F84" s="82"/>
      <c r="G84" s="81"/>
      <c r="H84" s="72"/>
      <c r="I84" s="72"/>
      <c r="J84" s="72"/>
      <c r="K84" s="72"/>
      <c r="L84" s="72"/>
      <c r="M84" s="83">
        <f>IF(Z41&gt;C99,0,IF(Z41&lt;C99,AA49,IF(Z41&lt;=C99,C100)))</f>
        <v>0</v>
      </c>
      <c r="N84" s="72"/>
      <c r="O84" s="72"/>
      <c r="P84" s="72"/>
      <c r="Q84" s="72"/>
      <c r="R84" s="75"/>
      <c r="S84" s="336"/>
      <c r="T84" s="337"/>
      <c r="U84" s="337"/>
      <c r="V84" s="337"/>
      <c r="W84" s="72"/>
      <c r="X84" s="72"/>
      <c r="Y84" s="384">
        <f>'કપાટ પત્રક પેહલા ભરવુ '!I18</f>
        <v>0</v>
      </c>
      <c r="Z84" s="337"/>
      <c r="AA84" s="337"/>
      <c r="AB84" s="337"/>
      <c r="AC84" s="72">
        <v>0</v>
      </c>
      <c r="AD84" s="72">
        <f>IF($M$1="હા",Y84,AC84)</f>
        <v>0</v>
      </c>
      <c r="AE84" s="72"/>
      <c r="AF84" s="72"/>
      <c r="AG84" s="72"/>
    </row>
    <row r="85" spans="1:33" s="22" customFormat="1" ht="16.5" hidden="1" customHeight="1">
      <c r="A85" s="81"/>
      <c r="B85" s="81"/>
      <c r="C85" s="81"/>
      <c r="D85" s="81"/>
      <c r="E85" s="81"/>
      <c r="F85" s="81"/>
      <c r="G85" s="81"/>
      <c r="H85" s="72"/>
      <c r="I85" s="72"/>
      <c r="J85" s="72"/>
      <c r="K85" s="72"/>
      <c r="L85" s="72"/>
      <c r="M85" s="72"/>
      <c r="N85" s="75"/>
      <c r="O85" s="74"/>
      <c r="P85" s="72"/>
      <c r="Q85" s="72"/>
      <c r="R85" s="75"/>
      <c r="S85" s="336"/>
      <c r="T85" s="337"/>
      <c r="U85" s="337"/>
      <c r="V85" s="337"/>
      <c r="W85" s="72"/>
      <c r="X85" s="72"/>
      <c r="Y85" s="384">
        <f>AM22</f>
        <v>0</v>
      </c>
      <c r="Z85" s="337"/>
      <c r="AA85" s="337"/>
      <c r="AB85" s="337"/>
      <c r="AC85" s="72">
        <v>0</v>
      </c>
      <c r="AD85" s="72">
        <f>IF($M$1="હા",AP2,AC85)</f>
        <v>0</v>
      </c>
      <c r="AE85" s="72"/>
      <c r="AF85" s="72"/>
      <c r="AG85" s="72"/>
    </row>
    <row r="86" spans="1:33" s="22" customFormat="1" ht="16.5" hidden="1" customHeight="1">
      <c r="A86" s="81"/>
      <c r="B86" s="81"/>
      <c r="C86" s="385">
        <v>300000</v>
      </c>
      <c r="D86" s="386"/>
      <c r="E86" s="386"/>
      <c r="F86" s="81"/>
      <c r="G86" s="81"/>
      <c r="H86" s="72"/>
      <c r="I86" s="72"/>
      <c r="J86" s="72"/>
      <c r="K86" s="72"/>
      <c r="L86" s="72"/>
      <c r="M86" s="72"/>
      <c r="N86" s="75"/>
      <c r="O86" s="72"/>
      <c r="P86" s="72"/>
      <c r="Q86" s="72"/>
      <c r="R86" s="75"/>
      <c r="S86" s="336"/>
      <c r="T86" s="337"/>
      <c r="U86" s="337"/>
      <c r="V86" s="337"/>
      <c r="W86" s="72"/>
      <c r="X86" s="72"/>
      <c r="Y86" s="384">
        <f>AM23</f>
        <v>0</v>
      </c>
      <c r="Z86" s="337"/>
      <c r="AA86" s="337"/>
      <c r="AB86" s="337"/>
      <c r="AC86" s="72">
        <v>0</v>
      </c>
      <c r="AD86" s="72">
        <f>IF($M$1="હા",AP3,AC86)</f>
        <v>0</v>
      </c>
      <c r="AE86" s="72"/>
      <c r="AF86" s="72"/>
      <c r="AG86" s="72"/>
    </row>
    <row r="87" spans="1:33" s="22" customFormat="1" ht="16.5" hidden="1" customHeight="1">
      <c r="A87" s="72"/>
      <c r="B87" s="74"/>
      <c r="C87" s="385">
        <v>300001</v>
      </c>
      <c r="D87" s="386"/>
      <c r="E87" s="386"/>
      <c r="F87" s="72"/>
      <c r="G87" s="72"/>
      <c r="H87" s="72"/>
      <c r="I87" s="72"/>
      <c r="J87" s="72"/>
      <c r="K87" s="72"/>
      <c r="L87" s="72"/>
      <c r="M87" s="72"/>
      <c r="N87" s="75"/>
      <c r="O87" s="72"/>
      <c r="P87" s="72"/>
      <c r="Q87" s="72"/>
      <c r="R87" s="75"/>
      <c r="S87" s="336"/>
      <c r="T87" s="337"/>
      <c r="U87" s="337"/>
      <c r="V87" s="337"/>
      <c r="W87" s="72"/>
      <c r="X87" s="72"/>
      <c r="Y87" s="72"/>
      <c r="Z87" s="75"/>
      <c r="AA87" s="72"/>
      <c r="AB87" s="72"/>
      <c r="AC87" s="72"/>
      <c r="AD87" s="72"/>
      <c r="AE87" s="72"/>
      <c r="AF87" s="72"/>
      <c r="AG87" s="72"/>
    </row>
    <row r="88" spans="1:33" s="22" customFormat="1" ht="16.5" hidden="1" customHeight="1">
      <c r="A88" s="72"/>
      <c r="B88" s="74"/>
      <c r="C88" s="385">
        <v>600001</v>
      </c>
      <c r="D88" s="386"/>
      <c r="E88" s="386"/>
      <c r="F88" s="72"/>
      <c r="G88" s="72"/>
      <c r="H88" s="72"/>
      <c r="I88" s="72"/>
      <c r="J88" s="72"/>
      <c r="K88" s="72"/>
      <c r="L88" s="72"/>
      <c r="M88" s="72"/>
      <c r="N88" s="75"/>
      <c r="O88" s="72"/>
      <c r="P88" s="72"/>
      <c r="Q88" s="72"/>
      <c r="R88" s="75"/>
      <c r="S88" s="336"/>
      <c r="T88" s="337"/>
      <c r="U88" s="337"/>
      <c r="V88" s="337"/>
      <c r="W88" s="72"/>
      <c r="X88" s="72"/>
      <c r="Y88" s="72"/>
      <c r="Z88" s="75"/>
      <c r="AA88" s="72"/>
      <c r="AB88" s="72"/>
      <c r="AC88" s="72"/>
      <c r="AD88" s="72"/>
      <c r="AE88" s="72"/>
      <c r="AF88" s="72"/>
      <c r="AG88" s="72"/>
    </row>
    <row r="89" spans="1:33" s="22" customFormat="1" ht="16.5" hidden="1" customHeight="1">
      <c r="A89" s="72"/>
      <c r="B89" s="74"/>
      <c r="C89" s="385">
        <v>1000001</v>
      </c>
      <c r="D89" s="386"/>
      <c r="E89" s="386"/>
      <c r="F89" s="72"/>
      <c r="G89" s="72"/>
      <c r="H89" s="72"/>
      <c r="I89" s="72"/>
      <c r="J89" s="72"/>
      <c r="K89" s="72"/>
      <c r="L89" s="72"/>
      <c r="M89" s="72"/>
      <c r="N89" s="75"/>
      <c r="O89" s="72"/>
      <c r="P89" s="72"/>
      <c r="Q89" s="72"/>
      <c r="R89" s="75"/>
      <c r="S89" s="336"/>
      <c r="T89" s="337"/>
      <c r="U89" s="337"/>
      <c r="V89" s="337"/>
      <c r="W89" s="72"/>
      <c r="X89" s="72"/>
      <c r="Y89" s="72"/>
      <c r="Z89" s="75"/>
      <c r="AA89" s="72"/>
      <c r="AB89" s="72"/>
      <c r="AC89" s="72"/>
      <c r="AD89" s="72"/>
      <c r="AE89" s="72"/>
      <c r="AF89" s="72"/>
      <c r="AG89" s="72"/>
    </row>
    <row r="90" spans="1:33" s="22" customFormat="1" ht="16.5" hidden="1" customHeight="1">
      <c r="A90" s="72"/>
      <c r="B90" s="74"/>
      <c r="C90" s="74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5"/>
      <c r="O90" s="72"/>
      <c r="P90" s="72"/>
      <c r="Q90" s="72"/>
      <c r="R90" s="75"/>
      <c r="S90" s="336"/>
      <c r="T90" s="337"/>
      <c r="U90" s="337"/>
      <c r="V90" s="337"/>
      <c r="W90" s="72"/>
      <c r="X90" s="72"/>
      <c r="Y90" s="72"/>
      <c r="Z90" s="75"/>
      <c r="AA90" s="72"/>
      <c r="AB90" s="72"/>
      <c r="AC90" s="72"/>
      <c r="AD90" s="72"/>
      <c r="AE90" s="72"/>
      <c r="AF90" s="72"/>
      <c r="AG90" s="72"/>
    </row>
    <row r="91" spans="1:33" s="22" customFormat="1" ht="16.5" hidden="1" customHeight="1">
      <c r="A91" s="72"/>
      <c r="B91" s="74"/>
      <c r="C91" s="385">
        <v>500000</v>
      </c>
      <c r="D91" s="386"/>
      <c r="E91" s="386"/>
      <c r="F91" s="72"/>
      <c r="G91" s="72"/>
      <c r="H91" s="72"/>
      <c r="I91" s="72"/>
      <c r="J91" s="72"/>
      <c r="K91" s="72"/>
      <c r="L91" s="72"/>
      <c r="M91" s="83"/>
      <c r="N91" s="75"/>
      <c r="O91" s="72"/>
      <c r="P91" s="72"/>
      <c r="Q91" s="72"/>
      <c r="R91" s="75"/>
      <c r="S91" s="336"/>
      <c r="T91" s="337"/>
      <c r="U91" s="337"/>
      <c r="V91" s="337"/>
      <c r="W91" s="72"/>
      <c r="X91" s="72"/>
      <c r="Y91" s="72"/>
      <c r="Z91" s="75"/>
      <c r="AA91" s="72"/>
      <c r="AB91" s="72"/>
      <c r="AC91" s="72"/>
      <c r="AD91" s="72"/>
      <c r="AE91" s="72"/>
      <c r="AF91" s="72"/>
      <c r="AG91" s="72"/>
    </row>
    <row r="92" spans="1:33" s="22" customFormat="1" ht="16.5" hidden="1" customHeight="1">
      <c r="A92" s="72"/>
      <c r="B92" s="72"/>
      <c r="C92" s="385">
        <v>1000000</v>
      </c>
      <c r="D92" s="386"/>
      <c r="E92" s="386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5"/>
      <c r="S92" s="72"/>
      <c r="T92" s="72"/>
      <c r="U92" s="72"/>
      <c r="V92" s="72"/>
      <c r="W92" s="72"/>
      <c r="X92" s="72"/>
      <c r="Y92" s="72"/>
      <c r="Z92" s="75"/>
      <c r="AA92" s="72"/>
      <c r="AB92" s="72"/>
      <c r="AC92" s="72"/>
      <c r="AD92" s="72"/>
      <c r="AE92" s="72"/>
      <c r="AF92" s="72"/>
      <c r="AG92" s="72"/>
    </row>
    <row r="93" spans="1:33" s="22" customFormat="1" ht="16.5" hidden="1" customHeight="1">
      <c r="A93" s="72"/>
      <c r="B93" s="72"/>
      <c r="C93" s="74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5"/>
      <c r="S93" s="72"/>
      <c r="T93" s="72"/>
      <c r="U93" s="72"/>
      <c r="V93" s="72"/>
      <c r="W93" s="72"/>
      <c r="X93" s="72"/>
      <c r="Y93" s="72"/>
      <c r="Z93" s="75"/>
      <c r="AA93" s="72"/>
      <c r="AB93" s="72"/>
      <c r="AC93" s="72"/>
      <c r="AD93" s="72"/>
      <c r="AE93" s="72"/>
      <c r="AF93" s="72"/>
      <c r="AG93" s="72"/>
    </row>
    <row r="94" spans="1:33" s="22" customFormat="1" ht="16.5" hidden="1" customHeight="1">
      <c r="A94" s="72"/>
      <c r="B94" s="72"/>
      <c r="C94" s="383">
        <v>0.05</v>
      </c>
      <c r="D94" s="383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5"/>
      <c r="S94" s="72"/>
      <c r="T94" s="72"/>
      <c r="U94" s="72"/>
      <c r="V94" s="72"/>
      <c r="W94" s="72"/>
      <c r="X94" s="72"/>
      <c r="Y94" s="72"/>
      <c r="Z94" s="75"/>
      <c r="AA94" s="72"/>
      <c r="AB94" s="72"/>
      <c r="AC94" s="72"/>
      <c r="AD94" s="72"/>
      <c r="AE94" s="72"/>
      <c r="AF94" s="72"/>
      <c r="AG94" s="72"/>
    </row>
    <row r="95" spans="1:33" s="22" customFormat="1" ht="16.5" hidden="1" customHeight="1">
      <c r="A95" s="72"/>
      <c r="B95" s="72"/>
      <c r="C95" s="383">
        <v>0.2</v>
      </c>
      <c r="D95" s="383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5"/>
      <c r="S95" s="72"/>
      <c r="T95" s="72"/>
      <c r="U95" s="72"/>
      <c r="V95" s="72"/>
      <c r="W95" s="72"/>
      <c r="X95" s="72"/>
      <c r="Y95" s="72"/>
      <c r="Z95" s="75"/>
      <c r="AA95" s="72"/>
      <c r="AB95" s="72"/>
      <c r="AC95" s="72"/>
      <c r="AD95" s="72"/>
      <c r="AE95" s="72"/>
      <c r="AF95" s="72"/>
      <c r="AG95" s="72"/>
    </row>
    <row r="96" spans="1:33" s="22" customFormat="1" ht="16.5" hidden="1" customHeight="1">
      <c r="A96" s="72"/>
      <c r="B96" s="72"/>
      <c r="C96" s="383">
        <v>0.3</v>
      </c>
      <c r="D96" s="383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5"/>
      <c r="S96" s="72"/>
      <c r="T96" s="72"/>
      <c r="U96" s="72"/>
      <c r="V96" s="72"/>
      <c r="W96" s="72"/>
      <c r="X96" s="72"/>
      <c r="Y96" s="72"/>
      <c r="Z96" s="75"/>
      <c r="AA96" s="72"/>
      <c r="AB96" s="72"/>
      <c r="AC96" s="72"/>
      <c r="AD96" s="72"/>
      <c r="AE96" s="72"/>
      <c r="AF96" s="72"/>
      <c r="AG96" s="72"/>
    </row>
    <row r="97" spans="1:33" s="22" customFormat="1" ht="16.5" hidden="1" customHeight="1">
      <c r="A97" s="72"/>
      <c r="B97" s="72"/>
      <c r="C97" s="74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5"/>
      <c r="S97" s="72"/>
      <c r="T97" s="72"/>
      <c r="U97" s="72"/>
      <c r="V97" s="72"/>
      <c r="W97" s="72"/>
      <c r="X97" s="72"/>
      <c r="Y97" s="72"/>
      <c r="Z97" s="75"/>
      <c r="AA97" s="72"/>
      <c r="AB97" s="72"/>
      <c r="AC97" s="72"/>
      <c r="AD97" s="72"/>
      <c r="AE97" s="72"/>
      <c r="AF97" s="72"/>
      <c r="AG97" s="72"/>
    </row>
    <row r="98" spans="1:33" s="22" customFormat="1" ht="16.5" hidden="1" customHeight="1">
      <c r="A98" s="72"/>
      <c r="B98" s="72"/>
      <c r="C98" s="74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5"/>
      <c r="S98" s="72"/>
      <c r="T98" s="72"/>
      <c r="U98" s="72"/>
      <c r="V98" s="72"/>
      <c r="W98" s="72"/>
      <c r="X98" s="72"/>
      <c r="Y98" s="72"/>
      <c r="Z98" s="75"/>
      <c r="AA98" s="72"/>
      <c r="AB98" s="72"/>
      <c r="AC98" s="72"/>
      <c r="AD98" s="72"/>
      <c r="AE98" s="72"/>
      <c r="AF98" s="72"/>
      <c r="AG98" s="72"/>
    </row>
    <row r="99" spans="1:33" s="22" customFormat="1" ht="16.5" hidden="1" customHeight="1">
      <c r="A99" s="72"/>
      <c r="B99" s="72"/>
      <c r="C99" s="77">
        <v>500000</v>
      </c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5"/>
      <c r="S99" s="72"/>
      <c r="T99" s="72"/>
      <c r="U99" s="72"/>
      <c r="V99" s="72"/>
      <c r="W99" s="72"/>
      <c r="X99" s="72"/>
      <c r="Y99" s="72"/>
      <c r="Z99" s="75"/>
      <c r="AA99" s="72"/>
      <c r="AB99" s="72"/>
      <c r="AC99" s="72"/>
      <c r="AD99" s="72"/>
      <c r="AE99" s="72"/>
      <c r="AF99" s="72"/>
      <c r="AG99" s="72"/>
    </row>
    <row r="100" spans="1:33" s="22" customFormat="1" ht="16.5" hidden="1" customHeight="1">
      <c r="A100" s="72"/>
      <c r="B100" s="72"/>
      <c r="C100" s="77">
        <v>12500</v>
      </c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5"/>
      <c r="S100" s="72"/>
      <c r="T100" s="72"/>
      <c r="U100" s="72"/>
      <c r="V100" s="72"/>
      <c r="W100" s="72"/>
      <c r="X100" s="72"/>
      <c r="Y100" s="72"/>
      <c r="Z100" s="75"/>
      <c r="AA100" s="72"/>
      <c r="AB100" s="72"/>
      <c r="AC100" s="72"/>
      <c r="AD100" s="72"/>
      <c r="AE100" s="72"/>
      <c r="AF100" s="72"/>
      <c r="AG100" s="72"/>
    </row>
    <row r="101" spans="1:33" s="22" customFormat="1" ht="16.5" hidden="1" customHeight="1">
      <c r="A101" s="72"/>
      <c r="B101" s="72"/>
      <c r="C101" s="74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5"/>
      <c r="S101" s="72"/>
      <c r="T101" s="72"/>
      <c r="U101" s="72"/>
      <c r="V101" s="72"/>
      <c r="W101" s="72"/>
      <c r="X101" s="72"/>
      <c r="Y101" s="72"/>
      <c r="Z101" s="75"/>
      <c r="AA101" s="72"/>
      <c r="AB101" s="72"/>
      <c r="AC101" s="72"/>
      <c r="AD101" s="72"/>
      <c r="AE101" s="72"/>
      <c r="AF101" s="72"/>
      <c r="AG101" s="72"/>
    </row>
    <row r="102" spans="1:33" s="22" customFormat="1" ht="16.5" hidden="1" customHeight="1">
      <c r="A102" s="72"/>
      <c r="B102" s="72"/>
      <c r="C102" s="84">
        <v>0.04</v>
      </c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5"/>
      <c r="S102" s="72"/>
      <c r="T102" s="72"/>
      <c r="U102" s="72"/>
      <c r="V102" s="72"/>
      <c r="W102" s="72"/>
      <c r="X102" s="72"/>
      <c r="Y102" s="72"/>
      <c r="Z102" s="75"/>
      <c r="AA102" s="72"/>
      <c r="AB102" s="72"/>
      <c r="AC102" s="72"/>
      <c r="AD102" s="72"/>
      <c r="AE102" s="72"/>
      <c r="AF102" s="72"/>
      <c r="AG102" s="72"/>
    </row>
    <row r="103" spans="1:33" s="22" customFormat="1" ht="16.5" hidden="1" customHeight="1">
      <c r="A103" s="72"/>
      <c r="B103" s="72"/>
      <c r="C103" s="74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5"/>
      <c r="S103" s="72"/>
      <c r="T103" s="72"/>
      <c r="U103" s="72"/>
      <c r="V103" s="72"/>
      <c r="W103" s="72"/>
      <c r="X103" s="72"/>
      <c r="Y103" s="72"/>
      <c r="Z103" s="75"/>
      <c r="AA103" s="72"/>
      <c r="AB103" s="72"/>
      <c r="AC103" s="72"/>
      <c r="AD103" s="72"/>
      <c r="AE103" s="72"/>
      <c r="AF103" s="72"/>
      <c r="AG103" s="72"/>
    </row>
    <row r="104" spans="1:33" s="22" customFormat="1" ht="16.5" hidden="1" customHeight="1">
      <c r="A104" s="72"/>
      <c r="B104" s="72"/>
      <c r="C104" s="74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5"/>
      <c r="S104" s="72"/>
      <c r="T104" s="72"/>
      <c r="U104" s="72"/>
      <c r="V104" s="72"/>
      <c r="W104" s="72"/>
      <c r="X104" s="72"/>
      <c r="Y104" s="72"/>
      <c r="Z104" s="75"/>
      <c r="AA104" s="72"/>
      <c r="AB104" s="72"/>
      <c r="AC104" s="72"/>
      <c r="AD104" s="72"/>
      <c r="AE104" s="72"/>
      <c r="AF104" s="72"/>
      <c r="AG104" s="72"/>
    </row>
    <row r="105" spans="1:33" s="22" customFormat="1" ht="16.5" hidden="1" customHeight="1">
      <c r="A105" s="72"/>
      <c r="B105" s="72"/>
      <c r="C105" s="77">
        <v>200000</v>
      </c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5"/>
      <c r="S105" s="72"/>
      <c r="T105" s="72"/>
      <c r="U105" s="72"/>
      <c r="V105" s="72"/>
      <c r="W105" s="72"/>
      <c r="X105" s="72"/>
      <c r="Y105" s="72"/>
      <c r="Z105" s="75"/>
      <c r="AA105" s="72"/>
      <c r="AB105" s="72"/>
      <c r="AC105" s="72"/>
      <c r="AD105" s="72"/>
      <c r="AE105" s="72"/>
      <c r="AF105" s="72"/>
      <c r="AG105" s="72"/>
    </row>
    <row r="106" spans="1:33" s="22" customFormat="1" ht="16.5" hidden="1" customHeight="1">
      <c r="A106" s="72"/>
      <c r="B106" s="72"/>
      <c r="C106" s="74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5"/>
      <c r="S106" s="72"/>
      <c r="T106" s="72"/>
      <c r="U106" s="72"/>
      <c r="V106" s="72"/>
      <c r="W106" s="72"/>
      <c r="X106" s="72"/>
      <c r="Y106" s="72"/>
      <c r="Z106" s="75"/>
      <c r="AA106" s="72"/>
      <c r="AB106" s="72"/>
      <c r="AC106" s="72"/>
      <c r="AD106" s="72"/>
      <c r="AE106" s="72"/>
      <c r="AF106" s="72"/>
      <c r="AG106" s="72"/>
    </row>
    <row r="107" spans="1:33" s="22" customFormat="1" ht="16.5" hidden="1" customHeight="1">
      <c r="A107" s="72"/>
      <c r="B107" s="72"/>
      <c r="C107" s="74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5"/>
      <c r="S107" s="72"/>
      <c r="T107" s="72"/>
      <c r="U107" s="72"/>
      <c r="V107" s="72"/>
      <c r="W107" s="72"/>
      <c r="X107" s="72"/>
      <c r="Y107" s="72"/>
      <c r="Z107" s="75"/>
      <c r="AA107" s="72"/>
      <c r="AB107" s="72"/>
      <c r="AC107" s="72"/>
      <c r="AD107" s="72"/>
      <c r="AE107" s="72"/>
      <c r="AF107" s="72"/>
      <c r="AG107" s="72"/>
    </row>
    <row r="108" spans="1:33" s="22" customFormat="1" ht="16.5" hidden="1" customHeight="1">
      <c r="A108" s="72"/>
      <c r="B108" s="72"/>
      <c r="C108" s="74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5"/>
      <c r="S108" s="72"/>
      <c r="T108" s="72"/>
      <c r="U108" s="72"/>
      <c r="V108" s="72"/>
      <c r="W108" s="72"/>
      <c r="X108" s="72"/>
      <c r="Y108" s="72"/>
      <c r="Z108" s="75"/>
      <c r="AA108" s="72"/>
      <c r="AB108" s="72"/>
      <c r="AC108" s="72"/>
      <c r="AD108" s="72"/>
      <c r="AE108" s="72"/>
      <c r="AF108" s="72"/>
      <c r="AG108" s="72"/>
    </row>
    <row r="109" spans="1:33" s="22" customFormat="1" ht="16.5" hidden="1" customHeight="1">
      <c r="A109" s="72"/>
      <c r="B109" s="72"/>
      <c r="C109" s="74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5"/>
      <c r="S109" s="72"/>
      <c r="T109" s="72"/>
      <c r="U109" s="72"/>
      <c r="V109" s="72"/>
      <c r="W109" s="72"/>
      <c r="X109" s="72"/>
      <c r="Y109" s="72"/>
      <c r="Z109" s="75"/>
      <c r="AA109" s="72"/>
      <c r="AB109" s="72"/>
      <c r="AC109" s="72"/>
      <c r="AD109" s="72"/>
      <c r="AE109" s="72"/>
      <c r="AF109" s="72"/>
      <c r="AG109" s="72"/>
    </row>
    <row r="110" spans="1:33" s="22" customFormat="1" ht="16.5" hidden="1" customHeight="1">
      <c r="A110" s="72"/>
      <c r="B110" s="72"/>
      <c r="C110" s="74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5"/>
      <c r="S110" s="72"/>
      <c r="T110" s="72"/>
      <c r="U110" s="72"/>
      <c r="V110" s="72"/>
      <c r="W110" s="72"/>
      <c r="X110" s="72"/>
      <c r="Y110" s="72"/>
      <c r="Z110" s="75"/>
      <c r="AA110" s="72"/>
      <c r="AB110" s="72"/>
      <c r="AC110" s="72"/>
      <c r="AD110" s="72"/>
      <c r="AE110" s="72"/>
      <c r="AF110" s="72"/>
      <c r="AG110" s="72"/>
    </row>
    <row r="111" spans="1:33" s="22" customFormat="1" ht="16.5" hidden="1" customHeight="1">
      <c r="A111" s="72"/>
      <c r="B111" s="72"/>
      <c r="C111" s="74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5"/>
      <c r="S111" s="72"/>
      <c r="T111" s="72"/>
      <c r="U111" s="72"/>
      <c r="V111" s="72"/>
      <c r="W111" s="72"/>
      <c r="X111" s="72"/>
      <c r="Y111" s="72"/>
      <c r="Z111" s="75"/>
      <c r="AA111" s="72"/>
      <c r="AB111" s="72"/>
      <c r="AC111" s="72"/>
      <c r="AD111" s="72"/>
      <c r="AE111" s="72"/>
      <c r="AF111" s="72"/>
      <c r="AG111" s="72"/>
    </row>
    <row r="112" spans="1:33" s="22" customFormat="1" ht="16.5" hidden="1" customHeight="1">
      <c r="A112" s="72"/>
      <c r="B112" s="72"/>
      <c r="C112" s="74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5"/>
      <c r="S112" s="72"/>
      <c r="T112" s="72"/>
      <c r="U112" s="72"/>
      <c r="V112" s="72"/>
      <c r="W112" s="72"/>
      <c r="X112" s="72"/>
      <c r="Y112" s="72"/>
      <c r="Z112" s="75"/>
      <c r="AA112" s="72"/>
      <c r="AB112" s="72"/>
      <c r="AC112" s="72"/>
      <c r="AD112" s="72"/>
      <c r="AE112" s="72"/>
      <c r="AF112" s="72"/>
      <c r="AG112" s="72"/>
    </row>
    <row r="113" spans="1:33" s="22" customFormat="1" ht="16.5" hidden="1" customHeight="1">
      <c r="A113" s="72"/>
      <c r="B113" s="72"/>
      <c r="C113" s="74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5"/>
      <c r="S113" s="72"/>
      <c r="T113" s="72"/>
      <c r="U113" s="72"/>
      <c r="V113" s="72"/>
      <c r="W113" s="72"/>
      <c r="X113" s="72"/>
      <c r="Y113" s="72"/>
      <c r="Z113" s="75"/>
      <c r="AA113" s="72"/>
      <c r="AB113" s="72"/>
      <c r="AC113" s="72"/>
      <c r="AD113" s="72"/>
      <c r="AE113" s="72"/>
      <c r="AF113" s="72"/>
      <c r="AG113" s="72"/>
    </row>
    <row r="114" spans="1:33" s="22" customFormat="1" ht="16.5" hidden="1" customHeight="1">
      <c r="A114" s="72"/>
      <c r="B114" s="72"/>
      <c r="C114" s="74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5"/>
      <c r="S114" s="72"/>
      <c r="T114" s="72"/>
      <c r="U114" s="72"/>
      <c r="V114" s="72"/>
      <c r="W114" s="72"/>
      <c r="X114" s="72"/>
      <c r="Y114" s="72"/>
      <c r="Z114" s="75"/>
      <c r="AA114" s="72"/>
      <c r="AB114" s="72"/>
      <c r="AC114" s="72"/>
      <c r="AD114" s="72"/>
      <c r="AE114" s="72"/>
      <c r="AF114" s="72"/>
      <c r="AG114" s="72"/>
    </row>
    <row r="115" spans="1:33" s="22" customFormat="1" ht="16.5" hidden="1" customHeight="1">
      <c r="A115" s="72"/>
      <c r="B115" s="72"/>
      <c r="C115" s="74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5"/>
      <c r="S115" s="72"/>
      <c r="T115" s="72"/>
      <c r="U115" s="72"/>
      <c r="V115" s="72"/>
      <c r="W115" s="72"/>
      <c r="X115" s="72"/>
      <c r="Y115" s="72"/>
      <c r="Z115" s="75"/>
      <c r="AA115" s="72"/>
      <c r="AB115" s="72"/>
      <c r="AC115" s="72"/>
      <c r="AD115" s="72"/>
      <c r="AE115" s="72"/>
      <c r="AF115" s="72"/>
      <c r="AG115" s="72"/>
    </row>
    <row r="116" spans="1:33" s="22" customFormat="1" ht="16.5" hidden="1" customHeight="1">
      <c r="A116" s="72"/>
      <c r="B116" s="72"/>
      <c r="C116" s="74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5"/>
      <c r="S116" s="72"/>
      <c r="T116" s="72"/>
      <c r="U116" s="72"/>
      <c r="V116" s="72"/>
      <c r="W116" s="72"/>
      <c r="X116" s="72"/>
      <c r="Y116" s="72"/>
      <c r="Z116" s="75"/>
      <c r="AA116" s="72"/>
      <c r="AB116" s="72"/>
      <c r="AC116" s="72"/>
      <c r="AD116" s="72"/>
      <c r="AE116" s="72"/>
      <c r="AF116" s="72"/>
      <c r="AG116" s="72"/>
    </row>
    <row r="117" spans="1:33" s="22" customFormat="1" ht="16.5" hidden="1" customHeight="1">
      <c r="A117" s="72"/>
      <c r="B117" s="72"/>
      <c r="C117" s="74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5"/>
      <c r="S117" s="72"/>
      <c r="T117" s="72"/>
      <c r="U117" s="72"/>
      <c r="V117" s="72"/>
      <c r="W117" s="72"/>
      <c r="X117" s="72"/>
      <c r="Y117" s="72"/>
      <c r="Z117" s="75"/>
      <c r="AA117" s="72"/>
      <c r="AB117" s="72"/>
      <c r="AC117" s="72"/>
      <c r="AD117" s="72"/>
      <c r="AE117" s="72"/>
      <c r="AF117" s="72"/>
      <c r="AG117" s="72"/>
    </row>
    <row r="118" spans="1:33" s="22" customFormat="1" ht="16.5" hidden="1" customHeight="1">
      <c r="A118" s="72"/>
      <c r="B118" s="72"/>
      <c r="C118" s="74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5"/>
      <c r="S118" s="72"/>
      <c r="T118" s="72"/>
      <c r="U118" s="72"/>
      <c r="V118" s="72"/>
      <c r="W118" s="72"/>
      <c r="X118" s="72"/>
      <c r="Y118" s="72"/>
      <c r="Z118" s="75"/>
      <c r="AA118" s="72"/>
      <c r="AB118" s="72"/>
      <c r="AC118" s="72"/>
      <c r="AD118" s="72"/>
      <c r="AE118" s="72"/>
      <c r="AF118" s="72"/>
      <c r="AG118" s="72"/>
    </row>
    <row r="119" spans="1:33" s="22" customFormat="1" ht="16.5" hidden="1" customHeight="1">
      <c r="A119" s="72"/>
      <c r="B119" s="72"/>
      <c r="C119" s="74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5"/>
      <c r="S119" s="72"/>
      <c r="T119" s="72"/>
      <c r="U119" s="72"/>
      <c r="V119" s="72"/>
      <c r="W119" s="72"/>
      <c r="X119" s="72"/>
      <c r="Y119" s="72"/>
      <c r="Z119" s="75"/>
      <c r="AA119" s="72"/>
      <c r="AB119" s="72"/>
      <c r="AC119" s="72"/>
      <c r="AD119" s="72"/>
      <c r="AE119" s="72"/>
      <c r="AF119" s="72"/>
      <c r="AG119" s="72"/>
    </row>
    <row r="120" spans="1:33" s="22" customFormat="1" ht="16.5" hidden="1" customHeight="1">
      <c r="A120" s="72"/>
      <c r="B120" s="72"/>
      <c r="C120" s="74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5"/>
      <c r="S120" s="72"/>
      <c r="T120" s="72"/>
      <c r="U120" s="72"/>
      <c r="V120" s="72"/>
      <c r="W120" s="72"/>
      <c r="X120" s="72"/>
      <c r="Y120" s="72"/>
      <c r="Z120" s="75"/>
      <c r="AA120" s="72"/>
      <c r="AB120" s="72"/>
      <c r="AC120" s="72"/>
      <c r="AD120" s="72"/>
      <c r="AE120" s="72"/>
      <c r="AF120" s="72"/>
      <c r="AG120" s="72"/>
    </row>
    <row r="121" spans="1:33" s="22" customFormat="1" ht="16.5" hidden="1" customHeight="1">
      <c r="A121" s="72"/>
      <c r="B121" s="72"/>
      <c r="C121" s="74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5"/>
      <c r="S121" s="72"/>
      <c r="T121" s="72"/>
      <c r="U121" s="72"/>
      <c r="V121" s="72"/>
      <c r="W121" s="72"/>
      <c r="X121" s="72"/>
      <c r="Y121" s="72"/>
      <c r="Z121" s="75"/>
      <c r="AA121" s="72"/>
      <c r="AB121" s="72"/>
      <c r="AC121" s="72"/>
      <c r="AD121" s="72"/>
      <c r="AE121" s="72"/>
      <c r="AF121" s="72"/>
      <c r="AG121" s="72"/>
    </row>
    <row r="122" spans="1:33" s="22" customFormat="1" ht="16.5" hidden="1" customHeight="1">
      <c r="A122" s="72"/>
      <c r="B122" s="72"/>
      <c r="C122" s="74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5"/>
      <c r="S122" s="72"/>
      <c r="T122" s="72"/>
      <c r="U122" s="72"/>
      <c r="V122" s="72"/>
      <c r="W122" s="72"/>
      <c r="X122" s="72"/>
      <c r="Y122" s="72"/>
      <c r="Z122" s="75"/>
      <c r="AA122" s="72"/>
      <c r="AB122" s="72"/>
      <c r="AC122" s="72"/>
      <c r="AD122" s="72"/>
      <c r="AE122" s="72"/>
      <c r="AF122" s="72"/>
      <c r="AG122" s="72"/>
    </row>
    <row r="123" spans="1:33" s="22" customFormat="1" ht="16.5" hidden="1" customHeight="1">
      <c r="A123" s="72"/>
      <c r="B123" s="72"/>
      <c r="C123" s="74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5"/>
      <c r="S123" s="72"/>
      <c r="T123" s="72"/>
      <c r="U123" s="72"/>
      <c r="V123" s="72"/>
      <c r="W123" s="72"/>
      <c r="X123" s="72"/>
      <c r="Y123" s="72"/>
      <c r="Z123" s="75"/>
      <c r="AA123" s="72"/>
      <c r="AB123" s="72"/>
      <c r="AC123" s="72"/>
      <c r="AD123" s="72"/>
      <c r="AE123" s="72"/>
      <c r="AF123" s="72"/>
      <c r="AG123" s="72"/>
    </row>
    <row r="124" spans="1:33" s="22" customFormat="1" ht="16.5" hidden="1" customHeight="1">
      <c r="A124" s="72"/>
      <c r="B124" s="72"/>
      <c r="C124" s="74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5"/>
      <c r="S124" s="72"/>
      <c r="T124" s="72"/>
      <c r="U124" s="72"/>
      <c r="V124" s="72"/>
      <c r="W124" s="72"/>
      <c r="X124" s="72"/>
      <c r="Y124" s="72"/>
      <c r="Z124" s="75"/>
      <c r="AA124" s="72"/>
      <c r="AB124" s="72"/>
      <c r="AC124" s="72"/>
      <c r="AD124" s="72"/>
      <c r="AE124" s="72"/>
      <c r="AF124" s="72"/>
      <c r="AG124" s="72"/>
    </row>
    <row r="125" spans="1:33" s="22" customFormat="1" ht="16.5" hidden="1" customHeight="1">
      <c r="A125" s="72"/>
      <c r="B125" s="72"/>
      <c r="C125" s="74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5"/>
      <c r="S125" s="72"/>
      <c r="T125" s="72"/>
      <c r="U125" s="72"/>
      <c r="V125" s="72"/>
      <c r="W125" s="72"/>
      <c r="X125" s="72"/>
      <c r="Y125" s="72"/>
      <c r="Z125" s="75"/>
      <c r="AA125" s="72"/>
      <c r="AB125" s="72"/>
      <c r="AC125" s="72"/>
      <c r="AD125" s="72"/>
      <c r="AE125" s="72"/>
      <c r="AF125" s="72"/>
      <c r="AG125" s="72"/>
    </row>
    <row r="126" spans="1:33" s="22" customFormat="1" ht="16.5" hidden="1" customHeight="1">
      <c r="A126" s="72"/>
      <c r="B126" s="72"/>
      <c r="C126" s="74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5"/>
      <c r="S126" s="72"/>
      <c r="T126" s="72"/>
      <c r="U126" s="72"/>
      <c r="V126" s="72"/>
      <c r="W126" s="72"/>
      <c r="X126" s="72"/>
      <c r="Y126" s="72"/>
      <c r="Z126" s="75"/>
      <c r="AA126" s="72"/>
      <c r="AB126" s="72"/>
      <c r="AC126" s="72"/>
      <c r="AD126" s="72"/>
      <c r="AE126" s="72"/>
      <c r="AF126" s="72"/>
      <c r="AG126" s="72"/>
    </row>
    <row r="127" spans="1:33" s="22" customFormat="1" ht="16.5" hidden="1" customHeight="1">
      <c r="A127" s="72"/>
      <c r="B127" s="72"/>
      <c r="C127" s="74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5"/>
      <c r="S127" s="72"/>
      <c r="T127" s="72"/>
      <c r="U127" s="72"/>
      <c r="V127" s="72"/>
      <c r="W127" s="72"/>
      <c r="X127" s="72"/>
      <c r="Y127" s="72"/>
      <c r="Z127" s="75"/>
      <c r="AA127" s="72"/>
      <c r="AB127" s="72"/>
      <c r="AC127" s="72"/>
      <c r="AD127" s="72"/>
      <c r="AE127" s="72"/>
      <c r="AF127" s="72"/>
      <c r="AG127" s="72"/>
    </row>
    <row r="128" spans="1:33" s="22" customFormat="1" ht="16.5" hidden="1" customHeight="1">
      <c r="A128" s="72"/>
      <c r="B128" s="72"/>
      <c r="C128" s="74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5"/>
      <c r="S128" s="72"/>
      <c r="T128" s="72"/>
      <c r="U128" s="72"/>
      <c r="V128" s="72"/>
      <c r="W128" s="72"/>
      <c r="X128" s="72"/>
      <c r="Y128" s="72"/>
      <c r="Z128" s="75"/>
      <c r="AA128" s="72"/>
      <c r="AB128" s="72"/>
      <c r="AC128" s="72"/>
      <c r="AD128" s="72"/>
      <c r="AE128" s="72"/>
      <c r="AF128" s="72"/>
      <c r="AG128" s="72"/>
    </row>
    <row r="129" spans="1:33" s="22" customFormat="1" ht="16.5" hidden="1" customHeight="1">
      <c r="A129" s="72"/>
      <c r="B129" s="72"/>
      <c r="C129" s="74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5"/>
      <c r="S129" s="72"/>
      <c r="T129" s="72"/>
      <c r="U129" s="72"/>
      <c r="V129" s="72"/>
      <c r="W129" s="72"/>
      <c r="X129" s="72"/>
      <c r="Y129" s="72"/>
      <c r="Z129" s="75"/>
      <c r="AA129" s="72"/>
      <c r="AB129" s="72"/>
      <c r="AC129" s="72"/>
      <c r="AD129" s="72"/>
      <c r="AE129" s="72"/>
      <c r="AF129" s="72"/>
      <c r="AG129" s="72"/>
    </row>
    <row r="130" spans="1:33" s="22" customFormat="1" ht="16.5" hidden="1" customHeight="1">
      <c r="A130" s="72"/>
      <c r="B130" s="72"/>
      <c r="C130" s="74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5"/>
      <c r="S130" s="72"/>
      <c r="T130" s="72"/>
      <c r="U130" s="72"/>
      <c r="V130" s="72"/>
      <c r="W130" s="72"/>
      <c r="X130" s="72"/>
      <c r="Y130" s="72"/>
      <c r="Z130" s="75"/>
      <c r="AA130" s="72"/>
      <c r="AB130" s="72"/>
      <c r="AC130" s="72"/>
      <c r="AD130" s="72"/>
      <c r="AE130" s="72"/>
      <c r="AF130" s="72"/>
      <c r="AG130" s="72"/>
    </row>
    <row r="131" spans="1:33" s="22" customFormat="1" ht="16.5" hidden="1" customHeight="1">
      <c r="A131" s="72"/>
      <c r="B131" s="72"/>
      <c r="C131" s="74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5"/>
      <c r="S131" s="72"/>
      <c r="T131" s="72"/>
      <c r="U131" s="72"/>
      <c r="V131" s="72"/>
      <c r="W131" s="72"/>
      <c r="X131" s="72"/>
      <c r="Y131" s="72"/>
      <c r="Z131" s="75"/>
      <c r="AA131" s="72"/>
      <c r="AB131" s="72"/>
      <c r="AC131" s="72"/>
      <c r="AD131" s="72"/>
      <c r="AE131" s="72"/>
      <c r="AF131" s="72"/>
      <c r="AG131" s="72"/>
    </row>
    <row r="132" spans="1:33" s="22" customFormat="1" ht="16.5" hidden="1" customHeight="1">
      <c r="A132" s="72"/>
      <c r="B132" s="72"/>
      <c r="C132" s="74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5"/>
      <c r="S132" s="72"/>
      <c r="T132" s="72"/>
      <c r="U132" s="72"/>
      <c r="V132" s="72"/>
      <c r="W132" s="72"/>
      <c r="X132" s="72"/>
      <c r="Y132" s="72"/>
      <c r="Z132" s="75"/>
      <c r="AA132" s="72"/>
      <c r="AB132" s="72"/>
      <c r="AC132" s="72"/>
      <c r="AD132" s="72"/>
      <c r="AE132" s="72"/>
      <c r="AF132" s="72"/>
      <c r="AG132" s="72"/>
    </row>
    <row r="133" spans="1:33" s="22" customFormat="1" ht="16.5" hidden="1" customHeight="1">
      <c r="A133" s="72"/>
      <c r="B133" s="72"/>
      <c r="C133" s="74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5"/>
      <c r="S133" s="72"/>
      <c r="T133" s="72"/>
      <c r="U133" s="72"/>
      <c r="V133" s="72"/>
      <c r="W133" s="72"/>
      <c r="X133" s="72"/>
      <c r="Y133" s="72"/>
      <c r="Z133" s="75"/>
      <c r="AA133" s="72"/>
      <c r="AB133" s="72"/>
      <c r="AC133" s="72"/>
      <c r="AD133" s="72"/>
      <c r="AE133" s="72"/>
      <c r="AF133" s="72"/>
      <c r="AG133" s="72"/>
    </row>
    <row r="134" spans="1:33" s="22" customFormat="1" ht="16.5" hidden="1" customHeight="1">
      <c r="A134" s="72"/>
      <c r="B134" s="72"/>
      <c r="C134" s="74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5"/>
      <c r="S134" s="72"/>
      <c r="T134" s="72"/>
      <c r="U134" s="72"/>
      <c r="V134" s="72"/>
      <c r="W134" s="72"/>
      <c r="X134" s="72"/>
      <c r="Y134" s="72"/>
      <c r="Z134" s="75"/>
      <c r="AA134" s="72"/>
      <c r="AB134" s="72"/>
      <c r="AC134" s="72"/>
      <c r="AD134" s="72"/>
      <c r="AE134" s="72"/>
      <c r="AF134" s="72"/>
      <c r="AG134" s="72"/>
    </row>
    <row r="135" spans="1:33" s="22" customFormat="1" ht="16.5" hidden="1" customHeight="1">
      <c r="A135" s="72"/>
      <c r="B135" s="72"/>
      <c r="C135" s="74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5"/>
      <c r="S135" s="72"/>
      <c r="T135" s="72"/>
      <c r="U135" s="72"/>
      <c r="V135" s="72"/>
      <c r="W135" s="72"/>
      <c r="X135" s="72"/>
      <c r="Y135" s="72"/>
      <c r="Z135" s="75"/>
      <c r="AA135" s="72"/>
      <c r="AB135" s="72"/>
      <c r="AC135" s="72"/>
      <c r="AD135" s="72"/>
      <c r="AE135" s="72"/>
      <c r="AF135" s="72"/>
      <c r="AG135" s="72"/>
    </row>
    <row r="136" spans="1:33" s="22" customFormat="1" ht="16.5" hidden="1" customHeight="1">
      <c r="A136" s="72"/>
      <c r="B136" s="72"/>
      <c r="C136" s="74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5"/>
      <c r="S136" s="72"/>
      <c r="T136" s="72"/>
      <c r="U136" s="72"/>
      <c r="V136" s="72"/>
      <c r="W136" s="72"/>
      <c r="X136" s="72"/>
      <c r="Y136" s="72"/>
      <c r="Z136" s="75"/>
      <c r="AA136" s="72"/>
      <c r="AB136" s="72"/>
      <c r="AC136" s="72"/>
      <c r="AD136" s="72"/>
      <c r="AE136" s="72"/>
      <c r="AF136" s="72"/>
      <c r="AG136" s="72"/>
    </row>
    <row r="137" spans="1:33" s="22" customFormat="1" ht="16.5" hidden="1" customHeight="1">
      <c r="A137" s="72"/>
      <c r="B137" s="72"/>
      <c r="C137" s="74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5"/>
      <c r="S137" s="72"/>
      <c r="T137" s="72"/>
      <c r="U137" s="72"/>
      <c r="V137" s="72"/>
      <c r="W137" s="72"/>
      <c r="X137" s="72"/>
      <c r="Y137" s="72"/>
      <c r="Z137" s="75"/>
      <c r="AA137" s="72"/>
      <c r="AB137" s="72"/>
      <c r="AC137" s="72"/>
      <c r="AD137" s="72"/>
      <c r="AE137" s="72"/>
      <c r="AF137" s="72"/>
      <c r="AG137" s="72"/>
    </row>
    <row r="138" spans="1:33" s="22" customFormat="1" ht="16.5" hidden="1" customHeight="1">
      <c r="A138" s="72"/>
      <c r="B138" s="72"/>
      <c r="C138" s="74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5"/>
      <c r="S138" s="72"/>
      <c r="T138" s="72"/>
      <c r="U138" s="72"/>
      <c r="V138" s="72"/>
      <c r="W138" s="72"/>
      <c r="X138" s="72"/>
      <c r="Y138" s="72"/>
      <c r="Z138" s="75"/>
      <c r="AA138" s="72"/>
      <c r="AB138" s="72"/>
      <c r="AC138" s="72"/>
      <c r="AD138" s="72"/>
      <c r="AE138" s="72"/>
      <c r="AF138" s="72"/>
      <c r="AG138" s="72"/>
    </row>
    <row r="139" spans="1:33" s="22" customFormat="1" ht="16.5" hidden="1" customHeight="1">
      <c r="A139" s="72"/>
      <c r="B139" s="72"/>
      <c r="C139" s="74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5"/>
      <c r="S139" s="72"/>
      <c r="T139" s="72"/>
      <c r="U139" s="72"/>
      <c r="V139" s="72"/>
      <c r="W139" s="72"/>
      <c r="X139" s="72"/>
      <c r="Y139" s="72"/>
      <c r="Z139" s="75"/>
      <c r="AA139" s="72"/>
      <c r="AB139" s="72"/>
      <c r="AC139" s="72"/>
      <c r="AD139" s="72"/>
      <c r="AE139" s="72"/>
      <c r="AF139" s="72"/>
      <c r="AG139" s="72"/>
    </row>
    <row r="140" spans="1:33" s="22" customFormat="1" ht="16.5" hidden="1" customHeight="1">
      <c r="A140" s="72"/>
      <c r="B140" s="72"/>
      <c r="C140" s="74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5"/>
      <c r="S140" s="72"/>
      <c r="T140" s="72"/>
      <c r="U140" s="72"/>
      <c r="V140" s="72"/>
      <c r="W140" s="72"/>
      <c r="X140" s="72"/>
      <c r="Y140" s="72"/>
      <c r="Z140" s="75"/>
      <c r="AA140" s="72"/>
      <c r="AB140" s="72"/>
      <c r="AC140" s="72"/>
      <c r="AD140" s="72"/>
      <c r="AE140" s="72"/>
      <c r="AF140" s="72"/>
      <c r="AG140" s="72"/>
    </row>
    <row r="141" spans="1:33" s="22" customFormat="1" ht="16.5" hidden="1" customHeight="1">
      <c r="A141" s="72"/>
      <c r="B141" s="72"/>
      <c r="C141" s="74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5"/>
      <c r="S141" s="72"/>
      <c r="T141" s="72"/>
      <c r="U141" s="72"/>
      <c r="V141" s="72"/>
      <c r="W141" s="72"/>
      <c r="X141" s="72"/>
      <c r="Y141" s="72"/>
      <c r="Z141" s="75"/>
      <c r="AA141" s="72"/>
      <c r="AB141" s="72"/>
      <c r="AC141" s="72"/>
      <c r="AD141" s="72"/>
      <c r="AE141" s="72"/>
      <c r="AF141" s="72"/>
      <c r="AG141" s="72"/>
    </row>
    <row r="142" spans="1:33" s="22" customFormat="1" ht="16.5" hidden="1" customHeight="1">
      <c r="A142" s="72"/>
      <c r="B142" s="72"/>
      <c r="C142" s="74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5"/>
      <c r="S142" s="72"/>
      <c r="T142" s="72"/>
      <c r="U142" s="72"/>
      <c r="V142" s="72"/>
      <c r="W142" s="72"/>
      <c r="X142" s="72"/>
      <c r="Y142" s="72"/>
      <c r="Z142" s="75"/>
      <c r="AA142" s="72"/>
      <c r="AB142" s="72"/>
      <c r="AC142" s="72"/>
      <c r="AD142" s="72"/>
      <c r="AE142" s="72"/>
      <c r="AF142" s="72"/>
      <c r="AG142" s="72"/>
    </row>
    <row r="143" spans="1:33" s="22" customFormat="1" ht="16.5" hidden="1" customHeight="1">
      <c r="A143" s="72"/>
      <c r="B143" s="72"/>
      <c r="C143" s="74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5"/>
      <c r="S143" s="72"/>
      <c r="T143" s="72"/>
      <c r="U143" s="72"/>
      <c r="V143" s="72"/>
      <c r="W143" s="72"/>
      <c r="X143" s="72"/>
      <c r="Y143" s="72"/>
      <c r="Z143" s="75"/>
      <c r="AA143" s="72"/>
      <c r="AB143" s="72"/>
      <c r="AC143" s="72"/>
      <c r="AD143" s="72"/>
      <c r="AE143" s="72"/>
      <c r="AF143" s="72"/>
      <c r="AG143" s="72"/>
    </row>
    <row r="144" spans="1:33" s="22" customFormat="1" ht="16.5" hidden="1" customHeight="1">
      <c r="A144" s="72"/>
      <c r="B144" s="72"/>
      <c r="C144" s="74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5"/>
      <c r="S144" s="72"/>
      <c r="T144" s="72"/>
      <c r="U144" s="72"/>
      <c r="V144" s="72"/>
      <c r="W144" s="72"/>
      <c r="X144" s="72"/>
      <c r="Y144" s="72"/>
      <c r="Z144" s="75"/>
      <c r="AA144" s="72"/>
      <c r="AB144" s="72"/>
      <c r="AC144" s="72"/>
      <c r="AD144" s="72"/>
      <c r="AE144" s="72"/>
      <c r="AF144" s="72"/>
      <c r="AG144" s="72"/>
    </row>
    <row r="145" spans="1:33" s="22" customFormat="1" ht="16.5" hidden="1" customHeight="1">
      <c r="A145" s="72"/>
      <c r="B145" s="72"/>
      <c r="C145" s="74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5"/>
      <c r="S145" s="72"/>
      <c r="T145" s="72"/>
      <c r="U145" s="72"/>
      <c r="V145" s="72"/>
      <c r="W145" s="72"/>
      <c r="X145" s="72"/>
      <c r="Y145" s="72"/>
      <c r="Z145" s="75"/>
      <c r="AA145" s="72"/>
      <c r="AB145" s="72"/>
      <c r="AC145" s="72"/>
      <c r="AD145" s="72"/>
      <c r="AE145" s="72"/>
      <c r="AF145" s="72"/>
      <c r="AG145" s="72"/>
    </row>
    <row r="146" spans="1:33" s="22" customFormat="1" ht="16.5" hidden="1" customHeight="1">
      <c r="A146" s="72"/>
      <c r="B146" s="72"/>
      <c r="C146" s="74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5"/>
      <c r="S146" s="72"/>
      <c r="T146" s="72"/>
      <c r="U146" s="72"/>
      <c r="V146" s="72"/>
      <c r="W146" s="72"/>
      <c r="X146" s="72"/>
      <c r="Y146" s="72"/>
      <c r="Z146" s="75"/>
      <c r="AA146" s="72"/>
      <c r="AB146" s="72"/>
      <c r="AC146" s="72"/>
      <c r="AD146" s="72"/>
      <c r="AE146" s="72"/>
      <c r="AF146" s="72"/>
      <c r="AG146" s="72"/>
    </row>
    <row r="147" spans="1:33" s="22" customFormat="1" ht="16.5" hidden="1" customHeight="1">
      <c r="A147" s="72"/>
      <c r="B147" s="72"/>
      <c r="C147" s="74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5"/>
      <c r="S147" s="72"/>
      <c r="T147" s="72"/>
      <c r="U147" s="72"/>
      <c r="V147" s="72"/>
      <c r="W147" s="72"/>
      <c r="X147" s="72"/>
      <c r="Y147" s="72"/>
      <c r="Z147" s="75"/>
      <c r="AA147" s="72"/>
      <c r="AB147" s="72"/>
      <c r="AC147" s="72"/>
      <c r="AD147" s="72"/>
      <c r="AE147" s="72"/>
      <c r="AF147" s="72"/>
      <c r="AG147" s="72"/>
    </row>
    <row r="148" spans="1:33" s="22" customFormat="1" ht="16.5" hidden="1" customHeight="1">
      <c r="A148" s="72"/>
      <c r="B148" s="72"/>
      <c r="C148" s="74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5"/>
      <c r="S148" s="72"/>
      <c r="T148" s="72"/>
      <c r="U148" s="72"/>
      <c r="V148" s="72"/>
      <c r="W148" s="72"/>
      <c r="X148" s="72"/>
      <c r="Y148" s="72"/>
      <c r="Z148" s="75"/>
      <c r="AA148" s="72"/>
      <c r="AB148" s="72"/>
      <c r="AC148" s="72"/>
      <c r="AD148" s="72"/>
      <c r="AE148" s="72"/>
      <c r="AF148" s="72"/>
      <c r="AG148" s="72"/>
    </row>
    <row r="149" spans="1:33" s="22" customFormat="1" ht="16.5" hidden="1" customHeight="1">
      <c r="A149" s="72"/>
      <c r="B149" s="72"/>
      <c r="C149" s="74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5"/>
      <c r="S149" s="72"/>
      <c r="T149" s="72"/>
      <c r="U149" s="72"/>
      <c r="V149" s="72"/>
      <c r="W149" s="72"/>
      <c r="X149" s="72"/>
      <c r="Y149" s="72"/>
      <c r="Z149" s="75"/>
      <c r="AA149" s="72"/>
      <c r="AB149" s="72"/>
      <c r="AC149" s="72"/>
      <c r="AD149" s="72"/>
      <c r="AE149" s="72"/>
      <c r="AF149" s="72"/>
      <c r="AG149" s="72"/>
    </row>
    <row r="150" spans="1:33" s="22" customFormat="1" ht="16.5" hidden="1" customHeight="1">
      <c r="A150" s="72"/>
      <c r="B150" s="72"/>
      <c r="C150" s="74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5"/>
      <c r="S150" s="72"/>
      <c r="T150" s="72"/>
      <c r="U150" s="72"/>
      <c r="V150" s="72"/>
      <c r="W150" s="72"/>
      <c r="X150" s="72"/>
      <c r="Y150" s="72"/>
      <c r="Z150" s="75"/>
      <c r="AA150" s="72"/>
      <c r="AB150" s="72"/>
      <c r="AC150" s="72"/>
      <c r="AD150" s="72"/>
      <c r="AE150" s="72"/>
      <c r="AF150" s="72"/>
      <c r="AG150" s="72"/>
    </row>
    <row r="151" spans="1:33" s="22" customFormat="1" ht="16.5" hidden="1" customHeight="1">
      <c r="A151" s="72"/>
      <c r="B151" s="72"/>
      <c r="C151" s="74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5"/>
      <c r="S151" s="72"/>
      <c r="T151" s="72"/>
      <c r="U151" s="72"/>
      <c r="V151" s="72"/>
      <c r="W151" s="72"/>
      <c r="X151" s="72"/>
      <c r="Y151" s="72"/>
      <c r="Z151" s="75"/>
      <c r="AA151" s="72"/>
      <c r="AB151" s="72"/>
      <c r="AC151" s="72"/>
      <c r="AD151" s="72"/>
      <c r="AE151" s="72"/>
      <c r="AF151" s="72"/>
      <c r="AG151" s="72"/>
    </row>
    <row r="152" spans="1:33" s="22" customFormat="1" ht="16.5" hidden="1" customHeight="1">
      <c r="A152" s="72"/>
      <c r="B152" s="72"/>
      <c r="C152" s="74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5"/>
      <c r="S152" s="72"/>
      <c r="T152" s="72"/>
      <c r="U152" s="72"/>
      <c r="V152" s="72"/>
      <c r="W152" s="72"/>
      <c r="X152" s="72"/>
      <c r="Y152" s="72"/>
      <c r="Z152" s="75"/>
      <c r="AA152" s="72"/>
      <c r="AB152" s="72"/>
      <c r="AC152" s="72"/>
      <c r="AD152" s="72"/>
      <c r="AE152" s="72"/>
      <c r="AF152" s="72"/>
      <c r="AG152" s="72"/>
    </row>
    <row r="153" spans="1:33" s="22" customFormat="1" ht="16.5" hidden="1" customHeight="1">
      <c r="A153" s="72"/>
      <c r="B153" s="72"/>
      <c r="C153" s="74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5"/>
      <c r="S153" s="72"/>
      <c r="T153" s="72"/>
      <c r="U153" s="72"/>
      <c r="V153" s="72"/>
      <c r="W153" s="72"/>
      <c r="X153" s="72"/>
      <c r="Y153" s="72"/>
      <c r="Z153" s="75"/>
      <c r="AA153" s="72"/>
      <c r="AB153" s="72"/>
      <c r="AC153" s="72"/>
      <c r="AD153" s="72"/>
      <c r="AE153" s="72"/>
      <c r="AF153" s="72"/>
      <c r="AG153" s="72"/>
    </row>
    <row r="154" spans="1:33" s="22" customFormat="1" ht="16.5" hidden="1" customHeight="1">
      <c r="A154" s="72"/>
      <c r="B154" s="72"/>
      <c r="C154" s="74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5"/>
      <c r="S154" s="72"/>
      <c r="T154" s="72"/>
      <c r="U154" s="72"/>
      <c r="V154" s="72"/>
      <c r="W154" s="72"/>
      <c r="X154" s="72"/>
      <c r="Y154" s="72"/>
      <c r="Z154" s="75"/>
      <c r="AA154" s="72"/>
      <c r="AB154" s="72"/>
      <c r="AC154" s="72"/>
      <c r="AD154" s="72"/>
      <c r="AE154" s="72"/>
      <c r="AF154" s="72"/>
      <c r="AG154" s="72"/>
    </row>
    <row r="155" spans="1:33" s="22" customFormat="1" ht="16.5" hidden="1" customHeight="1">
      <c r="A155" s="72"/>
      <c r="B155" s="72"/>
      <c r="C155" s="74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5"/>
      <c r="S155" s="72"/>
      <c r="T155" s="72"/>
      <c r="U155" s="72"/>
      <c r="V155" s="72"/>
      <c r="W155" s="72"/>
      <c r="X155" s="72"/>
      <c r="Y155" s="72"/>
      <c r="Z155" s="75"/>
      <c r="AA155" s="72"/>
      <c r="AB155" s="72"/>
      <c r="AC155" s="72"/>
      <c r="AD155" s="72"/>
      <c r="AE155" s="72"/>
      <c r="AF155" s="72"/>
      <c r="AG155" s="72"/>
    </row>
    <row r="156" spans="1:33" s="22" customFormat="1" ht="16.5" hidden="1" customHeight="1">
      <c r="A156" s="72"/>
      <c r="B156" s="72"/>
      <c r="C156" s="74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5"/>
      <c r="S156" s="72"/>
      <c r="T156" s="72"/>
      <c r="U156" s="72"/>
      <c r="V156" s="72"/>
      <c r="W156" s="72"/>
      <c r="X156" s="72"/>
      <c r="Y156" s="72"/>
      <c r="Z156" s="75"/>
      <c r="AA156" s="72"/>
      <c r="AB156" s="72"/>
      <c r="AC156" s="72"/>
      <c r="AD156" s="72"/>
      <c r="AE156" s="72"/>
      <c r="AF156" s="72"/>
      <c r="AG156" s="72"/>
    </row>
    <row r="157" spans="1:33" s="22" customFormat="1" ht="16.5" hidden="1" customHeight="1">
      <c r="A157" s="72"/>
      <c r="B157" s="72"/>
      <c r="C157" s="74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5"/>
      <c r="S157" s="72"/>
      <c r="T157" s="72"/>
      <c r="U157" s="72"/>
      <c r="V157" s="72"/>
      <c r="W157" s="72"/>
      <c r="X157" s="72"/>
      <c r="Y157" s="72"/>
      <c r="Z157" s="75"/>
      <c r="AA157" s="72"/>
      <c r="AB157" s="72"/>
      <c r="AC157" s="72"/>
      <c r="AD157" s="72"/>
      <c r="AE157" s="72"/>
      <c r="AF157" s="72"/>
      <c r="AG157" s="72"/>
    </row>
    <row r="158" spans="1:33" s="22" customFormat="1" ht="16.5" hidden="1" customHeight="1">
      <c r="A158" s="72"/>
      <c r="B158" s="72"/>
      <c r="C158" s="74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5"/>
      <c r="S158" s="72"/>
      <c r="T158" s="72"/>
      <c r="U158" s="72"/>
      <c r="V158" s="72"/>
      <c r="W158" s="72"/>
      <c r="X158" s="72"/>
      <c r="Y158" s="72"/>
      <c r="Z158" s="75"/>
      <c r="AA158" s="72"/>
      <c r="AB158" s="72"/>
      <c r="AC158" s="72"/>
      <c r="AD158" s="72"/>
      <c r="AE158" s="72"/>
      <c r="AF158" s="72"/>
      <c r="AG158" s="72"/>
    </row>
    <row r="159" spans="1:33" s="22" customFormat="1" ht="16.5" hidden="1" customHeight="1">
      <c r="A159" s="72"/>
      <c r="B159" s="72"/>
      <c r="C159" s="74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5"/>
      <c r="S159" s="72"/>
      <c r="T159" s="72"/>
      <c r="U159" s="72"/>
      <c r="V159" s="72"/>
      <c r="W159" s="72"/>
      <c r="X159" s="72"/>
      <c r="Y159" s="72"/>
      <c r="Z159" s="75"/>
      <c r="AA159" s="72"/>
      <c r="AB159" s="72"/>
      <c r="AC159" s="72"/>
      <c r="AD159" s="72"/>
      <c r="AE159" s="72"/>
      <c r="AF159" s="72"/>
      <c r="AG159" s="72"/>
    </row>
    <row r="160" spans="1:33" s="22" customFormat="1" ht="16.5" hidden="1" customHeight="1">
      <c r="A160" s="72"/>
      <c r="B160" s="72"/>
      <c r="C160" s="74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5"/>
      <c r="S160" s="72"/>
      <c r="T160" s="72"/>
      <c r="U160" s="72"/>
      <c r="V160" s="72"/>
      <c r="W160" s="72"/>
      <c r="X160" s="72"/>
      <c r="Y160" s="72"/>
      <c r="Z160" s="75"/>
      <c r="AA160" s="72"/>
      <c r="AB160" s="72"/>
      <c r="AC160" s="72"/>
      <c r="AD160" s="72"/>
      <c r="AE160" s="72"/>
      <c r="AF160" s="72"/>
      <c r="AG160" s="72"/>
    </row>
    <row r="161" spans="1:33" s="22" customFormat="1" ht="16.5" hidden="1" customHeight="1">
      <c r="A161" s="72"/>
      <c r="B161" s="72"/>
      <c r="C161" s="74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5"/>
      <c r="S161" s="72"/>
      <c r="T161" s="72"/>
      <c r="U161" s="72"/>
      <c r="V161" s="72"/>
      <c r="W161" s="72"/>
      <c r="X161" s="72"/>
      <c r="Y161" s="72"/>
      <c r="Z161" s="75"/>
      <c r="AA161" s="72"/>
      <c r="AB161" s="72"/>
      <c r="AC161" s="72"/>
      <c r="AD161" s="72"/>
      <c r="AE161" s="72"/>
      <c r="AF161" s="72"/>
      <c r="AG161" s="72"/>
    </row>
    <row r="162" spans="1:33" s="22" customFormat="1" ht="16.5" hidden="1" customHeight="1">
      <c r="A162" s="72"/>
      <c r="B162" s="72"/>
      <c r="C162" s="74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5"/>
      <c r="S162" s="72"/>
      <c r="T162" s="72"/>
      <c r="U162" s="72"/>
      <c r="V162" s="72"/>
      <c r="W162" s="72"/>
      <c r="X162" s="72"/>
      <c r="Y162" s="72"/>
      <c r="Z162" s="75"/>
      <c r="AA162" s="72"/>
      <c r="AB162" s="72"/>
      <c r="AC162" s="72"/>
      <c r="AD162" s="72"/>
      <c r="AE162" s="72"/>
      <c r="AF162" s="72"/>
      <c r="AG162" s="72"/>
    </row>
    <row r="163" spans="1:33" s="22" customFormat="1" ht="16.5" hidden="1" customHeight="1">
      <c r="A163" s="72"/>
      <c r="B163" s="72"/>
      <c r="C163" s="74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5"/>
      <c r="S163" s="72"/>
      <c r="T163" s="72"/>
      <c r="U163" s="72"/>
      <c r="V163" s="72"/>
      <c r="W163" s="72"/>
      <c r="X163" s="72"/>
      <c r="Y163" s="72"/>
      <c r="Z163" s="75"/>
      <c r="AA163" s="72"/>
      <c r="AB163" s="72"/>
      <c r="AC163" s="72"/>
      <c r="AD163" s="72"/>
      <c r="AE163" s="72"/>
      <c r="AF163" s="72"/>
      <c r="AG163" s="72"/>
    </row>
    <row r="164" spans="1:33" s="22" customFormat="1" ht="16.5" hidden="1" customHeight="1">
      <c r="A164" s="72"/>
      <c r="B164" s="72"/>
      <c r="C164" s="74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5"/>
      <c r="S164" s="72"/>
      <c r="T164" s="72"/>
      <c r="U164" s="72"/>
      <c r="V164" s="72"/>
      <c r="W164" s="72"/>
      <c r="X164" s="72"/>
      <c r="Y164" s="72"/>
      <c r="Z164" s="75"/>
      <c r="AA164" s="72"/>
      <c r="AB164" s="72"/>
      <c r="AC164" s="72"/>
      <c r="AD164" s="72"/>
      <c r="AE164" s="72"/>
      <c r="AF164" s="72"/>
      <c r="AG164" s="72"/>
    </row>
    <row r="165" spans="1:33" s="22" customFormat="1" ht="16.5" hidden="1" customHeight="1">
      <c r="A165" s="72"/>
      <c r="B165" s="72"/>
      <c r="C165" s="74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5"/>
      <c r="S165" s="72"/>
      <c r="T165" s="72"/>
      <c r="U165" s="72"/>
      <c r="V165" s="72"/>
      <c r="W165" s="72"/>
      <c r="X165" s="72"/>
      <c r="Y165" s="72"/>
      <c r="Z165" s="75"/>
      <c r="AA165" s="72"/>
      <c r="AB165" s="72"/>
      <c r="AC165" s="72"/>
      <c r="AD165" s="72"/>
      <c r="AE165" s="72"/>
      <c r="AF165" s="72"/>
      <c r="AG165" s="72"/>
    </row>
    <row r="166" spans="1:33" s="22" customFormat="1" ht="16.5" hidden="1" customHeight="1">
      <c r="A166" s="72"/>
      <c r="B166" s="72"/>
      <c r="C166" s="74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5"/>
      <c r="S166" s="72"/>
      <c r="T166" s="72"/>
      <c r="U166" s="72"/>
      <c r="V166" s="72"/>
      <c r="W166" s="72"/>
      <c r="X166" s="72"/>
      <c r="Y166" s="72"/>
      <c r="Z166" s="75"/>
      <c r="AA166" s="72"/>
      <c r="AB166" s="72"/>
      <c r="AC166" s="72"/>
      <c r="AD166" s="72"/>
      <c r="AE166" s="72"/>
      <c r="AF166" s="72"/>
      <c r="AG166" s="72"/>
    </row>
    <row r="167" spans="1:33" s="22" customFormat="1" ht="16.5" hidden="1" customHeight="1">
      <c r="A167" s="72"/>
      <c r="B167" s="72"/>
      <c r="C167" s="74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5"/>
      <c r="S167" s="72"/>
      <c r="T167" s="72"/>
      <c r="U167" s="72"/>
      <c r="V167" s="72"/>
      <c r="W167" s="72"/>
      <c r="X167" s="72"/>
      <c r="Y167" s="72"/>
      <c r="Z167" s="75"/>
      <c r="AA167" s="72"/>
      <c r="AB167" s="72"/>
      <c r="AC167" s="72"/>
      <c r="AD167" s="72"/>
      <c r="AE167" s="72"/>
      <c r="AF167" s="72"/>
      <c r="AG167" s="72"/>
    </row>
    <row r="168" spans="1:33" s="22" customFormat="1" ht="16.5" hidden="1" customHeight="1">
      <c r="A168" s="72"/>
      <c r="B168" s="72"/>
      <c r="C168" s="74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5"/>
      <c r="S168" s="72"/>
      <c r="T168" s="72"/>
      <c r="U168" s="72"/>
      <c r="V168" s="72"/>
      <c r="W168" s="72"/>
      <c r="X168" s="72"/>
      <c r="Y168" s="72"/>
      <c r="Z168" s="75"/>
      <c r="AA168" s="72"/>
      <c r="AB168" s="72"/>
      <c r="AC168" s="72"/>
      <c r="AD168" s="72"/>
      <c r="AE168" s="72"/>
      <c r="AF168" s="72"/>
      <c r="AG168" s="72"/>
    </row>
    <row r="169" spans="1:33" s="22" customFormat="1" ht="16.5" hidden="1" customHeight="1">
      <c r="A169" s="72"/>
      <c r="B169" s="72"/>
      <c r="C169" s="74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5"/>
      <c r="S169" s="72"/>
      <c r="T169" s="72"/>
      <c r="U169" s="72"/>
      <c r="V169" s="72"/>
      <c r="W169" s="72"/>
      <c r="X169" s="72"/>
      <c r="Y169" s="72"/>
      <c r="Z169" s="75"/>
      <c r="AA169" s="72"/>
      <c r="AB169" s="72"/>
      <c r="AC169" s="72"/>
      <c r="AD169" s="72"/>
      <c r="AE169" s="72"/>
      <c r="AF169" s="72"/>
      <c r="AG169" s="72"/>
    </row>
    <row r="170" spans="1:33" s="22" customFormat="1" ht="16.5" hidden="1" customHeight="1">
      <c r="A170" s="72"/>
      <c r="B170" s="72"/>
      <c r="C170" s="74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5"/>
      <c r="S170" s="72"/>
      <c r="T170" s="72"/>
      <c r="U170" s="72"/>
      <c r="V170" s="72"/>
      <c r="W170" s="72"/>
      <c r="X170" s="72"/>
      <c r="Y170" s="72"/>
      <c r="Z170" s="75"/>
      <c r="AA170" s="72"/>
      <c r="AB170" s="72"/>
      <c r="AC170" s="72"/>
      <c r="AD170" s="72"/>
      <c r="AE170" s="72"/>
      <c r="AF170" s="72"/>
      <c r="AG170" s="72"/>
    </row>
    <row r="171" spans="1:33" s="22" customFormat="1" ht="16.5" hidden="1" customHeight="1">
      <c r="A171" s="72"/>
      <c r="B171" s="72"/>
      <c r="C171" s="74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5"/>
      <c r="S171" s="72"/>
      <c r="T171" s="72"/>
      <c r="U171" s="72"/>
      <c r="V171" s="72"/>
      <c r="W171" s="72"/>
      <c r="X171" s="72"/>
      <c r="Y171" s="72"/>
      <c r="Z171" s="75"/>
      <c r="AA171" s="72"/>
      <c r="AB171" s="72"/>
      <c r="AC171" s="72"/>
      <c r="AD171" s="72"/>
      <c r="AE171" s="72"/>
      <c r="AF171" s="72"/>
      <c r="AG171" s="72"/>
    </row>
    <row r="172" spans="1:33" s="22" customFormat="1" ht="16.5" hidden="1" customHeight="1">
      <c r="A172" s="72"/>
      <c r="B172" s="72"/>
      <c r="C172" s="74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5"/>
      <c r="S172" s="72"/>
      <c r="T172" s="72"/>
      <c r="U172" s="72"/>
      <c r="V172" s="72"/>
      <c r="W172" s="72"/>
      <c r="X172" s="72"/>
      <c r="Y172" s="72"/>
      <c r="Z172" s="75"/>
      <c r="AA172" s="72"/>
      <c r="AB172" s="72"/>
      <c r="AC172" s="72"/>
      <c r="AD172" s="72"/>
      <c r="AE172" s="72"/>
      <c r="AF172" s="72"/>
      <c r="AG172" s="72"/>
    </row>
    <row r="173" spans="1:33" s="22" customFormat="1" ht="16.5" hidden="1" customHeight="1">
      <c r="A173" s="72"/>
      <c r="B173" s="72"/>
      <c r="C173" s="74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5"/>
      <c r="S173" s="72"/>
      <c r="T173" s="72"/>
      <c r="U173" s="72"/>
      <c r="V173" s="72"/>
      <c r="W173" s="72"/>
      <c r="X173" s="72"/>
      <c r="Y173" s="72"/>
      <c r="Z173" s="75"/>
      <c r="AA173" s="72"/>
      <c r="AB173" s="72"/>
      <c r="AC173" s="72"/>
      <c r="AD173" s="72"/>
      <c r="AE173" s="72"/>
      <c r="AF173" s="72"/>
      <c r="AG173" s="72"/>
    </row>
    <row r="174" spans="1:33" s="22" customFormat="1" ht="16.5" hidden="1" customHeight="1">
      <c r="A174" s="72"/>
      <c r="B174" s="72"/>
      <c r="C174" s="74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5"/>
      <c r="S174" s="72"/>
      <c r="T174" s="72"/>
      <c r="U174" s="72"/>
      <c r="V174" s="72"/>
      <c r="W174" s="72"/>
      <c r="X174" s="72"/>
      <c r="Y174" s="72"/>
      <c r="Z174" s="75"/>
      <c r="AA174" s="72"/>
      <c r="AB174" s="72"/>
      <c r="AC174" s="72"/>
      <c r="AD174" s="72"/>
      <c r="AE174" s="72"/>
      <c r="AF174" s="72"/>
      <c r="AG174" s="72"/>
    </row>
    <row r="175" spans="1:33" s="22" customFormat="1" ht="16.5" hidden="1" customHeight="1">
      <c r="A175" s="72"/>
      <c r="B175" s="72"/>
      <c r="C175" s="74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5"/>
      <c r="S175" s="72"/>
      <c r="T175" s="72"/>
      <c r="U175" s="72"/>
      <c r="V175" s="72"/>
      <c r="W175" s="72"/>
      <c r="X175" s="72"/>
      <c r="Y175" s="72"/>
      <c r="Z175" s="75"/>
      <c r="AA175" s="72"/>
      <c r="AB175" s="72"/>
      <c r="AC175" s="72"/>
      <c r="AD175" s="72"/>
      <c r="AE175" s="72"/>
      <c r="AF175" s="72"/>
      <c r="AG175" s="72"/>
    </row>
    <row r="176" spans="1:33" s="22" customFormat="1" ht="16.5" hidden="1" customHeight="1">
      <c r="A176" s="72"/>
      <c r="B176" s="72"/>
      <c r="C176" s="74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5"/>
      <c r="S176" s="72"/>
      <c r="T176" s="72"/>
      <c r="U176" s="72"/>
      <c r="V176" s="72"/>
      <c r="W176" s="72"/>
      <c r="X176" s="72"/>
      <c r="Y176" s="72"/>
      <c r="Z176" s="75"/>
      <c r="AA176" s="72"/>
      <c r="AB176" s="72"/>
      <c r="AC176" s="72"/>
      <c r="AD176" s="72"/>
      <c r="AE176" s="72"/>
      <c r="AF176" s="72"/>
      <c r="AG176" s="72"/>
    </row>
    <row r="177" spans="1:33" s="22" customFormat="1" ht="16.5" hidden="1" customHeight="1">
      <c r="A177" s="72"/>
      <c r="B177" s="72"/>
      <c r="C177" s="74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5"/>
      <c r="S177" s="72"/>
      <c r="T177" s="72"/>
      <c r="U177" s="72"/>
      <c r="V177" s="72"/>
      <c r="W177" s="72"/>
      <c r="X177" s="72"/>
      <c r="Y177" s="72"/>
      <c r="Z177" s="75"/>
      <c r="AA177" s="72"/>
      <c r="AB177" s="72"/>
      <c r="AC177" s="72"/>
      <c r="AD177" s="72"/>
      <c r="AE177" s="72"/>
      <c r="AF177" s="72"/>
      <c r="AG177" s="72"/>
    </row>
    <row r="178" spans="1:33" s="22" customFormat="1" ht="16.5" hidden="1" customHeight="1">
      <c r="A178" s="72"/>
      <c r="B178" s="72"/>
      <c r="C178" s="74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5"/>
      <c r="S178" s="72"/>
      <c r="T178" s="72"/>
      <c r="U178" s="72"/>
      <c r="V178" s="72"/>
      <c r="W178" s="72"/>
      <c r="X178" s="72"/>
      <c r="Y178" s="72"/>
      <c r="Z178" s="75"/>
      <c r="AA178" s="72"/>
      <c r="AB178" s="72"/>
      <c r="AC178" s="72"/>
      <c r="AD178" s="72"/>
      <c r="AE178" s="72"/>
      <c r="AF178" s="72"/>
      <c r="AG178" s="72"/>
    </row>
    <row r="179" spans="1:33" s="22" customFormat="1" ht="16.5" hidden="1" customHeight="1">
      <c r="A179" s="72"/>
      <c r="B179" s="72"/>
      <c r="C179" s="74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5"/>
      <c r="S179" s="72"/>
      <c r="T179" s="72"/>
      <c r="U179" s="72"/>
      <c r="V179" s="72"/>
      <c r="W179" s="72"/>
      <c r="X179" s="72"/>
      <c r="Y179" s="72"/>
      <c r="Z179" s="75"/>
      <c r="AA179" s="72"/>
      <c r="AB179" s="72"/>
      <c r="AC179" s="72"/>
      <c r="AD179" s="72"/>
      <c r="AE179" s="72"/>
      <c r="AF179" s="72"/>
      <c r="AG179" s="72"/>
    </row>
    <row r="180" spans="1:33" s="22" customFormat="1" ht="16.5" hidden="1" customHeight="1">
      <c r="A180" s="72"/>
      <c r="B180" s="72"/>
      <c r="C180" s="74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5"/>
      <c r="S180" s="72"/>
      <c r="T180" s="72"/>
      <c r="U180" s="72"/>
      <c r="V180" s="72"/>
      <c r="W180" s="72"/>
      <c r="X180" s="72"/>
      <c r="Y180" s="72"/>
      <c r="Z180" s="75"/>
      <c r="AA180" s="72"/>
      <c r="AB180" s="72"/>
      <c r="AC180" s="72"/>
      <c r="AD180" s="72"/>
      <c r="AE180" s="72"/>
      <c r="AF180" s="72"/>
      <c r="AG180" s="72"/>
    </row>
    <row r="181" spans="1:33" s="22" customFormat="1" ht="16.5" hidden="1" customHeight="1">
      <c r="A181" s="72"/>
      <c r="B181" s="72"/>
      <c r="C181" s="74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5"/>
      <c r="S181" s="72"/>
      <c r="T181" s="72"/>
      <c r="U181" s="72"/>
      <c r="V181" s="72"/>
      <c r="W181" s="72"/>
      <c r="X181" s="72"/>
      <c r="Y181" s="72"/>
      <c r="Z181" s="75"/>
      <c r="AA181" s="72"/>
      <c r="AB181" s="72"/>
      <c r="AC181" s="72"/>
      <c r="AD181" s="72"/>
      <c r="AE181" s="72"/>
      <c r="AF181" s="72"/>
      <c r="AG181" s="72"/>
    </row>
    <row r="182" spans="1:33" s="22" customFormat="1" ht="16.5" hidden="1" customHeight="1">
      <c r="A182" s="72"/>
      <c r="B182" s="72"/>
      <c r="C182" s="74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5"/>
      <c r="S182" s="72"/>
      <c r="T182" s="72"/>
      <c r="U182" s="72"/>
      <c r="V182" s="72"/>
      <c r="W182" s="72"/>
      <c r="X182" s="72"/>
      <c r="Y182" s="72"/>
      <c r="Z182" s="75"/>
      <c r="AA182" s="72"/>
      <c r="AB182" s="72"/>
      <c r="AC182" s="72"/>
      <c r="AD182" s="72"/>
      <c r="AE182" s="72"/>
      <c r="AF182" s="72"/>
      <c r="AG182" s="72"/>
    </row>
    <row r="183" spans="1:33" s="22" customFormat="1" ht="16.5" hidden="1" customHeight="1">
      <c r="A183" s="72"/>
      <c r="B183" s="72"/>
      <c r="C183" s="74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5"/>
      <c r="S183" s="72"/>
      <c r="T183" s="72"/>
      <c r="U183" s="72"/>
      <c r="V183" s="72"/>
      <c r="W183" s="72"/>
      <c r="X183" s="72"/>
      <c r="Y183" s="72"/>
      <c r="Z183" s="75"/>
      <c r="AA183" s="72"/>
      <c r="AB183" s="72"/>
      <c r="AC183" s="72"/>
      <c r="AD183" s="72"/>
      <c r="AE183" s="72"/>
      <c r="AF183" s="72"/>
      <c r="AG183" s="72"/>
    </row>
    <row r="184" spans="1:33" s="22" customFormat="1" ht="16.5" hidden="1" customHeight="1">
      <c r="A184" s="72"/>
      <c r="B184" s="72"/>
      <c r="C184" s="74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5"/>
      <c r="S184" s="72"/>
      <c r="T184" s="72"/>
      <c r="U184" s="72"/>
      <c r="V184" s="72"/>
      <c r="W184" s="72"/>
      <c r="X184" s="72"/>
      <c r="Y184" s="72"/>
      <c r="Z184" s="75"/>
      <c r="AA184" s="72"/>
      <c r="AB184" s="72"/>
      <c r="AC184" s="72"/>
      <c r="AD184" s="72"/>
      <c r="AE184" s="72"/>
      <c r="AF184" s="72"/>
      <c r="AG184" s="72"/>
    </row>
    <row r="185" spans="1:33" s="22" customFormat="1" ht="16.5" hidden="1" customHeight="1">
      <c r="A185" s="72"/>
      <c r="B185" s="72"/>
      <c r="C185" s="74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5"/>
      <c r="S185" s="72"/>
      <c r="T185" s="72"/>
      <c r="U185" s="72"/>
      <c r="V185" s="72"/>
      <c r="W185" s="72"/>
      <c r="X185" s="72"/>
      <c r="Y185" s="72"/>
      <c r="Z185" s="75"/>
      <c r="AA185" s="72"/>
      <c r="AB185" s="72"/>
      <c r="AC185" s="72"/>
      <c r="AD185" s="72"/>
      <c r="AE185" s="72"/>
      <c r="AF185" s="72"/>
      <c r="AG185" s="72"/>
    </row>
    <row r="186" spans="1:33" s="22" customFormat="1" ht="16.5" hidden="1" customHeight="1">
      <c r="A186" s="72"/>
      <c r="B186" s="72"/>
      <c r="C186" s="74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5"/>
      <c r="S186" s="72"/>
      <c r="T186" s="72"/>
      <c r="U186" s="72"/>
      <c r="V186" s="72"/>
      <c r="W186" s="72"/>
      <c r="X186" s="72"/>
      <c r="Y186" s="72"/>
      <c r="Z186" s="75"/>
      <c r="AA186" s="72"/>
      <c r="AB186" s="72"/>
      <c r="AC186" s="72"/>
      <c r="AD186" s="72"/>
      <c r="AE186" s="72"/>
      <c r="AF186" s="72"/>
      <c r="AG186" s="72"/>
    </row>
    <row r="187" spans="1:33" s="22" customFormat="1" ht="16.5" hidden="1" customHeight="1">
      <c r="A187" s="72"/>
      <c r="B187" s="72"/>
      <c r="C187" s="74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5"/>
      <c r="S187" s="72"/>
      <c r="T187" s="72"/>
      <c r="U187" s="72"/>
      <c r="V187" s="72"/>
      <c r="W187" s="72"/>
      <c r="X187" s="72"/>
      <c r="Y187" s="72"/>
      <c r="Z187" s="75"/>
      <c r="AA187" s="72"/>
      <c r="AB187" s="72"/>
      <c r="AC187" s="72"/>
      <c r="AD187" s="72"/>
      <c r="AE187" s="72"/>
      <c r="AF187" s="72"/>
      <c r="AG187" s="72"/>
    </row>
    <row r="188" spans="1:33" s="22" customFormat="1" ht="16.5" hidden="1" customHeight="1">
      <c r="A188" s="72"/>
      <c r="B188" s="72"/>
      <c r="C188" s="74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5"/>
      <c r="S188" s="72"/>
      <c r="T188" s="72"/>
      <c r="U188" s="72"/>
      <c r="V188" s="72"/>
      <c r="W188" s="72"/>
      <c r="X188" s="72"/>
      <c r="Y188" s="72"/>
      <c r="Z188" s="75"/>
      <c r="AA188" s="72"/>
      <c r="AB188" s="72"/>
      <c r="AC188" s="72"/>
      <c r="AD188" s="72"/>
      <c r="AE188" s="72"/>
      <c r="AF188" s="72"/>
      <c r="AG188" s="72"/>
    </row>
    <row r="189" spans="1:33" s="22" customFormat="1" ht="16.5" hidden="1" customHeight="1">
      <c r="A189" s="72"/>
      <c r="B189" s="72"/>
      <c r="C189" s="74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5"/>
      <c r="S189" s="72"/>
      <c r="T189" s="72"/>
      <c r="U189" s="72"/>
      <c r="V189" s="72"/>
      <c r="W189" s="72"/>
      <c r="X189" s="72"/>
      <c r="Y189" s="72"/>
      <c r="Z189" s="75"/>
      <c r="AA189" s="72"/>
      <c r="AB189" s="72"/>
      <c r="AC189" s="72"/>
      <c r="AD189" s="72"/>
      <c r="AE189" s="72"/>
      <c r="AF189" s="72"/>
      <c r="AG189" s="72"/>
    </row>
    <row r="190" spans="1:33" s="22" customFormat="1" ht="16.5" hidden="1" customHeight="1">
      <c r="A190" s="72"/>
      <c r="B190" s="72"/>
      <c r="C190" s="74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5"/>
      <c r="S190" s="72"/>
      <c r="T190" s="72"/>
      <c r="U190" s="72"/>
      <c r="V190" s="72"/>
      <c r="W190" s="72"/>
      <c r="X190" s="72"/>
      <c r="Y190" s="72"/>
      <c r="Z190" s="75"/>
      <c r="AA190" s="72"/>
      <c r="AB190" s="72"/>
      <c r="AC190" s="72"/>
      <c r="AD190" s="72"/>
      <c r="AE190" s="72"/>
      <c r="AF190" s="72"/>
      <c r="AG190" s="72"/>
    </row>
    <row r="191" spans="1:33" s="22" customFormat="1" ht="16.5" hidden="1" customHeight="1">
      <c r="A191" s="72"/>
      <c r="B191" s="72"/>
      <c r="C191" s="74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5"/>
      <c r="S191" s="72"/>
      <c r="T191" s="72"/>
      <c r="U191" s="72"/>
      <c r="V191" s="72"/>
      <c r="W191" s="72"/>
      <c r="X191" s="72"/>
      <c r="Y191" s="72"/>
      <c r="Z191" s="75"/>
      <c r="AA191" s="72"/>
      <c r="AB191" s="72"/>
      <c r="AC191" s="72"/>
      <c r="AD191" s="72"/>
      <c r="AE191" s="72"/>
      <c r="AF191" s="72"/>
      <c r="AG191" s="72"/>
    </row>
    <row r="192" spans="1:33" s="22" customFormat="1" ht="16.5" hidden="1" customHeight="1">
      <c r="A192" s="72"/>
      <c r="B192" s="72"/>
      <c r="C192" s="74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5"/>
      <c r="S192" s="72"/>
      <c r="T192" s="72"/>
      <c r="U192" s="72"/>
      <c r="V192" s="72"/>
      <c r="W192" s="72"/>
      <c r="X192" s="72"/>
      <c r="Y192" s="72"/>
      <c r="Z192" s="75"/>
      <c r="AA192" s="72"/>
      <c r="AB192" s="72"/>
      <c r="AC192" s="72"/>
      <c r="AD192" s="72"/>
      <c r="AE192" s="72"/>
      <c r="AF192" s="72"/>
      <c r="AG192" s="72"/>
    </row>
    <row r="193" spans="1:33" s="22" customFormat="1" ht="16.5" hidden="1" customHeight="1">
      <c r="A193" s="72"/>
      <c r="B193" s="72"/>
      <c r="C193" s="74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5"/>
      <c r="S193" s="72"/>
      <c r="T193" s="72"/>
      <c r="U193" s="72"/>
      <c r="V193" s="72"/>
      <c r="W193" s="72"/>
      <c r="X193" s="72"/>
      <c r="Y193" s="72"/>
      <c r="Z193" s="75"/>
      <c r="AA193" s="72"/>
      <c r="AB193" s="72"/>
      <c r="AC193" s="72"/>
      <c r="AD193" s="72"/>
      <c r="AE193" s="72"/>
      <c r="AF193" s="72"/>
      <c r="AG193" s="72"/>
    </row>
    <row r="194" spans="1:33" s="22" customFormat="1" ht="16.5" hidden="1" customHeight="1">
      <c r="A194" s="72"/>
      <c r="B194" s="72"/>
      <c r="C194" s="74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5"/>
      <c r="S194" s="72"/>
      <c r="T194" s="72"/>
      <c r="U194" s="72"/>
      <c r="V194" s="72"/>
      <c r="W194" s="72"/>
      <c r="X194" s="72"/>
      <c r="Y194" s="72"/>
      <c r="Z194" s="75"/>
      <c r="AA194" s="72"/>
      <c r="AB194" s="72"/>
      <c r="AC194" s="72"/>
      <c r="AD194" s="72"/>
      <c r="AE194" s="72"/>
      <c r="AF194" s="72"/>
      <c r="AG194" s="72"/>
    </row>
    <row r="195" spans="1:33" s="22" customFormat="1" ht="16.5" hidden="1" customHeight="1">
      <c r="A195" s="72"/>
      <c r="B195" s="72"/>
      <c r="C195" s="74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5"/>
      <c r="S195" s="72"/>
      <c r="T195" s="72"/>
      <c r="U195" s="72"/>
      <c r="V195" s="72"/>
      <c r="W195" s="72"/>
      <c r="X195" s="72"/>
      <c r="Y195" s="72"/>
      <c r="Z195" s="75"/>
      <c r="AA195" s="72"/>
      <c r="AB195" s="72"/>
      <c r="AC195" s="72"/>
      <c r="AD195" s="72"/>
      <c r="AE195" s="72"/>
      <c r="AF195" s="72"/>
      <c r="AG195" s="72"/>
    </row>
    <row r="196" spans="1:33" s="22" customFormat="1" ht="16.5" hidden="1" customHeight="1">
      <c r="A196" s="72"/>
      <c r="B196" s="72"/>
      <c r="C196" s="74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5"/>
      <c r="S196" s="72"/>
      <c r="T196" s="72"/>
      <c r="U196" s="72"/>
      <c r="V196" s="72"/>
      <c r="W196" s="72"/>
      <c r="X196" s="72"/>
      <c r="Y196" s="72"/>
      <c r="Z196" s="75"/>
      <c r="AA196" s="72"/>
      <c r="AB196" s="72"/>
      <c r="AC196" s="72"/>
      <c r="AD196" s="72"/>
      <c r="AE196" s="72"/>
      <c r="AF196" s="72"/>
      <c r="AG196" s="72"/>
    </row>
    <row r="197" spans="1:33" s="22" customFormat="1" ht="16.5" hidden="1" customHeight="1">
      <c r="A197" s="72"/>
      <c r="B197" s="72"/>
      <c r="C197" s="74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5"/>
      <c r="S197" s="72"/>
      <c r="T197" s="72"/>
      <c r="U197" s="72"/>
      <c r="V197" s="72"/>
      <c r="W197" s="72"/>
      <c r="X197" s="72"/>
      <c r="Y197" s="72"/>
      <c r="Z197" s="75"/>
      <c r="AA197" s="72"/>
      <c r="AB197" s="72"/>
      <c r="AC197" s="72"/>
      <c r="AD197" s="72"/>
      <c r="AE197" s="72"/>
      <c r="AF197" s="72"/>
      <c r="AG197" s="72"/>
    </row>
    <row r="198" spans="1:33" s="22" customFormat="1" ht="16.5" hidden="1" customHeight="1">
      <c r="A198" s="72"/>
      <c r="B198" s="72"/>
      <c r="C198" s="74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5"/>
      <c r="S198" s="72"/>
      <c r="T198" s="72"/>
      <c r="U198" s="72"/>
      <c r="V198" s="72"/>
      <c r="W198" s="72"/>
      <c r="X198" s="72"/>
      <c r="Y198" s="72"/>
      <c r="Z198" s="75"/>
      <c r="AA198" s="72"/>
      <c r="AB198" s="72"/>
      <c r="AC198" s="72"/>
      <c r="AD198" s="72"/>
      <c r="AE198" s="72"/>
      <c r="AF198" s="72"/>
      <c r="AG198" s="72"/>
    </row>
    <row r="199" spans="1:33" s="22" customFormat="1" ht="16.5" hidden="1" customHeight="1">
      <c r="A199" s="72"/>
      <c r="B199" s="72"/>
      <c r="C199" s="74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5"/>
      <c r="S199" s="72"/>
      <c r="T199" s="72"/>
      <c r="U199" s="72"/>
      <c r="V199" s="72"/>
      <c r="W199" s="72"/>
      <c r="X199" s="72"/>
      <c r="Y199" s="72"/>
      <c r="Z199" s="75"/>
      <c r="AA199" s="72"/>
      <c r="AB199" s="72"/>
      <c r="AC199" s="72"/>
      <c r="AD199" s="72"/>
      <c r="AE199" s="72"/>
      <c r="AF199" s="72"/>
      <c r="AG199" s="72"/>
    </row>
    <row r="200" spans="1:33" s="22" customFormat="1" ht="16.5" hidden="1" customHeight="1">
      <c r="A200" s="72"/>
      <c r="B200" s="72"/>
      <c r="C200" s="74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5"/>
      <c r="S200" s="72"/>
      <c r="T200" s="72"/>
      <c r="U200" s="72"/>
      <c r="V200" s="72"/>
      <c r="W200" s="72"/>
      <c r="X200" s="72"/>
      <c r="Y200" s="72"/>
      <c r="Z200" s="75"/>
      <c r="AA200" s="72"/>
      <c r="AB200" s="72"/>
      <c r="AC200" s="72"/>
      <c r="AD200" s="72"/>
      <c r="AE200" s="72"/>
      <c r="AF200" s="72"/>
      <c r="AG200" s="72"/>
    </row>
    <row r="201" spans="1:33" s="22" customFormat="1" ht="16.5" hidden="1" customHeight="1">
      <c r="A201" s="72"/>
      <c r="B201" s="72"/>
      <c r="C201" s="74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5"/>
      <c r="S201" s="72"/>
      <c r="T201" s="72"/>
      <c r="U201" s="72"/>
      <c r="V201" s="72"/>
      <c r="W201" s="72"/>
      <c r="X201" s="72"/>
      <c r="Y201" s="72"/>
      <c r="Z201" s="75"/>
      <c r="AA201" s="72"/>
      <c r="AB201" s="72"/>
      <c r="AC201" s="72"/>
      <c r="AD201" s="72"/>
      <c r="AE201" s="72"/>
      <c r="AF201" s="72"/>
      <c r="AG201" s="72"/>
    </row>
    <row r="202" spans="1:33" s="22" customFormat="1" ht="16.5" hidden="1" customHeight="1">
      <c r="A202" s="72"/>
      <c r="B202" s="72"/>
      <c r="C202" s="74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5"/>
      <c r="S202" s="72"/>
      <c r="T202" s="72"/>
      <c r="U202" s="72"/>
      <c r="V202" s="72"/>
      <c r="W202" s="72"/>
      <c r="X202" s="72"/>
      <c r="Y202" s="72"/>
      <c r="Z202" s="75"/>
      <c r="AA202" s="72"/>
      <c r="AB202" s="72"/>
      <c r="AC202" s="72"/>
      <c r="AD202" s="72"/>
      <c r="AE202" s="72"/>
      <c r="AF202" s="72"/>
      <c r="AG202" s="72"/>
    </row>
    <row r="203" spans="1:33" s="22" customFormat="1" ht="16.5" hidden="1" customHeight="1">
      <c r="A203" s="72"/>
      <c r="B203" s="72"/>
      <c r="C203" s="74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5"/>
      <c r="S203" s="72"/>
      <c r="T203" s="72"/>
      <c r="U203" s="72"/>
      <c r="V203" s="72"/>
      <c r="W203" s="72"/>
      <c r="X203" s="72"/>
      <c r="Y203" s="72"/>
      <c r="Z203" s="75"/>
      <c r="AA203" s="72"/>
      <c r="AB203" s="72"/>
      <c r="AC203" s="72"/>
      <c r="AD203" s="72"/>
      <c r="AE203" s="72"/>
      <c r="AF203" s="72"/>
      <c r="AG203" s="72"/>
    </row>
    <row r="204" spans="1:33" s="22" customFormat="1" ht="16.5" hidden="1" customHeight="1">
      <c r="A204" s="72"/>
      <c r="B204" s="72"/>
      <c r="C204" s="74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5"/>
      <c r="S204" s="72"/>
      <c r="T204" s="72"/>
      <c r="U204" s="72"/>
      <c r="V204" s="72"/>
      <c r="W204" s="72"/>
      <c r="X204" s="72"/>
      <c r="Y204" s="72"/>
      <c r="Z204" s="75"/>
      <c r="AA204" s="72"/>
      <c r="AB204" s="72"/>
      <c r="AC204" s="72"/>
      <c r="AD204" s="72"/>
      <c r="AE204" s="72"/>
      <c r="AF204" s="72"/>
      <c r="AG204" s="72"/>
    </row>
    <row r="205" spans="1:33" s="22" customFormat="1" ht="16.5" hidden="1" customHeight="1">
      <c r="A205" s="72"/>
      <c r="B205" s="72"/>
      <c r="C205" s="74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5"/>
      <c r="S205" s="72"/>
      <c r="T205" s="72"/>
      <c r="U205" s="72"/>
      <c r="V205" s="72"/>
      <c r="W205" s="72"/>
      <c r="X205" s="72"/>
      <c r="Y205" s="72"/>
      <c r="Z205" s="75"/>
      <c r="AA205" s="72"/>
      <c r="AB205" s="72"/>
      <c r="AC205" s="72"/>
      <c r="AD205" s="72"/>
      <c r="AE205" s="72"/>
      <c r="AF205" s="72"/>
      <c r="AG205" s="72"/>
    </row>
    <row r="206" spans="1:33" s="22" customFormat="1" ht="16.5" hidden="1" customHeight="1">
      <c r="A206" s="72"/>
      <c r="B206" s="72"/>
      <c r="C206" s="74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5"/>
      <c r="S206" s="72"/>
      <c r="T206" s="72"/>
      <c r="U206" s="72"/>
      <c r="V206" s="72"/>
      <c r="W206" s="72"/>
      <c r="X206" s="72"/>
      <c r="Y206" s="72"/>
      <c r="Z206" s="75"/>
      <c r="AA206" s="72"/>
      <c r="AB206" s="72"/>
      <c r="AC206" s="72"/>
      <c r="AD206" s="72"/>
      <c r="AE206" s="72"/>
      <c r="AF206" s="72"/>
      <c r="AG206" s="72"/>
    </row>
    <row r="207" spans="1:33" s="22" customFormat="1" ht="16.5" hidden="1" customHeight="1">
      <c r="A207" s="72"/>
      <c r="B207" s="72"/>
      <c r="C207" s="74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5"/>
      <c r="S207" s="72"/>
      <c r="T207" s="72"/>
      <c r="U207" s="72"/>
      <c r="V207" s="72"/>
      <c r="W207" s="72"/>
      <c r="X207" s="72"/>
      <c r="Y207" s="72"/>
      <c r="Z207" s="75"/>
      <c r="AA207" s="72"/>
      <c r="AB207" s="72"/>
      <c r="AC207" s="72"/>
      <c r="AD207" s="72"/>
      <c r="AE207" s="72"/>
      <c r="AF207" s="72"/>
      <c r="AG207" s="72"/>
    </row>
    <row r="208" spans="1:33" s="22" customFormat="1" ht="16.5" hidden="1" customHeight="1">
      <c r="A208" s="72"/>
      <c r="B208" s="72"/>
      <c r="C208" s="74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5"/>
      <c r="S208" s="72"/>
      <c r="T208" s="72"/>
      <c r="U208" s="72"/>
      <c r="V208" s="72"/>
      <c r="W208" s="72"/>
      <c r="X208" s="72"/>
      <c r="Y208" s="72"/>
      <c r="Z208" s="75"/>
      <c r="AA208" s="72"/>
      <c r="AB208" s="72"/>
      <c r="AC208" s="72"/>
      <c r="AD208" s="72"/>
      <c r="AE208" s="72"/>
      <c r="AF208" s="72"/>
      <c r="AG208" s="72"/>
    </row>
    <row r="209" spans="1:33" s="22" customFormat="1" ht="16.5" hidden="1" customHeight="1">
      <c r="A209" s="72"/>
      <c r="B209" s="72"/>
      <c r="C209" s="74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5"/>
      <c r="S209" s="72"/>
      <c r="T209" s="72"/>
      <c r="U209" s="72"/>
      <c r="V209" s="72"/>
      <c r="W209" s="72"/>
      <c r="X209" s="72"/>
      <c r="Y209" s="72"/>
      <c r="Z209" s="75"/>
      <c r="AA209" s="72"/>
      <c r="AB209" s="72"/>
      <c r="AC209" s="72"/>
      <c r="AD209" s="72"/>
      <c r="AE209" s="72"/>
      <c r="AF209" s="72"/>
      <c r="AG209" s="72"/>
    </row>
    <row r="210" spans="1:33" s="22" customFormat="1" ht="16.5" hidden="1" customHeight="1">
      <c r="A210" s="72"/>
      <c r="B210" s="72"/>
      <c r="C210" s="74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5"/>
      <c r="S210" s="72"/>
      <c r="T210" s="72"/>
      <c r="U210" s="72"/>
      <c r="V210" s="72"/>
      <c r="W210" s="72"/>
      <c r="X210" s="72"/>
      <c r="Y210" s="72"/>
      <c r="Z210" s="75"/>
      <c r="AA210" s="72"/>
      <c r="AB210" s="72"/>
      <c r="AC210" s="72"/>
      <c r="AD210" s="72"/>
      <c r="AE210" s="72"/>
      <c r="AF210" s="72"/>
      <c r="AG210" s="72"/>
    </row>
    <row r="211" spans="1:33" s="22" customFormat="1" ht="16.5" hidden="1" customHeight="1">
      <c r="A211" s="72"/>
      <c r="B211" s="72"/>
      <c r="C211" s="74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5"/>
      <c r="S211" s="72"/>
      <c r="T211" s="72"/>
      <c r="U211" s="72"/>
      <c r="V211" s="72"/>
      <c r="W211" s="72"/>
      <c r="X211" s="72"/>
      <c r="Y211" s="72"/>
      <c r="Z211" s="75"/>
      <c r="AA211" s="72"/>
      <c r="AB211" s="72"/>
      <c r="AC211" s="72"/>
      <c r="AD211" s="72"/>
      <c r="AE211" s="72"/>
      <c r="AF211" s="72"/>
      <c r="AG211" s="72"/>
    </row>
    <row r="212" spans="1:33" s="21" customFormat="1" ht="16.5" hidden="1" customHeight="1">
      <c r="A212" s="85"/>
      <c r="B212" s="85"/>
      <c r="C212" s="86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7"/>
      <c r="S212" s="85"/>
      <c r="T212" s="85"/>
      <c r="U212" s="85"/>
      <c r="V212" s="85"/>
      <c r="W212" s="85"/>
      <c r="X212" s="85"/>
      <c r="Y212" s="85"/>
      <c r="Z212" s="87"/>
      <c r="AA212" s="85"/>
      <c r="AB212" s="85"/>
      <c r="AC212" s="85"/>
      <c r="AD212" s="85"/>
      <c r="AE212" s="85"/>
      <c r="AF212" s="85"/>
      <c r="AG212" s="85"/>
    </row>
    <row r="213" spans="1:33" s="21" customFormat="1" ht="16.5" hidden="1" customHeight="1">
      <c r="A213" s="85"/>
      <c r="B213" s="85"/>
      <c r="C213" s="86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7"/>
      <c r="S213" s="85"/>
      <c r="T213" s="85"/>
      <c r="U213" s="85"/>
      <c r="V213" s="85"/>
      <c r="W213" s="85"/>
      <c r="X213" s="85"/>
      <c r="Y213" s="85"/>
      <c r="Z213" s="87"/>
      <c r="AA213" s="85"/>
      <c r="AB213" s="85"/>
      <c r="AC213" s="85"/>
      <c r="AD213" s="85"/>
      <c r="AE213" s="85"/>
      <c r="AF213" s="85"/>
      <c r="AG213" s="85"/>
    </row>
    <row r="214" spans="1:33" s="21" customFormat="1" ht="16.5" hidden="1" customHeight="1">
      <c r="A214" s="85"/>
      <c r="B214" s="85"/>
      <c r="C214" s="86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7"/>
      <c r="S214" s="85"/>
      <c r="T214" s="85"/>
      <c r="U214" s="85"/>
      <c r="V214" s="85"/>
      <c r="W214" s="85"/>
      <c r="X214" s="85"/>
      <c r="Y214" s="85"/>
      <c r="Z214" s="87"/>
      <c r="AA214" s="85"/>
      <c r="AB214" s="85"/>
      <c r="AC214" s="85"/>
      <c r="AD214" s="85"/>
      <c r="AE214" s="85"/>
      <c r="AF214" s="85"/>
      <c r="AG214" s="85"/>
    </row>
    <row r="215" spans="1:33" s="21" customFormat="1" ht="16.5" hidden="1" customHeight="1">
      <c r="A215" s="85"/>
      <c r="B215" s="85"/>
      <c r="C215" s="86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7"/>
      <c r="S215" s="85"/>
      <c r="T215" s="85"/>
      <c r="U215" s="85"/>
      <c r="V215" s="85"/>
      <c r="W215" s="85"/>
      <c r="X215" s="85"/>
      <c r="Y215" s="85"/>
      <c r="Z215" s="87"/>
      <c r="AA215" s="85"/>
      <c r="AB215" s="85"/>
      <c r="AC215" s="85"/>
      <c r="AD215" s="85"/>
      <c r="AE215" s="85"/>
      <c r="AF215" s="85"/>
      <c r="AG215" s="85"/>
    </row>
    <row r="216" spans="1:33" s="21" customFormat="1" ht="16.5" hidden="1" customHeight="1">
      <c r="A216" s="85"/>
      <c r="B216" s="85"/>
      <c r="C216" s="86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7"/>
      <c r="S216" s="85"/>
      <c r="T216" s="85"/>
      <c r="U216" s="85"/>
      <c r="V216" s="85"/>
      <c r="W216" s="85"/>
      <c r="X216" s="85"/>
      <c r="Y216" s="85"/>
      <c r="Z216" s="87"/>
      <c r="AA216" s="85"/>
      <c r="AB216" s="85"/>
      <c r="AC216" s="85"/>
      <c r="AD216" s="85"/>
      <c r="AE216" s="85"/>
      <c r="AF216" s="85"/>
      <c r="AG216" s="85"/>
    </row>
    <row r="217" spans="1:33" s="21" customFormat="1" ht="16.5" hidden="1" customHeight="1">
      <c r="A217" s="85"/>
      <c r="B217" s="85"/>
      <c r="C217" s="86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7"/>
      <c r="S217" s="85"/>
      <c r="T217" s="85"/>
      <c r="U217" s="85"/>
      <c r="V217" s="85"/>
      <c r="W217" s="85"/>
      <c r="X217" s="85"/>
      <c r="Y217" s="85"/>
      <c r="Z217" s="87"/>
      <c r="AA217" s="85"/>
      <c r="AB217" s="85"/>
      <c r="AC217" s="85"/>
      <c r="AD217" s="85"/>
      <c r="AE217" s="85"/>
      <c r="AF217" s="85"/>
      <c r="AG217" s="85"/>
    </row>
    <row r="218" spans="1:33" s="21" customFormat="1" ht="16.5" hidden="1" customHeight="1">
      <c r="A218" s="85"/>
      <c r="B218" s="85"/>
      <c r="C218" s="86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7"/>
      <c r="S218" s="85"/>
      <c r="T218" s="85"/>
      <c r="U218" s="85"/>
      <c r="V218" s="85"/>
      <c r="W218" s="85"/>
      <c r="X218" s="85"/>
      <c r="Y218" s="85"/>
      <c r="Z218" s="87"/>
      <c r="AA218" s="85"/>
      <c r="AB218" s="85"/>
      <c r="AC218" s="85"/>
      <c r="AD218" s="85"/>
      <c r="AE218" s="85"/>
      <c r="AF218" s="85"/>
      <c r="AG218" s="85"/>
    </row>
    <row r="219" spans="1:33" s="21" customFormat="1" ht="16.5" hidden="1" customHeight="1">
      <c r="A219" s="85"/>
      <c r="B219" s="85"/>
      <c r="C219" s="86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7"/>
      <c r="S219" s="85"/>
      <c r="T219" s="85"/>
      <c r="U219" s="85"/>
      <c r="V219" s="85"/>
      <c r="W219" s="85"/>
      <c r="X219" s="85"/>
      <c r="Y219" s="85"/>
      <c r="Z219" s="87"/>
      <c r="AA219" s="85"/>
      <c r="AB219" s="85"/>
      <c r="AC219" s="85"/>
      <c r="AD219" s="85"/>
      <c r="AE219" s="85"/>
      <c r="AF219" s="85"/>
      <c r="AG219" s="85"/>
    </row>
    <row r="220" spans="1:33" s="21" customFormat="1" ht="16.5" hidden="1" customHeight="1">
      <c r="A220" s="85"/>
      <c r="B220" s="85"/>
      <c r="C220" s="86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7"/>
      <c r="S220" s="85"/>
      <c r="T220" s="85"/>
      <c r="U220" s="85"/>
      <c r="V220" s="85"/>
      <c r="W220" s="85"/>
      <c r="X220" s="85"/>
      <c r="Y220" s="85"/>
      <c r="Z220" s="87"/>
      <c r="AA220" s="85"/>
      <c r="AB220" s="85"/>
      <c r="AC220" s="85"/>
      <c r="AD220" s="85"/>
      <c r="AE220" s="85"/>
      <c r="AF220" s="85"/>
      <c r="AG220" s="85"/>
    </row>
    <row r="221" spans="1:33" s="21" customFormat="1" ht="16.5" hidden="1" customHeight="1">
      <c r="A221" s="85"/>
      <c r="B221" s="85"/>
      <c r="C221" s="86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7"/>
      <c r="S221" s="85"/>
      <c r="T221" s="85"/>
      <c r="U221" s="85"/>
      <c r="V221" s="85"/>
      <c r="W221" s="85"/>
      <c r="X221" s="85"/>
      <c r="Y221" s="85"/>
      <c r="Z221" s="87"/>
      <c r="AA221" s="85"/>
      <c r="AB221" s="85"/>
      <c r="AC221" s="85"/>
      <c r="AD221" s="85"/>
      <c r="AE221" s="85"/>
      <c r="AF221" s="85"/>
      <c r="AG221" s="85"/>
    </row>
    <row r="222" spans="1:33" s="21" customFormat="1" ht="16.5" hidden="1" customHeight="1">
      <c r="A222" s="85"/>
      <c r="B222" s="85"/>
      <c r="C222" s="86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7"/>
      <c r="S222" s="85"/>
      <c r="T222" s="85"/>
      <c r="U222" s="85"/>
      <c r="V222" s="85"/>
      <c r="W222" s="85"/>
      <c r="X222" s="85"/>
      <c r="Y222" s="85"/>
      <c r="Z222" s="87"/>
      <c r="AA222" s="85"/>
      <c r="AB222" s="85"/>
      <c r="AC222" s="85"/>
      <c r="AD222" s="85"/>
      <c r="AE222" s="85"/>
      <c r="AF222" s="85"/>
      <c r="AG222" s="85"/>
    </row>
    <row r="223" spans="1:33" s="21" customFormat="1" ht="16.5" hidden="1" customHeight="1">
      <c r="A223" s="85"/>
      <c r="B223" s="85"/>
      <c r="C223" s="86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7"/>
      <c r="S223" s="85"/>
      <c r="T223" s="85"/>
      <c r="U223" s="85"/>
      <c r="V223" s="85"/>
      <c r="W223" s="85"/>
      <c r="X223" s="85"/>
      <c r="Y223" s="85"/>
      <c r="Z223" s="87"/>
      <c r="AA223" s="85"/>
      <c r="AB223" s="85"/>
      <c r="AC223" s="85"/>
      <c r="AD223" s="85"/>
      <c r="AE223" s="85"/>
      <c r="AF223" s="85"/>
      <c r="AG223" s="85"/>
    </row>
    <row r="224" spans="1:33" s="21" customFormat="1" ht="16.5" hidden="1" customHeight="1">
      <c r="A224" s="85"/>
      <c r="B224" s="85"/>
      <c r="C224" s="86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7"/>
      <c r="S224" s="85"/>
      <c r="T224" s="85"/>
      <c r="U224" s="85"/>
      <c r="V224" s="85"/>
      <c r="W224" s="85"/>
      <c r="X224" s="85"/>
      <c r="Y224" s="85"/>
      <c r="Z224" s="87"/>
      <c r="AA224" s="85"/>
      <c r="AB224" s="85"/>
      <c r="AC224" s="85"/>
      <c r="AD224" s="85"/>
      <c r="AE224" s="85"/>
      <c r="AF224" s="85"/>
      <c r="AG224" s="85"/>
    </row>
    <row r="225" spans="1:33" s="21" customFormat="1" ht="16.5" hidden="1" customHeight="1">
      <c r="A225" s="85"/>
      <c r="B225" s="85"/>
      <c r="C225" s="86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7"/>
      <c r="S225" s="85"/>
      <c r="T225" s="85"/>
      <c r="U225" s="85"/>
      <c r="V225" s="85"/>
      <c r="W225" s="85"/>
      <c r="X225" s="85"/>
      <c r="Y225" s="85"/>
      <c r="Z225" s="87"/>
      <c r="AA225" s="85"/>
      <c r="AB225" s="85"/>
      <c r="AC225" s="85"/>
      <c r="AD225" s="85"/>
      <c r="AE225" s="85"/>
      <c r="AF225" s="85"/>
      <c r="AG225" s="85"/>
    </row>
    <row r="226" spans="1:33" s="21" customFormat="1" ht="16.5" hidden="1" customHeight="1">
      <c r="A226" s="85"/>
      <c r="B226" s="85"/>
      <c r="C226" s="86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7"/>
      <c r="S226" s="85"/>
      <c r="T226" s="85"/>
      <c r="U226" s="85"/>
      <c r="V226" s="85"/>
      <c r="W226" s="85"/>
      <c r="X226" s="85"/>
      <c r="Y226" s="85"/>
      <c r="Z226" s="87"/>
      <c r="AA226" s="85"/>
      <c r="AB226" s="85"/>
      <c r="AC226" s="85"/>
      <c r="AD226" s="85"/>
      <c r="AE226" s="85"/>
      <c r="AF226" s="85"/>
      <c r="AG226" s="85"/>
    </row>
    <row r="227" spans="1:33" s="21" customFormat="1" ht="16.5" hidden="1" customHeight="1">
      <c r="A227" s="85"/>
      <c r="B227" s="85"/>
      <c r="C227" s="86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7"/>
      <c r="S227" s="85"/>
      <c r="T227" s="85"/>
      <c r="U227" s="85"/>
      <c r="V227" s="85"/>
      <c r="W227" s="85"/>
      <c r="X227" s="85"/>
      <c r="Y227" s="85"/>
      <c r="Z227" s="87"/>
      <c r="AA227" s="85"/>
      <c r="AB227" s="85"/>
      <c r="AC227" s="85"/>
      <c r="AD227" s="85"/>
      <c r="AE227" s="85"/>
      <c r="AF227" s="85"/>
      <c r="AG227" s="85"/>
    </row>
    <row r="228" spans="1:33" s="21" customFormat="1" ht="16.5" hidden="1" customHeight="1">
      <c r="A228" s="85"/>
      <c r="B228" s="85"/>
      <c r="C228" s="86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7"/>
      <c r="S228" s="85"/>
      <c r="T228" s="85"/>
      <c r="U228" s="85"/>
      <c r="V228" s="85"/>
      <c r="W228" s="85"/>
      <c r="X228" s="85"/>
      <c r="Y228" s="85"/>
      <c r="Z228" s="87"/>
      <c r="AA228" s="85"/>
      <c r="AB228" s="85"/>
      <c r="AC228" s="85"/>
      <c r="AD228" s="85"/>
      <c r="AE228" s="85"/>
      <c r="AF228" s="85"/>
      <c r="AG228" s="85"/>
    </row>
    <row r="229" spans="1:33" s="21" customFormat="1" ht="16.5" hidden="1" customHeight="1">
      <c r="A229" s="85"/>
      <c r="B229" s="85"/>
      <c r="C229" s="86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7"/>
      <c r="S229" s="85"/>
      <c r="T229" s="85"/>
      <c r="U229" s="85"/>
      <c r="V229" s="85"/>
      <c r="W229" s="85"/>
      <c r="X229" s="85"/>
      <c r="Y229" s="85"/>
      <c r="Z229" s="87"/>
      <c r="AA229" s="85"/>
      <c r="AB229" s="85"/>
      <c r="AC229" s="85"/>
      <c r="AD229" s="85"/>
      <c r="AE229" s="85"/>
      <c r="AF229" s="85"/>
      <c r="AG229" s="85"/>
    </row>
    <row r="230" spans="1:33" s="21" customFormat="1" ht="16.5" hidden="1" customHeight="1">
      <c r="A230" s="85"/>
      <c r="B230" s="85"/>
      <c r="C230" s="86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7"/>
      <c r="S230" s="85"/>
      <c r="T230" s="85"/>
      <c r="U230" s="85"/>
      <c r="V230" s="85"/>
      <c r="W230" s="85"/>
      <c r="X230" s="85"/>
      <c r="Y230" s="85"/>
      <c r="Z230" s="87"/>
      <c r="AA230" s="85"/>
      <c r="AB230" s="85"/>
      <c r="AC230" s="85"/>
      <c r="AD230" s="85"/>
      <c r="AE230" s="85"/>
      <c r="AF230" s="85"/>
      <c r="AG230" s="85"/>
    </row>
    <row r="231" spans="1:33" s="21" customFormat="1" ht="16.5" hidden="1" customHeight="1">
      <c r="A231" s="85"/>
      <c r="B231" s="85"/>
      <c r="C231" s="86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7"/>
      <c r="S231" s="85"/>
      <c r="T231" s="85"/>
      <c r="U231" s="85"/>
      <c r="V231" s="85"/>
      <c r="W231" s="85"/>
      <c r="X231" s="85"/>
      <c r="Y231" s="85"/>
      <c r="Z231" s="87"/>
      <c r="AA231" s="85"/>
      <c r="AB231" s="85"/>
      <c r="AC231" s="85"/>
      <c r="AD231" s="85"/>
      <c r="AE231" s="85"/>
      <c r="AF231" s="85"/>
      <c r="AG231" s="85"/>
    </row>
    <row r="232" spans="1:33" s="21" customFormat="1" ht="16.5" hidden="1" customHeight="1">
      <c r="A232" s="85"/>
      <c r="B232" s="85"/>
      <c r="C232" s="86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7"/>
      <c r="S232" s="85"/>
      <c r="T232" s="85"/>
      <c r="U232" s="85"/>
      <c r="V232" s="85"/>
      <c r="W232" s="85"/>
      <c r="X232" s="85"/>
      <c r="Y232" s="85"/>
      <c r="Z232" s="87"/>
      <c r="AA232" s="85"/>
      <c r="AB232" s="85"/>
      <c r="AC232" s="85"/>
      <c r="AD232" s="85"/>
      <c r="AE232" s="85"/>
      <c r="AF232" s="85"/>
      <c r="AG232" s="85"/>
    </row>
    <row r="233" spans="1:33" s="21" customFormat="1" ht="16.5" hidden="1" customHeight="1">
      <c r="A233" s="85"/>
      <c r="B233" s="85"/>
      <c r="C233" s="86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7"/>
      <c r="S233" s="85"/>
      <c r="T233" s="85"/>
      <c r="U233" s="85"/>
      <c r="V233" s="85"/>
      <c r="W233" s="85"/>
      <c r="X233" s="85"/>
      <c r="Y233" s="85"/>
      <c r="Z233" s="87"/>
      <c r="AA233" s="85"/>
      <c r="AB233" s="85"/>
      <c r="AC233" s="85"/>
      <c r="AD233" s="85"/>
      <c r="AE233" s="85"/>
      <c r="AF233" s="85"/>
      <c r="AG233" s="85"/>
    </row>
    <row r="234" spans="1:33" s="21" customFormat="1" ht="16.5" hidden="1" customHeight="1">
      <c r="A234" s="85"/>
      <c r="B234" s="85"/>
      <c r="C234" s="86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7"/>
      <c r="S234" s="85"/>
      <c r="T234" s="85"/>
      <c r="U234" s="85"/>
      <c r="V234" s="85"/>
      <c r="W234" s="85"/>
      <c r="X234" s="85"/>
      <c r="Y234" s="85"/>
      <c r="Z234" s="87"/>
      <c r="AA234" s="85"/>
      <c r="AB234" s="85"/>
      <c r="AC234" s="85"/>
      <c r="AD234" s="85"/>
      <c r="AE234" s="85"/>
      <c r="AF234" s="85"/>
      <c r="AG234" s="85"/>
    </row>
    <row r="235" spans="1:33" s="21" customFormat="1" ht="16.5" hidden="1" customHeight="1">
      <c r="A235" s="85"/>
      <c r="B235" s="85"/>
      <c r="C235" s="86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7"/>
      <c r="S235" s="85"/>
      <c r="T235" s="85"/>
      <c r="U235" s="85"/>
      <c r="V235" s="85"/>
      <c r="W235" s="85"/>
      <c r="X235" s="85"/>
      <c r="Y235" s="85"/>
      <c r="Z235" s="87"/>
      <c r="AA235" s="85"/>
      <c r="AB235" s="85"/>
      <c r="AC235" s="85"/>
      <c r="AD235" s="85"/>
      <c r="AE235" s="85"/>
      <c r="AF235" s="85"/>
      <c r="AG235" s="85"/>
    </row>
    <row r="236" spans="1:33" s="21" customFormat="1" ht="16.5" hidden="1" customHeight="1">
      <c r="A236" s="85"/>
      <c r="B236" s="85"/>
      <c r="C236" s="86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7"/>
      <c r="S236" s="85"/>
      <c r="T236" s="85"/>
      <c r="U236" s="85"/>
      <c r="V236" s="85"/>
      <c r="W236" s="85"/>
      <c r="X236" s="85"/>
      <c r="Y236" s="85"/>
      <c r="Z236" s="87"/>
      <c r="AA236" s="85"/>
      <c r="AB236" s="85"/>
      <c r="AC236" s="85"/>
      <c r="AD236" s="85"/>
      <c r="AE236" s="85"/>
      <c r="AF236" s="85"/>
      <c r="AG236" s="85"/>
    </row>
    <row r="237" spans="1:33" s="21" customFormat="1" ht="16.5" hidden="1" customHeight="1">
      <c r="A237" s="85"/>
      <c r="B237" s="85"/>
      <c r="C237" s="86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7"/>
      <c r="S237" s="85"/>
      <c r="T237" s="85"/>
      <c r="U237" s="85"/>
      <c r="V237" s="85"/>
      <c r="W237" s="85"/>
      <c r="X237" s="85"/>
      <c r="Y237" s="85"/>
      <c r="Z237" s="87"/>
      <c r="AA237" s="85"/>
      <c r="AB237" s="85"/>
      <c r="AC237" s="85"/>
      <c r="AD237" s="85"/>
      <c r="AE237" s="85"/>
      <c r="AF237" s="85"/>
      <c r="AG237" s="85"/>
    </row>
    <row r="238" spans="1:33" s="21" customFormat="1" ht="16.5" hidden="1" customHeight="1">
      <c r="A238" s="85"/>
      <c r="B238" s="85"/>
      <c r="C238" s="86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7"/>
      <c r="S238" s="85"/>
      <c r="T238" s="85"/>
      <c r="U238" s="85"/>
      <c r="V238" s="85"/>
      <c r="W238" s="85"/>
      <c r="X238" s="85"/>
      <c r="Y238" s="85"/>
      <c r="Z238" s="87"/>
      <c r="AA238" s="85"/>
      <c r="AB238" s="85"/>
      <c r="AC238" s="85"/>
      <c r="AD238" s="85"/>
      <c r="AE238" s="85"/>
      <c r="AF238" s="85"/>
      <c r="AG238" s="85"/>
    </row>
    <row r="239" spans="1:33" s="21" customFormat="1" ht="16.5" hidden="1" customHeight="1">
      <c r="A239" s="85"/>
      <c r="B239" s="85"/>
      <c r="C239" s="86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7"/>
      <c r="S239" s="85"/>
      <c r="T239" s="85"/>
      <c r="U239" s="85"/>
      <c r="V239" s="85"/>
      <c r="W239" s="85"/>
      <c r="X239" s="85"/>
      <c r="Y239" s="85"/>
      <c r="Z239" s="87"/>
      <c r="AA239" s="85"/>
      <c r="AB239" s="85"/>
      <c r="AC239" s="85"/>
      <c r="AD239" s="85"/>
      <c r="AE239" s="85"/>
      <c r="AF239" s="85"/>
      <c r="AG239" s="85"/>
    </row>
    <row r="240" spans="1:33" s="21" customFormat="1" ht="16.5" hidden="1" customHeight="1">
      <c r="A240" s="85"/>
      <c r="B240" s="85"/>
      <c r="C240" s="86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7"/>
      <c r="S240" s="85"/>
      <c r="T240" s="85"/>
      <c r="U240" s="85"/>
      <c r="V240" s="85"/>
      <c r="W240" s="85"/>
      <c r="X240" s="85"/>
      <c r="Y240" s="85"/>
      <c r="Z240" s="87"/>
      <c r="AA240" s="85"/>
      <c r="AB240" s="85"/>
      <c r="AC240" s="85"/>
      <c r="AD240" s="85"/>
      <c r="AE240" s="85"/>
      <c r="AF240" s="85"/>
      <c r="AG240" s="85"/>
    </row>
    <row r="241" spans="1:122" s="21" customFormat="1" ht="16.5" hidden="1" customHeight="1">
      <c r="A241" s="85"/>
      <c r="B241" s="85"/>
      <c r="C241" s="86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7"/>
      <c r="S241" s="85"/>
      <c r="T241" s="85"/>
      <c r="U241" s="85"/>
      <c r="V241" s="85"/>
      <c r="W241" s="85"/>
      <c r="X241" s="85"/>
      <c r="Y241" s="85"/>
      <c r="Z241" s="87"/>
      <c r="AA241" s="85"/>
      <c r="AB241" s="85"/>
      <c r="AC241" s="85"/>
      <c r="AD241" s="85"/>
      <c r="AE241" s="85"/>
      <c r="AF241" s="85"/>
      <c r="AG241" s="85"/>
    </row>
    <row r="242" spans="1:122" s="21" customFormat="1" ht="16.5" hidden="1" customHeight="1">
      <c r="A242" s="85"/>
      <c r="B242" s="85"/>
      <c r="C242" s="86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7"/>
      <c r="S242" s="85"/>
      <c r="T242" s="85"/>
      <c r="U242" s="85"/>
      <c r="V242" s="85"/>
      <c r="W242" s="85"/>
      <c r="X242" s="85"/>
      <c r="Y242" s="85"/>
      <c r="Z242" s="87"/>
      <c r="AA242" s="85"/>
      <c r="AB242" s="85"/>
      <c r="AC242" s="85"/>
      <c r="AD242" s="85"/>
      <c r="AE242" s="85"/>
      <c r="AF242" s="85"/>
      <c r="AG242" s="85"/>
    </row>
    <row r="243" spans="1:122" s="21" customFormat="1" ht="16.5" hidden="1" customHeight="1">
      <c r="A243" s="85"/>
      <c r="B243" s="85"/>
      <c r="C243" s="86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7"/>
      <c r="S243" s="85"/>
      <c r="T243" s="85"/>
      <c r="U243" s="85"/>
      <c r="V243" s="85"/>
      <c r="W243" s="85"/>
      <c r="X243" s="85"/>
      <c r="Y243" s="85"/>
      <c r="Z243" s="87"/>
      <c r="AA243" s="85"/>
      <c r="AB243" s="85"/>
      <c r="AC243" s="85"/>
      <c r="AD243" s="85"/>
      <c r="AE243" s="85"/>
      <c r="AF243" s="85"/>
      <c r="AG243" s="85"/>
    </row>
    <row r="244" spans="1:122" s="21" customFormat="1" ht="16.5" hidden="1" customHeight="1">
      <c r="A244" s="85"/>
      <c r="B244" s="85"/>
      <c r="C244" s="86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7"/>
      <c r="S244" s="85"/>
      <c r="T244" s="85"/>
      <c r="U244" s="85"/>
      <c r="V244" s="85"/>
      <c r="W244" s="85"/>
      <c r="X244" s="85"/>
      <c r="Y244" s="85"/>
      <c r="Z244" s="87"/>
      <c r="AA244" s="85"/>
      <c r="AB244" s="85"/>
      <c r="AC244" s="85"/>
      <c r="AD244" s="85"/>
      <c r="AE244" s="85"/>
      <c r="AF244" s="85"/>
      <c r="AG244" s="85"/>
    </row>
    <row r="245" spans="1:122" s="21" customFormat="1" ht="16.5" hidden="1" customHeight="1">
      <c r="A245" s="85"/>
      <c r="B245" s="85"/>
      <c r="C245" s="86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7"/>
      <c r="S245" s="85"/>
      <c r="T245" s="85"/>
      <c r="U245" s="85"/>
      <c r="V245" s="85"/>
      <c r="W245" s="85"/>
      <c r="X245" s="85"/>
      <c r="Y245" s="85"/>
      <c r="Z245" s="87"/>
      <c r="AA245" s="85"/>
      <c r="AB245" s="85"/>
      <c r="AC245" s="85"/>
      <c r="AD245" s="85"/>
      <c r="AE245" s="85"/>
      <c r="AF245" s="85"/>
      <c r="AG245" s="85"/>
    </row>
    <row r="246" spans="1:122" s="21" customFormat="1" ht="16.5" hidden="1" customHeight="1">
      <c r="A246" s="85"/>
      <c r="B246" s="85"/>
      <c r="C246" s="86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7"/>
      <c r="S246" s="85"/>
      <c r="T246" s="85"/>
      <c r="U246" s="85"/>
      <c r="V246" s="85"/>
      <c r="W246" s="85"/>
      <c r="X246" s="85"/>
      <c r="Y246" s="85"/>
      <c r="Z246" s="87"/>
      <c r="AA246" s="85"/>
      <c r="AB246" s="85"/>
      <c r="AC246" s="85"/>
      <c r="AD246" s="85"/>
      <c r="AE246" s="85"/>
      <c r="AF246" s="85"/>
      <c r="AG246" s="85"/>
    </row>
    <row r="247" spans="1:122" s="60" customFormat="1" ht="16.5" hidden="1" customHeight="1">
      <c r="A247" s="88"/>
      <c r="B247" s="88"/>
      <c r="C247" s="89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90"/>
      <c r="S247" s="88"/>
      <c r="T247" s="88"/>
      <c r="U247" s="88"/>
      <c r="V247" s="88"/>
      <c r="W247" s="88"/>
      <c r="X247" s="88"/>
      <c r="Y247" s="88"/>
      <c r="Z247" s="90"/>
      <c r="AA247" s="88"/>
      <c r="AB247" s="88"/>
      <c r="AC247" s="88"/>
      <c r="AD247" s="88"/>
      <c r="AE247" s="88"/>
      <c r="AF247" s="88"/>
      <c r="AG247" s="8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</row>
    <row r="248" spans="1:122" s="60" customFormat="1" ht="16.5" hidden="1" customHeight="1">
      <c r="A248" s="88"/>
      <c r="B248" s="88"/>
      <c r="C248" s="89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90"/>
      <c r="S248" s="88"/>
      <c r="T248" s="88"/>
      <c r="U248" s="88"/>
      <c r="V248" s="88"/>
      <c r="W248" s="88"/>
      <c r="X248" s="88"/>
      <c r="Y248" s="88"/>
      <c r="Z248" s="90"/>
      <c r="AA248" s="88"/>
      <c r="AB248" s="88"/>
      <c r="AC248" s="88"/>
      <c r="AD248" s="88"/>
      <c r="AE248" s="88"/>
      <c r="AF248" s="88"/>
      <c r="AG248" s="88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</row>
    <row r="249" spans="1:122" s="60" customFormat="1" ht="16.5" hidden="1" customHeight="1">
      <c r="A249" s="88"/>
      <c r="B249" s="88"/>
      <c r="C249" s="89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90"/>
      <c r="S249" s="88"/>
      <c r="T249" s="88"/>
      <c r="U249" s="88"/>
      <c r="V249" s="88"/>
      <c r="W249" s="88"/>
      <c r="X249" s="88"/>
      <c r="Y249" s="88"/>
      <c r="Z249" s="90"/>
      <c r="AA249" s="88"/>
      <c r="AB249" s="88"/>
      <c r="AC249" s="88"/>
      <c r="AD249" s="88"/>
      <c r="AE249" s="88"/>
      <c r="AF249" s="88"/>
      <c r="AG249" s="88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</row>
    <row r="250" spans="1:122" s="60" customFormat="1" ht="16.5" hidden="1" customHeight="1">
      <c r="A250" s="88"/>
      <c r="B250" s="88"/>
      <c r="C250" s="89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90"/>
      <c r="S250" s="88"/>
      <c r="T250" s="88"/>
      <c r="U250" s="88"/>
      <c r="V250" s="88"/>
      <c r="W250" s="88"/>
      <c r="X250" s="88"/>
      <c r="Y250" s="88"/>
      <c r="Z250" s="90"/>
      <c r="AA250" s="88"/>
      <c r="AB250" s="88"/>
      <c r="AC250" s="88"/>
      <c r="AD250" s="88"/>
      <c r="AE250" s="88"/>
      <c r="AF250" s="88"/>
      <c r="AG250" s="88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</row>
    <row r="251" spans="1:122" s="60" customFormat="1" ht="16.5" hidden="1" customHeight="1">
      <c r="A251" s="88"/>
      <c r="B251" s="88"/>
      <c r="C251" s="89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90"/>
      <c r="S251" s="88"/>
      <c r="T251" s="88"/>
      <c r="U251" s="88"/>
      <c r="V251" s="88"/>
      <c r="W251" s="88"/>
      <c r="X251" s="88"/>
      <c r="Y251" s="88"/>
      <c r="Z251" s="90"/>
      <c r="AA251" s="88"/>
      <c r="AB251" s="88"/>
      <c r="AC251" s="88"/>
      <c r="AD251" s="88"/>
      <c r="AE251" s="88"/>
      <c r="AF251" s="88"/>
      <c r="AG251" s="88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</row>
    <row r="252" spans="1:122" s="60" customFormat="1" ht="16.5" hidden="1" customHeight="1">
      <c r="A252" s="88"/>
      <c r="B252" s="88"/>
      <c r="C252" s="89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90"/>
      <c r="S252" s="88"/>
      <c r="T252" s="88"/>
      <c r="U252" s="88"/>
      <c r="V252" s="88"/>
      <c r="W252" s="88"/>
      <c r="X252" s="88"/>
      <c r="Y252" s="88"/>
      <c r="Z252" s="90"/>
      <c r="AA252" s="88"/>
      <c r="AB252" s="88"/>
      <c r="AC252" s="88"/>
      <c r="AD252" s="88"/>
      <c r="AE252" s="88"/>
      <c r="AF252" s="88"/>
      <c r="AG252" s="8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</row>
    <row r="253" spans="1:122" s="60" customFormat="1" ht="16.5" hidden="1" customHeight="1">
      <c r="A253" s="88"/>
      <c r="B253" s="88"/>
      <c r="C253" s="89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90"/>
      <c r="S253" s="88"/>
      <c r="T253" s="88"/>
      <c r="U253" s="88"/>
      <c r="V253" s="88"/>
      <c r="W253" s="88"/>
      <c r="X253" s="88"/>
      <c r="Y253" s="88"/>
      <c r="Z253" s="90"/>
      <c r="AA253" s="88"/>
      <c r="AB253" s="88"/>
      <c r="AC253" s="88"/>
      <c r="AD253" s="88"/>
      <c r="AE253" s="88"/>
      <c r="AF253" s="88"/>
      <c r="AG253" s="88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</row>
    <row r="254" spans="1:122" s="60" customFormat="1" ht="16.5" hidden="1" customHeight="1">
      <c r="A254" s="88"/>
      <c r="B254" s="88"/>
      <c r="C254" s="89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90"/>
      <c r="S254" s="88"/>
      <c r="T254" s="88"/>
      <c r="U254" s="88"/>
      <c r="V254" s="88"/>
      <c r="W254" s="88"/>
      <c r="X254" s="88"/>
      <c r="Y254" s="88"/>
      <c r="Z254" s="90"/>
      <c r="AA254" s="88"/>
      <c r="AB254" s="88"/>
      <c r="AC254" s="88"/>
      <c r="AD254" s="88"/>
      <c r="AE254" s="88"/>
      <c r="AF254" s="88"/>
      <c r="AG254" s="88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</row>
    <row r="255" spans="1:122" s="60" customFormat="1" ht="16.5" hidden="1" customHeight="1">
      <c r="A255" s="88"/>
      <c r="B255" s="88"/>
      <c r="C255" s="89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90"/>
      <c r="S255" s="88"/>
      <c r="T255" s="88"/>
      <c r="U255" s="88"/>
      <c r="V255" s="88"/>
      <c r="W255" s="88"/>
      <c r="X255" s="88"/>
      <c r="Y255" s="88"/>
      <c r="Z255" s="90"/>
      <c r="AA255" s="88"/>
      <c r="AB255" s="88"/>
      <c r="AC255" s="88"/>
      <c r="AD255" s="88"/>
      <c r="AE255" s="88"/>
      <c r="AF255" s="88"/>
      <c r="AG255" s="88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</row>
    <row r="256" spans="1:122" s="61" customFormat="1" ht="16.5" hidden="1" customHeight="1">
      <c r="A256" s="72"/>
      <c r="B256" s="72"/>
      <c r="C256" s="74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5"/>
      <c r="S256" s="72"/>
      <c r="T256" s="72"/>
      <c r="U256" s="72"/>
      <c r="V256" s="72"/>
      <c r="W256" s="72"/>
      <c r="X256" s="72"/>
      <c r="Y256" s="72"/>
      <c r="Z256" s="75"/>
      <c r="AA256" s="72"/>
      <c r="AB256" s="72"/>
      <c r="AC256" s="72"/>
      <c r="AD256" s="72"/>
      <c r="AE256" s="72"/>
      <c r="AF256" s="72"/>
      <c r="AG256" s="72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</row>
    <row r="257" spans="1:122" s="61" customFormat="1" ht="16.5" hidden="1" customHeight="1">
      <c r="A257" s="72"/>
      <c r="B257" s="72"/>
      <c r="C257" s="74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5"/>
      <c r="S257" s="72"/>
      <c r="T257" s="72"/>
      <c r="U257" s="72"/>
      <c r="V257" s="72"/>
      <c r="W257" s="72"/>
      <c r="X257" s="72"/>
      <c r="Y257" s="72"/>
      <c r="Z257" s="75"/>
      <c r="AA257" s="72"/>
      <c r="AB257" s="72"/>
      <c r="AC257" s="72"/>
      <c r="AD257" s="72"/>
      <c r="AE257" s="72"/>
      <c r="AF257" s="72"/>
      <c r="AG257" s="72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</row>
    <row r="258" spans="1:122" s="61" customFormat="1" ht="16.5" hidden="1" customHeight="1">
      <c r="A258" s="72"/>
      <c r="B258" s="72"/>
      <c r="C258" s="74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5"/>
      <c r="S258" s="72"/>
      <c r="T258" s="72"/>
      <c r="U258" s="72"/>
      <c r="V258" s="72"/>
      <c r="W258" s="72"/>
      <c r="X258" s="72"/>
      <c r="Y258" s="72"/>
      <c r="Z258" s="75"/>
      <c r="AA258" s="72"/>
      <c r="AB258" s="72"/>
      <c r="AC258" s="72"/>
      <c r="AD258" s="72"/>
      <c r="AE258" s="72"/>
      <c r="AF258" s="72"/>
      <c r="AG258" s="72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</row>
    <row r="259" spans="1:122" s="61" customFormat="1" ht="16.5" hidden="1" customHeight="1">
      <c r="A259" s="72"/>
      <c r="B259" s="72"/>
      <c r="C259" s="74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5"/>
      <c r="S259" s="72"/>
      <c r="T259" s="72"/>
      <c r="U259" s="72"/>
      <c r="V259" s="72"/>
      <c r="W259" s="72"/>
      <c r="X259" s="72"/>
      <c r="Y259" s="72"/>
      <c r="Z259" s="75"/>
      <c r="AA259" s="72"/>
      <c r="AB259" s="72"/>
      <c r="AC259" s="72"/>
      <c r="AD259" s="72"/>
      <c r="AE259" s="72"/>
      <c r="AF259" s="72"/>
      <c r="AG259" s="72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</row>
    <row r="260" spans="1:122" s="61" customFormat="1" ht="16.5" hidden="1" customHeight="1">
      <c r="A260" s="72"/>
      <c r="B260" s="72"/>
      <c r="C260" s="74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5"/>
      <c r="S260" s="72"/>
      <c r="T260" s="72"/>
      <c r="U260" s="72"/>
      <c r="V260" s="72"/>
      <c r="W260" s="72"/>
      <c r="X260" s="72"/>
      <c r="Y260" s="72"/>
      <c r="Z260" s="75"/>
      <c r="AA260" s="72"/>
      <c r="AB260" s="72"/>
      <c r="AC260" s="72"/>
      <c r="AD260" s="72"/>
      <c r="AE260" s="72"/>
      <c r="AF260" s="72"/>
      <c r="AG260" s="72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</row>
    <row r="261" spans="1:122" s="61" customFormat="1" ht="16.5" hidden="1" customHeight="1">
      <c r="A261" s="72"/>
      <c r="B261" s="72"/>
      <c r="C261" s="74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5"/>
      <c r="S261" s="72"/>
      <c r="T261" s="72"/>
      <c r="U261" s="72"/>
      <c r="V261" s="72"/>
      <c r="W261" s="72"/>
      <c r="X261" s="72"/>
      <c r="Y261" s="72"/>
      <c r="Z261" s="75"/>
      <c r="AA261" s="72"/>
      <c r="AB261" s="72"/>
      <c r="AC261" s="72"/>
      <c r="AD261" s="72"/>
      <c r="AE261" s="72"/>
      <c r="AF261" s="72"/>
      <c r="AG261" s="72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</row>
    <row r="262" spans="1:122" s="61" customFormat="1" ht="16.5" hidden="1" customHeight="1">
      <c r="A262" s="72"/>
      <c r="B262" s="72"/>
      <c r="C262" s="74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5"/>
      <c r="S262" s="72"/>
      <c r="T262" s="72"/>
      <c r="U262" s="72"/>
      <c r="V262" s="72"/>
      <c r="W262" s="72"/>
      <c r="X262" s="72"/>
      <c r="Y262" s="72"/>
      <c r="Z262" s="75"/>
      <c r="AA262" s="72"/>
      <c r="AB262" s="72"/>
      <c r="AC262" s="72"/>
      <c r="AD262" s="72"/>
      <c r="AE262" s="72"/>
      <c r="AF262" s="72"/>
      <c r="AG262" s="72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</row>
    <row r="263" spans="1:122" s="61" customFormat="1" ht="16.5" hidden="1" customHeight="1">
      <c r="A263" s="72"/>
      <c r="B263" s="72"/>
      <c r="C263" s="74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5"/>
      <c r="S263" s="72"/>
      <c r="T263" s="72"/>
      <c r="U263" s="72"/>
      <c r="V263" s="72"/>
      <c r="W263" s="72"/>
      <c r="X263" s="72"/>
      <c r="Y263" s="72"/>
      <c r="Z263" s="75"/>
      <c r="AA263" s="72"/>
      <c r="AB263" s="72"/>
      <c r="AC263" s="72"/>
      <c r="AD263" s="72"/>
      <c r="AE263" s="72"/>
      <c r="AF263" s="72"/>
      <c r="AG263" s="72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</row>
    <row r="264" spans="1:122" s="61" customFormat="1" ht="16.5" hidden="1" customHeight="1">
      <c r="A264" s="72"/>
      <c r="B264" s="72"/>
      <c r="C264" s="74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5"/>
      <c r="S264" s="72"/>
      <c r="T264" s="72"/>
      <c r="U264" s="72"/>
      <c r="V264" s="72"/>
      <c r="W264" s="72"/>
      <c r="X264" s="72"/>
      <c r="Y264" s="72"/>
      <c r="Z264" s="75"/>
      <c r="AA264" s="72"/>
      <c r="AB264" s="72"/>
      <c r="AC264" s="72"/>
      <c r="AD264" s="72"/>
      <c r="AE264" s="72"/>
      <c r="AF264" s="72"/>
      <c r="AG264" s="72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</row>
    <row r="265" spans="1:122" s="61" customFormat="1" ht="16.5" hidden="1" customHeight="1">
      <c r="A265" s="72"/>
      <c r="B265" s="72"/>
      <c r="C265" s="74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5"/>
      <c r="S265" s="72"/>
      <c r="T265" s="72"/>
      <c r="U265" s="72"/>
      <c r="V265" s="72"/>
      <c r="W265" s="72"/>
      <c r="X265" s="72"/>
      <c r="Y265" s="72"/>
      <c r="Z265" s="75"/>
      <c r="AA265" s="72"/>
      <c r="AB265" s="72"/>
      <c r="AC265" s="72"/>
      <c r="AD265" s="72"/>
      <c r="AE265" s="72"/>
      <c r="AF265" s="72"/>
      <c r="AG265" s="72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</row>
    <row r="266" spans="1:122" s="61" customFormat="1" ht="16.5" hidden="1" customHeight="1">
      <c r="A266" s="72"/>
      <c r="B266" s="72"/>
      <c r="C266" s="74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5"/>
      <c r="S266" s="72"/>
      <c r="T266" s="72"/>
      <c r="U266" s="72"/>
      <c r="V266" s="72"/>
      <c r="W266" s="72"/>
      <c r="X266" s="72"/>
      <c r="Y266" s="72"/>
      <c r="Z266" s="75"/>
      <c r="AA266" s="72"/>
      <c r="AB266" s="72"/>
      <c r="AC266" s="72"/>
      <c r="AD266" s="72"/>
      <c r="AE266" s="72"/>
      <c r="AF266" s="72"/>
      <c r="AG266" s="72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</row>
    <row r="267" spans="1:122" s="61" customFormat="1" ht="16.5" hidden="1" customHeight="1">
      <c r="A267" s="72"/>
      <c r="B267" s="72"/>
      <c r="C267" s="74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5"/>
      <c r="S267" s="72"/>
      <c r="T267" s="72"/>
      <c r="U267" s="72"/>
      <c r="V267" s="72"/>
      <c r="W267" s="72"/>
      <c r="X267" s="72"/>
      <c r="Y267" s="72"/>
      <c r="Z267" s="75"/>
      <c r="AA267" s="72"/>
      <c r="AB267" s="72"/>
      <c r="AC267" s="72"/>
      <c r="AD267" s="72"/>
      <c r="AE267" s="72"/>
      <c r="AF267" s="72"/>
      <c r="AG267" s="72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</row>
    <row r="268" spans="1:122" s="61" customFormat="1" ht="16.5" hidden="1" customHeight="1">
      <c r="A268" s="72"/>
      <c r="B268" s="72"/>
      <c r="C268" s="74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5"/>
      <c r="S268" s="72"/>
      <c r="T268" s="72"/>
      <c r="U268" s="72"/>
      <c r="V268" s="72"/>
      <c r="W268" s="72"/>
      <c r="X268" s="72"/>
      <c r="Y268" s="72"/>
      <c r="Z268" s="75"/>
      <c r="AA268" s="72"/>
      <c r="AB268" s="72"/>
      <c r="AC268" s="72"/>
      <c r="AD268" s="72"/>
      <c r="AE268" s="72"/>
      <c r="AF268" s="72"/>
      <c r="AG268" s="72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</row>
    <row r="269" spans="1:122" s="61" customFormat="1" ht="16.5" hidden="1" customHeight="1">
      <c r="A269" s="72"/>
      <c r="B269" s="72"/>
      <c r="C269" s="74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5"/>
      <c r="S269" s="72"/>
      <c r="T269" s="72"/>
      <c r="U269" s="72"/>
      <c r="V269" s="72"/>
      <c r="W269" s="72"/>
      <c r="X269" s="72"/>
      <c r="Y269" s="72"/>
      <c r="Z269" s="75"/>
      <c r="AA269" s="72"/>
      <c r="AB269" s="72"/>
      <c r="AC269" s="72"/>
      <c r="AD269" s="72"/>
      <c r="AE269" s="72"/>
      <c r="AF269" s="72"/>
      <c r="AG269" s="72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</row>
    <row r="270" spans="1:122" s="61" customFormat="1" ht="16.5" hidden="1" customHeight="1">
      <c r="A270" s="72"/>
      <c r="B270" s="72"/>
      <c r="C270" s="74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5"/>
      <c r="S270" s="72"/>
      <c r="T270" s="72"/>
      <c r="U270" s="72"/>
      <c r="V270" s="72"/>
      <c r="W270" s="72"/>
      <c r="X270" s="72"/>
      <c r="Y270" s="72"/>
      <c r="Z270" s="75"/>
      <c r="AA270" s="72"/>
      <c r="AB270" s="72"/>
      <c r="AC270" s="72"/>
      <c r="AD270" s="72"/>
      <c r="AE270" s="72"/>
      <c r="AF270" s="72"/>
      <c r="AG270" s="72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</row>
    <row r="271" spans="1:122" s="61" customFormat="1" ht="16.5" hidden="1" customHeight="1">
      <c r="A271" s="72"/>
      <c r="B271" s="72"/>
      <c r="C271" s="74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5"/>
      <c r="S271" s="72"/>
      <c r="T271" s="72"/>
      <c r="U271" s="72"/>
      <c r="V271" s="72"/>
      <c r="W271" s="72"/>
      <c r="X271" s="72"/>
      <c r="Y271" s="72"/>
      <c r="Z271" s="75"/>
      <c r="AA271" s="72"/>
      <c r="AB271" s="72"/>
      <c r="AC271" s="72"/>
      <c r="AD271" s="72"/>
      <c r="AE271" s="72"/>
      <c r="AF271" s="72"/>
      <c r="AG271" s="72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</row>
    <row r="272" spans="1:122" s="61" customFormat="1" ht="16.5" hidden="1" customHeight="1">
      <c r="A272" s="72"/>
      <c r="B272" s="72"/>
      <c r="C272" s="74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5"/>
      <c r="S272" s="72"/>
      <c r="T272" s="72"/>
      <c r="U272" s="72"/>
      <c r="V272" s="72"/>
      <c r="W272" s="72"/>
      <c r="X272" s="72"/>
      <c r="Y272" s="72"/>
      <c r="Z272" s="75"/>
      <c r="AA272" s="72"/>
      <c r="AB272" s="72"/>
      <c r="AC272" s="72"/>
      <c r="AD272" s="72"/>
      <c r="AE272" s="72"/>
      <c r="AF272" s="72"/>
      <c r="AG272" s="72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</row>
    <row r="273" spans="1:122" s="61" customFormat="1" ht="16.5" hidden="1" customHeight="1">
      <c r="A273" s="72"/>
      <c r="B273" s="72"/>
      <c r="C273" s="74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5"/>
      <c r="S273" s="72"/>
      <c r="T273" s="72"/>
      <c r="U273" s="72"/>
      <c r="V273" s="72"/>
      <c r="W273" s="72"/>
      <c r="X273" s="72"/>
      <c r="Y273" s="72"/>
      <c r="Z273" s="75"/>
      <c r="AA273" s="72"/>
      <c r="AB273" s="72"/>
      <c r="AC273" s="72"/>
      <c r="AD273" s="72"/>
      <c r="AE273" s="72"/>
      <c r="AF273" s="72"/>
      <c r="AG273" s="72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</row>
    <row r="274" spans="1:122" s="61" customFormat="1" ht="16.5" hidden="1" customHeight="1">
      <c r="A274" s="72"/>
      <c r="B274" s="72"/>
      <c r="C274" s="74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5"/>
      <c r="S274" s="72"/>
      <c r="T274" s="72"/>
      <c r="U274" s="72"/>
      <c r="V274" s="72"/>
      <c r="W274" s="72"/>
      <c r="X274" s="72"/>
      <c r="Y274" s="72"/>
      <c r="Z274" s="75"/>
      <c r="AA274" s="72"/>
      <c r="AB274" s="72"/>
      <c r="AC274" s="72"/>
      <c r="AD274" s="72"/>
      <c r="AE274" s="72"/>
      <c r="AF274" s="72"/>
      <c r="AG274" s="72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</row>
    <row r="275" spans="1:122" s="61" customFormat="1" ht="16.5" hidden="1" customHeight="1">
      <c r="A275" s="72"/>
      <c r="B275" s="72"/>
      <c r="C275" s="74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5"/>
      <c r="S275" s="72"/>
      <c r="T275" s="72"/>
      <c r="U275" s="72"/>
      <c r="V275" s="72"/>
      <c r="W275" s="72"/>
      <c r="X275" s="72"/>
      <c r="Y275" s="72"/>
      <c r="Z275" s="75"/>
      <c r="AA275" s="72"/>
      <c r="AB275" s="72"/>
      <c r="AC275" s="72"/>
      <c r="AD275" s="72"/>
      <c r="AE275" s="72"/>
      <c r="AF275" s="72"/>
      <c r="AG275" s="72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</row>
    <row r="276" spans="1:122" s="61" customFormat="1" ht="16.5" hidden="1" customHeight="1">
      <c r="A276" s="72"/>
      <c r="B276" s="72"/>
      <c r="C276" s="74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5"/>
      <c r="S276" s="72"/>
      <c r="T276" s="72"/>
      <c r="U276" s="72"/>
      <c r="V276" s="72"/>
      <c r="W276" s="72"/>
      <c r="X276" s="72"/>
      <c r="Y276" s="72"/>
      <c r="Z276" s="75"/>
      <c r="AA276" s="72"/>
      <c r="AB276" s="72"/>
      <c r="AC276" s="72"/>
      <c r="AD276" s="72"/>
      <c r="AE276" s="72"/>
      <c r="AF276" s="72"/>
      <c r="AG276" s="72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</row>
    <row r="277" spans="1:122" s="61" customFormat="1" ht="16.5" hidden="1" customHeight="1">
      <c r="A277" s="72"/>
      <c r="B277" s="72"/>
      <c r="C277" s="74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5"/>
      <c r="S277" s="72"/>
      <c r="T277" s="72"/>
      <c r="U277" s="72"/>
      <c r="V277" s="72"/>
      <c r="W277" s="72"/>
      <c r="X277" s="72"/>
      <c r="Y277" s="72"/>
      <c r="Z277" s="75"/>
      <c r="AA277" s="72"/>
      <c r="AB277" s="72"/>
      <c r="AC277" s="72"/>
      <c r="AD277" s="72"/>
      <c r="AE277" s="72"/>
      <c r="AF277" s="72"/>
      <c r="AG277" s="72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</row>
    <row r="278" spans="1:122" s="61" customFormat="1" ht="16.5" hidden="1" customHeight="1">
      <c r="A278" s="72"/>
      <c r="B278" s="72"/>
      <c r="C278" s="74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5"/>
      <c r="S278" s="72"/>
      <c r="T278" s="72"/>
      <c r="U278" s="72"/>
      <c r="V278" s="72"/>
      <c r="W278" s="72"/>
      <c r="X278" s="72"/>
      <c r="Y278" s="72"/>
      <c r="Z278" s="75"/>
      <c r="AA278" s="72"/>
      <c r="AB278" s="72"/>
      <c r="AC278" s="72"/>
      <c r="AD278" s="72"/>
      <c r="AE278" s="72"/>
      <c r="AF278" s="72"/>
      <c r="AG278" s="72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</row>
    <row r="279" spans="1:122" s="61" customFormat="1" ht="16.5" hidden="1" customHeight="1">
      <c r="A279" s="72"/>
      <c r="B279" s="72"/>
      <c r="C279" s="74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5"/>
      <c r="S279" s="72"/>
      <c r="T279" s="72"/>
      <c r="U279" s="72"/>
      <c r="V279" s="72"/>
      <c r="W279" s="72"/>
      <c r="X279" s="72"/>
      <c r="Y279" s="72"/>
      <c r="Z279" s="75"/>
      <c r="AA279" s="72"/>
      <c r="AB279" s="72"/>
      <c r="AC279" s="72"/>
      <c r="AD279" s="72"/>
      <c r="AE279" s="72"/>
      <c r="AF279" s="72"/>
      <c r="AG279" s="72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</row>
    <row r="280" spans="1:122" s="61" customFormat="1" ht="16.5" hidden="1" customHeight="1">
      <c r="A280" s="72"/>
      <c r="B280" s="72"/>
      <c r="C280" s="74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5"/>
      <c r="S280" s="72"/>
      <c r="T280" s="72"/>
      <c r="U280" s="72"/>
      <c r="V280" s="72"/>
      <c r="W280" s="72"/>
      <c r="X280" s="72"/>
      <c r="Y280" s="72"/>
      <c r="Z280" s="75"/>
      <c r="AA280" s="72"/>
      <c r="AB280" s="72"/>
      <c r="AC280" s="72"/>
      <c r="AD280" s="72"/>
      <c r="AE280" s="72"/>
      <c r="AF280" s="72"/>
      <c r="AG280" s="72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</row>
    <row r="281" spans="1:122" s="61" customFormat="1" ht="16.5" hidden="1" customHeight="1">
      <c r="A281" s="72"/>
      <c r="B281" s="72"/>
      <c r="C281" s="74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5"/>
      <c r="S281" s="72"/>
      <c r="T281" s="72"/>
      <c r="U281" s="72"/>
      <c r="V281" s="72"/>
      <c r="W281" s="72"/>
      <c r="X281" s="72"/>
      <c r="Y281" s="72"/>
      <c r="Z281" s="75"/>
      <c r="AA281" s="72"/>
      <c r="AB281" s="72"/>
      <c r="AC281" s="72"/>
      <c r="AD281" s="72"/>
      <c r="AE281" s="72"/>
      <c r="AF281" s="72"/>
      <c r="AG281" s="72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</row>
    <row r="282" spans="1:122" s="61" customFormat="1" ht="16.5" hidden="1" customHeight="1">
      <c r="A282" s="72"/>
      <c r="B282" s="72"/>
      <c r="C282" s="74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5"/>
      <c r="S282" s="72"/>
      <c r="T282" s="72"/>
      <c r="U282" s="72"/>
      <c r="V282" s="72"/>
      <c r="W282" s="72"/>
      <c r="X282" s="72"/>
      <c r="Y282" s="72"/>
      <c r="Z282" s="75"/>
      <c r="AA282" s="72"/>
      <c r="AB282" s="72"/>
      <c r="AC282" s="72"/>
      <c r="AD282" s="72"/>
      <c r="AE282" s="72"/>
      <c r="AF282" s="72"/>
      <c r="AG282" s="72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</row>
    <row r="283" spans="1:122" s="61" customFormat="1" ht="16.5" hidden="1" customHeight="1">
      <c r="A283" s="72"/>
      <c r="B283" s="72"/>
      <c r="C283" s="74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5"/>
      <c r="S283" s="72"/>
      <c r="T283" s="72"/>
      <c r="U283" s="72"/>
      <c r="V283" s="72"/>
      <c r="W283" s="72"/>
      <c r="X283" s="72"/>
      <c r="Y283" s="72"/>
      <c r="Z283" s="75"/>
      <c r="AA283" s="72"/>
      <c r="AB283" s="72"/>
      <c r="AC283" s="72"/>
      <c r="AD283" s="72"/>
      <c r="AE283" s="72"/>
      <c r="AF283" s="72"/>
      <c r="AG283" s="72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</row>
    <row r="284" spans="1:122" s="61" customFormat="1" ht="16.5" hidden="1" customHeight="1">
      <c r="A284" s="72"/>
      <c r="B284" s="72"/>
      <c r="C284" s="74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5"/>
      <c r="S284" s="72"/>
      <c r="T284" s="72"/>
      <c r="U284" s="72"/>
      <c r="V284" s="72"/>
      <c r="W284" s="72"/>
      <c r="X284" s="72"/>
      <c r="Y284" s="72"/>
      <c r="Z284" s="75"/>
      <c r="AA284" s="72"/>
      <c r="AB284" s="72"/>
      <c r="AC284" s="72"/>
      <c r="AD284" s="72"/>
      <c r="AE284" s="72"/>
      <c r="AF284" s="72"/>
      <c r="AG284" s="72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</row>
    <row r="285" spans="1:122" s="61" customFormat="1" ht="16.5" hidden="1" customHeight="1">
      <c r="A285" s="72"/>
      <c r="B285" s="72"/>
      <c r="C285" s="74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5"/>
      <c r="S285" s="72"/>
      <c r="T285" s="72"/>
      <c r="U285" s="72"/>
      <c r="V285" s="72"/>
      <c r="W285" s="72"/>
      <c r="X285" s="72"/>
      <c r="Y285" s="72"/>
      <c r="Z285" s="75"/>
      <c r="AA285" s="72"/>
      <c r="AB285" s="72"/>
      <c r="AC285" s="72"/>
      <c r="AD285" s="72"/>
      <c r="AE285" s="72"/>
      <c r="AF285" s="72"/>
      <c r="AG285" s="72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</row>
    <row r="286" spans="1:122" s="61" customFormat="1" ht="16.5" hidden="1" customHeight="1">
      <c r="A286" s="72"/>
      <c r="B286" s="72"/>
      <c r="C286" s="74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5"/>
      <c r="S286" s="72"/>
      <c r="T286" s="72"/>
      <c r="U286" s="72"/>
      <c r="V286" s="72"/>
      <c r="W286" s="72"/>
      <c r="X286" s="72"/>
      <c r="Y286" s="72"/>
      <c r="Z286" s="75"/>
      <c r="AA286" s="72"/>
      <c r="AB286" s="72"/>
      <c r="AC286" s="72"/>
      <c r="AD286" s="72"/>
      <c r="AE286" s="72"/>
      <c r="AF286" s="72"/>
      <c r="AG286" s="72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</row>
    <row r="287" spans="1:122" s="61" customFormat="1" ht="16.5" hidden="1" customHeight="1">
      <c r="A287" s="72"/>
      <c r="B287" s="72"/>
      <c r="C287" s="74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5"/>
      <c r="S287" s="72"/>
      <c r="T287" s="72"/>
      <c r="U287" s="72"/>
      <c r="V287" s="72"/>
      <c r="W287" s="72"/>
      <c r="X287" s="72"/>
      <c r="Y287" s="72"/>
      <c r="Z287" s="75"/>
      <c r="AA287" s="72"/>
      <c r="AB287" s="72"/>
      <c r="AC287" s="72"/>
      <c r="AD287" s="72"/>
      <c r="AE287" s="72"/>
      <c r="AF287" s="72"/>
      <c r="AG287" s="72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</row>
    <row r="288" spans="1:122" s="61" customFormat="1" ht="16.5" hidden="1" customHeight="1">
      <c r="A288" s="72"/>
      <c r="B288" s="72"/>
      <c r="C288" s="74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5"/>
      <c r="S288" s="72"/>
      <c r="T288" s="72"/>
      <c r="U288" s="72"/>
      <c r="V288" s="72"/>
      <c r="W288" s="72"/>
      <c r="X288" s="72"/>
      <c r="Y288" s="72"/>
      <c r="Z288" s="75"/>
      <c r="AA288" s="72"/>
      <c r="AB288" s="72"/>
      <c r="AC288" s="72"/>
      <c r="AD288" s="72"/>
      <c r="AE288" s="72"/>
      <c r="AF288" s="72"/>
      <c r="AG288" s="72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</row>
    <row r="289" spans="1:122" s="61" customFormat="1" ht="16.5" hidden="1" customHeight="1">
      <c r="A289" s="72"/>
      <c r="B289" s="72"/>
      <c r="C289" s="74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5"/>
      <c r="S289" s="72"/>
      <c r="T289" s="72"/>
      <c r="U289" s="72"/>
      <c r="V289" s="72"/>
      <c r="W289" s="72"/>
      <c r="X289" s="72"/>
      <c r="Y289" s="72"/>
      <c r="Z289" s="75"/>
      <c r="AA289" s="72"/>
      <c r="AB289" s="72"/>
      <c r="AC289" s="72"/>
      <c r="AD289" s="72"/>
      <c r="AE289" s="72"/>
      <c r="AF289" s="72"/>
      <c r="AG289" s="72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</row>
    <row r="290" spans="1:122" s="61" customFormat="1" ht="16.5" hidden="1" customHeight="1">
      <c r="A290" s="72"/>
      <c r="B290" s="72"/>
      <c r="C290" s="74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5"/>
      <c r="S290" s="72"/>
      <c r="T290" s="72"/>
      <c r="U290" s="72"/>
      <c r="V290" s="72"/>
      <c r="W290" s="72"/>
      <c r="X290" s="72"/>
      <c r="Y290" s="72"/>
      <c r="Z290" s="75"/>
      <c r="AA290" s="72"/>
      <c r="AB290" s="72"/>
      <c r="AC290" s="72"/>
      <c r="AD290" s="72"/>
      <c r="AE290" s="72"/>
      <c r="AF290" s="72"/>
      <c r="AG290" s="72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</row>
    <row r="291" spans="1:122" s="61" customFormat="1" ht="16.5" hidden="1" customHeight="1">
      <c r="A291" s="72"/>
      <c r="B291" s="72"/>
      <c r="C291" s="74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5"/>
      <c r="S291" s="72"/>
      <c r="T291" s="72"/>
      <c r="U291" s="72"/>
      <c r="V291" s="72"/>
      <c r="W291" s="72"/>
      <c r="X291" s="72"/>
      <c r="Y291" s="72"/>
      <c r="Z291" s="75"/>
      <c r="AA291" s="72"/>
      <c r="AB291" s="72"/>
      <c r="AC291" s="72"/>
      <c r="AD291" s="72"/>
      <c r="AE291" s="72"/>
      <c r="AF291" s="72"/>
      <c r="AG291" s="72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</row>
    <row r="292" spans="1:122" s="61" customFormat="1" ht="16.5" hidden="1" customHeight="1">
      <c r="A292" s="72"/>
      <c r="B292" s="72"/>
      <c r="C292" s="74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5"/>
      <c r="S292" s="72"/>
      <c r="T292" s="72"/>
      <c r="U292" s="72"/>
      <c r="V292" s="72"/>
      <c r="W292" s="72"/>
      <c r="X292" s="72"/>
      <c r="Y292" s="72"/>
      <c r="Z292" s="75"/>
      <c r="AA292" s="72"/>
      <c r="AB292" s="72"/>
      <c r="AC292" s="72"/>
      <c r="AD292" s="72"/>
      <c r="AE292" s="72"/>
      <c r="AF292" s="72"/>
      <c r="AG292" s="72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</row>
    <row r="293" spans="1:122" s="61" customFormat="1" ht="16.5" hidden="1" customHeight="1">
      <c r="A293" s="72"/>
      <c r="B293" s="72"/>
      <c r="C293" s="74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5"/>
      <c r="S293" s="72"/>
      <c r="T293" s="72"/>
      <c r="U293" s="72"/>
      <c r="V293" s="72"/>
      <c r="W293" s="72"/>
      <c r="X293" s="72"/>
      <c r="Y293" s="72"/>
      <c r="Z293" s="75"/>
      <c r="AA293" s="72"/>
      <c r="AB293" s="72"/>
      <c r="AC293" s="72"/>
      <c r="AD293" s="72"/>
      <c r="AE293" s="72"/>
      <c r="AF293" s="72"/>
      <c r="AG293" s="72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</row>
    <row r="294" spans="1:122" s="61" customFormat="1" ht="16.5" hidden="1" customHeight="1">
      <c r="A294" s="72"/>
      <c r="B294" s="72"/>
      <c r="C294" s="74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5"/>
      <c r="S294" s="72"/>
      <c r="T294" s="72"/>
      <c r="U294" s="72"/>
      <c r="V294" s="72"/>
      <c r="W294" s="72"/>
      <c r="X294" s="72"/>
      <c r="Y294" s="72"/>
      <c r="Z294" s="75"/>
      <c r="AA294" s="72"/>
      <c r="AB294" s="72"/>
      <c r="AC294" s="72"/>
      <c r="AD294" s="72"/>
      <c r="AE294" s="72"/>
      <c r="AF294" s="72"/>
      <c r="AG294" s="72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</row>
    <row r="295" spans="1:122" s="61" customFormat="1" ht="16.5" hidden="1" customHeight="1">
      <c r="A295" s="72"/>
      <c r="B295" s="72"/>
      <c r="C295" s="74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5"/>
      <c r="S295" s="72"/>
      <c r="T295" s="72"/>
      <c r="U295" s="72"/>
      <c r="V295" s="72"/>
      <c r="W295" s="72"/>
      <c r="X295" s="72"/>
      <c r="Y295" s="72"/>
      <c r="Z295" s="75"/>
      <c r="AA295" s="72"/>
      <c r="AB295" s="72"/>
      <c r="AC295" s="72"/>
      <c r="AD295" s="72"/>
      <c r="AE295" s="72"/>
      <c r="AF295" s="72"/>
      <c r="AG295" s="72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</row>
    <row r="296" spans="1:122" s="61" customFormat="1" ht="16.5" hidden="1" customHeight="1">
      <c r="A296" s="72"/>
      <c r="B296" s="72"/>
      <c r="C296" s="74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5"/>
      <c r="S296" s="72"/>
      <c r="T296" s="72"/>
      <c r="U296" s="72"/>
      <c r="V296" s="72"/>
      <c r="W296" s="72"/>
      <c r="X296" s="72"/>
      <c r="Y296" s="72"/>
      <c r="Z296" s="75"/>
      <c r="AA296" s="72"/>
      <c r="AB296" s="72"/>
      <c r="AC296" s="72"/>
      <c r="AD296" s="72"/>
      <c r="AE296" s="72"/>
      <c r="AF296" s="72"/>
      <c r="AG296" s="72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</row>
    <row r="297" spans="1:122" s="61" customFormat="1" ht="16.5" hidden="1" customHeight="1">
      <c r="A297" s="72"/>
      <c r="B297" s="72"/>
      <c r="C297" s="74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5"/>
      <c r="S297" s="72"/>
      <c r="T297" s="72"/>
      <c r="U297" s="72"/>
      <c r="V297" s="72"/>
      <c r="W297" s="72"/>
      <c r="X297" s="72"/>
      <c r="Y297" s="72"/>
      <c r="Z297" s="75"/>
      <c r="AA297" s="72"/>
      <c r="AB297" s="72"/>
      <c r="AC297" s="72"/>
      <c r="AD297" s="72"/>
      <c r="AE297" s="72"/>
      <c r="AF297" s="72"/>
      <c r="AG297" s="72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</row>
    <row r="298" spans="1:122" s="61" customFormat="1" ht="16.5" hidden="1" customHeight="1">
      <c r="A298" s="72"/>
      <c r="B298" s="72"/>
      <c r="C298" s="74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5"/>
      <c r="S298" s="72"/>
      <c r="T298" s="72"/>
      <c r="U298" s="72"/>
      <c r="V298" s="72"/>
      <c r="W298" s="72"/>
      <c r="X298" s="72"/>
      <c r="Y298" s="72"/>
      <c r="Z298" s="75"/>
      <c r="AA298" s="72"/>
      <c r="AB298" s="72"/>
      <c r="AC298" s="72"/>
      <c r="AD298" s="72"/>
      <c r="AE298" s="72"/>
      <c r="AF298" s="72"/>
      <c r="AG298" s="72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</row>
    <row r="299" spans="1:122" s="61" customFormat="1" ht="16.5" hidden="1" customHeight="1">
      <c r="A299" s="72"/>
      <c r="B299" s="72"/>
      <c r="C299" s="74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5"/>
      <c r="S299" s="72"/>
      <c r="T299" s="72"/>
      <c r="U299" s="72"/>
      <c r="V299" s="72"/>
      <c r="W299" s="72"/>
      <c r="X299" s="72"/>
      <c r="Y299" s="72"/>
      <c r="Z299" s="75"/>
      <c r="AA299" s="72"/>
      <c r="AB299" s="72"/>
      <c r="AC299" s="72"/>
      <c r="AD299" s="72"/>
      <c r="AE299" s="72"/>
      <c r="AF299" s="72"/>
      <c r="AG299" s="72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</row>
    <row r="300" spans="1:122" s="61" customFormat="1" ht="16.5" hidden="1" customHeight="1">
      <c r="A300" s="72"/>
      <c r="B300" s="72"/>
      <c r="C300" s="74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5"/>
      <c r="S300" s="72"/>
      <c r="T300" s="72"/>
      <c r="U300" s="72"/>
      <c r="V300" s="72"/>
      <c r="W300" s="72"/>
      <c r="X300" s="72"/>
      <c r="Y300" s="72"/>
      <c r="Z300" s="75"/>
      <c r="AA300" s="72"/>
      <c r="AB300" s="72"/>
      <c r="AC300" s="72"/>
      <c r="AD300" s="72"/>
      <c r="AE300" s="72"/>
      <c r="AF300" s="72"/>
      <c r="AG300" s="72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</row>
    <row r="301" spans="1:122" s="61" customFormat="1" ht="16.5" hidden="1" customHeight="1">
      <c r="A301" s="72"/>
      <c r="B301" s="72"/>
      <c r="C301" s="74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5"/>
      <c r="S301" s="72"/>
      <c r="T301" s="72"/>
      <c r="U301" s="72"/>
      <c r="V301" s="72"/>
      <c r="W301" s="72"/>
      <c r="X301" s="72"/>
      <c r="Y301" s="72"/>
      <c r="Z301" s="75"/>
      <c r="AA301" s="72"/>
      <c r="AB301" s="72"/>
      <c r="AC301" s="72"/>
      <c r="AD301" s="72"/>
      <c r="AE301" s="72"/>
      <c r="AF301" s="72"/>
      <c r="AG301" s="72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</row>
    <row r="302" spans="1:122" s="61" customFormat="1" ht="16.5" hidden="1" customHeight="1">
      <c r="A302" s="72"/>
      <c r="B302" s="72"/>
      <c r="C302" s="74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5"/>
      <c r="S302" s="72"/>
      <c r="T302" s="72"/>
      <c r="U302" s="72"/>
      <c r="V302" s="72"/>
      <c r="W302" s="72"/>
      <c r="X302" s="72"/>
      <c r="Y302" s="72"/>
      <c r="Z302" s="75"/>
      <c r="AA302" s="72"/>
      <c r="AB302" s="72"/>
      <c r="AC302" s="72"/>
      <c r="AD302" s="72"/>
      <c r="AE302" s="72"/>
      <c r="AF302" s="72"/>
      <c r="AG302" s="72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</row>
    <row r="303" spans="1:122" s="61" customFormat="1" ht="16.5" hidden="1" customHeight="1">
      <c r="A303" s="72"/>
      <c r="B303" s="72"/>
      <c r="C303" s="74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5"/>
      <c r="S303" s="72"/>
      <c r="T303" s="72"/>
      <c r="U303" s="72"/>
      <c r="V303" s="72"/>
      <c r="W303" s="72"/>
      <c r="X303" s="72"/>
      <c r="Y303" s="72"/>
      <c r="Z303" s="75"/>
      <c r="AA303" s="72"/>
      <c r="AB303" s="72"/>
      <c r="AC303" s="72"/>
      <c r="AD303" s="72"/>
      <c r="AE303" s="72"/>
      <c r="AF303" s="72"/>
      <c r="AG303" s="72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</row>
    <row r="304" spans="1:122" s="61" customFormat="1" ht="16.5" hidden="1" customHeight="1">
      <c r="A304" s="72"/>
      <c r="B304" s="72"/>
      <c r="C304" s="74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5"/>
      <c r="S304" s="72"/>
      <c r="T304" s="72"/>
      <c r="U304" s="72"/>
      <c r="V304" s="72"/>
      <c r="W304" s="72"/>
      <c r="X304" s="72"/>
      <c r="Y304" s="72"/>
      <c r="Z304" s="75"/>
      <c r="AA304" s="72"/>
      <c r="AB304" s="72"/>
      <c r="AC304" s="72"/>
      <c r="AD304" s="72"/>
      <c r="AE304" s="72"/>
      <c r="AF304" s="72"/>
      <c r="AG304" s="72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</row>
    <row r="305" spans="1:122" s="61" customFormat="1" ht="16.5" hidden="1" customHeight="1">
      <c r="A305" s="72"/>
      <c r="B305" s="72"/>
      <c r="C305" s="74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5"/>
      <c r="S305" s="72"/>
      <c r="T305" s="72"/>
      <c r="U305" s="72"/>
      <c r="V305" s="72"/>
      <c r="W305" s="72"/>
      <c r="X305" s="72"/>
      <c r="Y305" s="72"/>
      <c r="Z305" s="75"/>
      <c r="AA305" s="72"/>
      <c r="AB305" s="72"/>
      <c r="AC305" s="72"/>
      <c r="AD305" s="72"/>
      <c r="AE305" s="72"/>
      <c r="AF305" s="72"/>
      <c r="AG305" s="72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</row>
    <row r="306" spans="1:122" s="61" customFormat="1" ht="16.5" hidden="1" customHeight="1">
      <c r="A306" s="72"/>
      <c r="B306" s="72"/>
      <c r="C306" s="74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5"/>
      <c r="S306" s="72"/>
      <c r="T306" s="72"/>
      <c r="U306" s="72"/>
      <c r="V306" s="72"/>
      <c r="W306" s="72"/>
      <c r="X306" s="72"/>
      <c r="Y306" s="72"/>
      <c r="Z306" s="75"/>
      <c r="AA306" s="72"/>
      <c r="AB306" s="72"/>
      <c r="AC306" s="72"/>
      <c r="AD306" s="72"/>
      <c r="AE306" s="72"/>
      <c r="AF306" s="72"/>
      <c r="AG306" s="72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</row>
    <row r="307" spans="1:122" s="61" customFormat="1" ht="16.5" hidden="1" customHeight="1">
      <c r="A307" s="72"/>
      <c r="B307" s="72"/>
      <c r="C307" s="74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5"/>
      <c r="S307" s="72"/>
      <c r="T307" s="72"/>
      <c r="U307" s="72"/>
      <c r="V307" s="72"/>
      <c r="W307" s="72"/>
      <c r="X307" s="72"/>
      <c r="Y307" s="72"/>
      <c r="Z307" s="75"/>
      <c r="AA307" s="72"/>
      <c r="AB307" s="72"/>
      <c r="AC307" s="72"/>
      <c r="AD307" s="72"/>
      <c r="AE307" s="72"/>
      <c r="AF307" s="72"/>
      <c r="AG307" s="72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</row>
    <row r="308" spans="1:122" s="61" customFormat="1" ht="16.5" hidden="1" customHeight="1">
      <c r="A308" s="72"/>
      <c r="B308" s="72"/>
      <c r="C308" s="74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5"/>
      <c r="S308" s="72"/>
      <c r="T308" s="72"/>
      <c r="U308" s="72"/>
      <c r="V308" s="72"/>
      <c r="W308" s="72"/>
      <c r="X308" s="72"/>
      <c r="Y308" s="72"/>
      <c r="Z308" s="75"/>
      <c r="AA308" s="72"/>
      <c r="AB308" s="72"/>
      <c r="AC308" s="72"/>
      <c r="AD308" s="72"/>
      <c r="AE308" s="72"/>
      <c r="AF308" s="72"/>
      <c r="AG308" s="72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</row>
    <row r="309" spans="1:122" s="61" customFormat="1" ht="16.5" hidden="1" customHeight="1">
      <c r="A309" s="72"/>
      <c r="B309" s="72"/>
      <c r="C309" s="74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5"/>
      <c r="S309" s="72"/>
      <c r="T309" s="72"/>
      <c r="U309" s="72"/>
      <c r="V309" s="72"/>
      <c r="W309" s="72"/>
      <c r="X309" s="72"/>
      <c r="Y309" s="72"/>
      <c r="Z309" s="75"/>
      <c r="AA309" s="72"/>
      <c r="AB309" s="72"/>
      <c r="AC309" s="72"/>
      <c r="AD309" s="72"/>
      <c r="AE309" s="72"/>
      <c r="AF309" s="72"/>
      <c r="AG309" s="72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</row>
    <row r="310" spans="1:122" s="61" customFormat="1" ht="16.5" hidden="1" customHeight="1">
      <c r="A310" s="72"/>
      <c r="B310" s="72"/>
      <c r="C310" s="74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5"/>
      <c r="S310" s="72"/>
      <c r="T310" s="72"/>
      <c r="U310" s="72"/>
      <c r="V310" s="72"/>
      <c r="W310" s="72"/>
      <c r="X310" s="72"/>
      <c r="Y310" s="72"/>
      <c r="Z310" s="75"/>
      <c r="AA310" s="72"/>
      <c r="AB310" s="72"/>
      <c r="AC310" s="72"/>
      <c r="AD310" s="72"/>
      <c r="AE310" s="72"/>
      <c r="AF310" s="72"/>
      <c r="AG310" s="72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</row>
    <row r="311" spans="1:122" s="61" customFormat="1" ht="16.5" hidden="1" customHeight="1">
      <c r="A311" s="72"/>
      <c r="B311" s="72"/>
      <c r="C311" s="74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5"/>
      <c r="S311" s="72"/>
      <c r="T311" s="72"/>
      <c r="U311" s="72"/>
      <c r="V311" s="72"/>
      <c r="W311" s="72"/>
      <c r="X311" s="72"/>
      <c r="Y311" s="72"/>
      <c r="Z311" s="75"/>
      <c r="AA311" s="72"/>
      <c r="AB311" s="72"/>
      <c r="AC311" s="72"/>
      <c r="AD311" s="72"/>
      <c r="AE311" s="72"/>
      <c r="AF311" s="72"/>
      <c r="AG311" s="72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</row>
    <row r="312" spans="1:122" s="61" customFormat="1" ht="16.5" hidden="1" customHeight="1">
      <c r="A312" s="72"/>
      <c r="B312" s="72"/>
      <c r="C312" s="74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5"/>
      <c r="S312" s="72"/>
      <c r="T312" s="72"/>
      <c r="U312" s="72"/>
      <c r="V312" s="72"/>
      <c r="W312" s="72"/>
      <c r="X312" s="72"/>
      <c r="Y312" s="72"/>
      <c r="Z312" s="75"/>
      <c r="AA312" s="72"/>
      <c r="AB312" s="72"/>
      <c r="AC312" s="72"/>
      <c r="AD312" s="72"/>
      <c r="AE312" s="72"/>
      <c r="AF312" s="72"/>
      <c r="AG312" s="72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</row>
    <row r="313" spans="1:122" s="61" customFormat="1" ht="16.5" hidden="1" customHeight="1">
      <c r="A313" s="72"/>
      <c r="B313" s="72"/>
      <c r="C313" s="74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5"/>
      <c r="S313" s="72"/>
      <c r="T313" s="72"/>
      <c r="U313" s="72"/>
      <c r="V313" s="72"/>
      <c r="W313" s="72"/>
      <c r="X313" s="72"/>
      <c r="Y313" s="72"/>
      <c r="Z313" s="75"/>
      <c r="AA313" s="72"/>
      <c r="AB313" s="72"/>
      <c r="AC313" s="72"/>
      <c r="AD313" s="72"/>
      <c r="AE313" s="72"/>
      <c r="AF313" s="72"/>
      <c r="AG313" s="72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</row>
    <row r="314" spans="1:122" s="61" customFormat="1" ht="16.5" hidden="1" customHeight="1">
      <c r="A314" s="72"/>
      <c r="B314" s="72"/>
      <c r="C314" s="74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5"/>
      <c r="S314" s="72"/>
      <c r="T314" s="72"/>
      <c r="U314" s="72"/>
      <c r="V314" s="72"/>
      <c r="W314" s="72"/>
      <c r="X314" s="72"/>
      <c r="Y314" s="72"/>
      <c r="Z314" s="75"/>
      <c r="AA314" s="72"/>
      <c r="AB314" s="72"/>
      <c r="AC314" s="72"/>
      <c r="AD314" s="72"/>
      <c r="AE314" s="72"/>
      <c r="AF314" s="72"/>
      <c r="AG314" s="72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</row>
    <row r="315" spans="1:122" s="61" customFormat="1" ht="16.5" hidden="1" customHeight="1">
      <c r="A315" s="72"/>
      <c r="B315" s="72"/>
      <c r="C315" s="74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5"/>
      <c r="S315" s="72"/>
      <c r="T315" s="72"/>
      <c r="U315" s="72"/>
      <c r="V315" s="72"/>
      <c r="W315" s="72"/>
      <c r="X315" s="72"/>
      <c r="Y315" s="72"/>
      <c r="Z315" s="75"/>
      <c r="AA315" s="72"/>
      <c r="AB315" s="72"/>
      <c r="AC315" s="72"/>
      <c r="AD315" s="72"/>
      <c r="AE315" s="72"/>
      <c r="AF315" s="72"/>
      <c r="AG315" s="72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</row>
    <row r="316" spans="1:122" s="61" customFormat="1" ht="16.5" hidden="1" customHeight="1">
      <c r="A316" s="72"/>
      <c r="B316" s="72"/>
      <c r="C316" s="74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5"/>
      <c r="S316" s="72"/>
      <c r="T316" s="72"/>
      <c r="U316" s="72"/>
      <c r="V316" s="72"/>
      <c r="W316" s="72"/>
      <c r="X316" s="72"/>
      <c r="Y316" s="72"/>
      <c r="Z316" s="75"/>
      <c r="AA316" s="72"/>
      <c r="AB316" s="72"/>
      <c r="AC316" s="72"/>
      <c r="AD316" s="72"/>
      <c r="AE316" s="72"/>
      <c r="AF316" s="72"/>
      <c r="AG316" s="72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</row>
    <row r="317" spans="1:122" s="61" customFormat="1" ht="16.5" hidden="1" customHeight="1">
      <c r="A317" s="72"/>
      <c r="B317" s="72"/>
      <c r="C317" s="74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5"/>
      <c r="S317" s="72"/>
      <c r="T317" s="72"/>
      <c r="U317" s="72"/>
      <c r="V317" s="72"/>
      <c r="W317" s="72"/>
      <c r="X317" s="72"/>
      <c r="Y317" s="72"/>
      <c r="Z317" s="75"/>
      <c r="AA317" s="72"/>
      <c r="AB317" s="72"/>
      <c r="AC317" s="72"/>
      <c r="AD317" s="72"/>
      <c r="AE317" s="72"/>
      <c r="AF317" s="72"/>
      <c r="AG317" s="72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</row>
    <row r="318" spans="1:122" s="61" customFormat="1" ht="16.5" hidden="1" customHeight="1">
      <c r="A318" s="72"/>
      <c r="B318" s="72"/>
      <c r="C318" s="74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5"/>
      <c r="S318" s="72"/>
      <c r="T318" s="72"/>
      <c r="U318" s="72"/>
      <c r="V318" s="72"/>
      <c r="W318" s="72"/>
      <c r="X318" s="72"/>
      <c r="Y318" s="72"/>
      <c r="Z318" s="75"/>
      <c r="AA318" s="72"/>
      <c r="AB318" s="72"/>
      <c r="AC318" s="72"/>
      <c r="AD318" s="72"/>
      <c r="AE318" s="72"/>
      <c r="AF318" s="72"/>
      <c r="AG318" s="72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</row>
    <row r="319" spans="1:122" s="61" customFormat="1" ht="16.5" hidden="1" customHeight="1">
      <c r="A319" s="72"/>
      <c r="B319" s="72"/>
      <c r="C319" s="74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5"/>
      <c r="S319" s="72"/>
      <c r="T319" s="72"/>
      <c r="U319" s="72"/>
      <c r="V319" s="72"/>
      <c r="W319" s="72"/>
      <c r="X319" s="72"/>
      <c r="Y319" s="72"/>
      <c r="Z319" s="75"/>
      <c r="AA319" s="72"/>
      <c r="AB319" s="72"/>
      <c r="AC319" s="72"/>
      <c r="AD319" s="72"/>
      <c r="AE319" s="72"/>
      <c r="AF319" s="72"/>
      <c r="AG319" s="72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</row>
    <row r="320" spans="1:122" s="61" customFormat="1" ht="16.5" hidden="1" customHeight="1">
      <c r="A320" s="72"/>
      <c r="B320" s="72"/>
      <c r="C320" s="74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5"/>
      <c r="S320" s="72"/>
      <c r="T320" s="72"/>
      <c r="U320" s="72"/>
      <c r="V320" s="72"/>
      <c r="W320" s="72"/>
      <c r="X320" s="72"/>
      <c r="Y320" s="72"/>
      <c r="Z320" s="75"/>
      <c r="AA320" s="72"/>
      <c r="AB320" s="72"/>
      <c r="AC320" s="72"/>
      <c r="AD320" s="72"/>
      <c r="AE320" s="72"/>
      <c r="AF320" s="72"/>
      <c r="AG320" s="72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</row>
    <row r="321" spans="1:122" s="61" customFormat="1" ht="16.5" hidden="1" customHeight="1">
      <c r="A321" s="72"/>
      <c r="B321" s="72"/>
      <c r="C321" s="74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5"/>
      <c r="S321" s="72"/>
      <c r="T321" s="72"/>
      <c r="U321" s="72"/>
      <c r="V321" s="72"/>
      <c r="W321" s="72"/>
      <c r="X321" s="72"/>
      <c r="Y321" s="72"/>
      <c r="Z321" s="75"/>
      <c r="AA321" s="72"/>
      <c r="AB321" s="72"/>
      <c r="AC321" s="72"/>
      <c r="AD321" s="72"/>
      <c r="AE321" s="72"/>
      <c r="AF321" s="72"/>
      <c r="AG321" s="72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</row>
    <row r="322" spans="1:122" s="61" customFormat="1" ht="16.5" hidden="1" customHeight="1">
      <c r="A322" s="72"/>
      <c r="B322" s="72"/>
      <c r="C322" s="74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5"/>
      <c r="S322" s="72"/>
      <c r="T322" s="72"/>
      <c r="U322" s="72"/>
      <c r="V322" s="72"/>
      <c r="W322" s="72"/>
      <c r="X322" s="72"/>
      <c r="Y322" s="72"/>
      <c r="Z322" s="75"/>
      <c r="AA322" s="72"/>
      <c r="AB322" s="72"/>
      <c r="AC322" s="72"/>
      <c r="AD322" s="72"/>
      <c r="AE322" s="72"/>
      <c r="AF322" s="72"/>
      <c r="AG322" s="72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</row>
    <row r="323" spans="1:122" s="61" customFormat="1" ht="16.5" hidden="1" customHeight="1">
      <c r="A323" s="72"/>
      <c r="B323" s="72"/>
      <c r="C323" s="74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5"/>
      <c r="S323" s="72"/>
      <c r="T323" s="72"/>
      <c r="U323" s="72"/>
      <c r="V323" s="72"/>
      <c r="W323" s="72"/>
      <c r="X323" s="72"/>
      <c r="Y323" s="72"/>
      <c r="Z323" s="75"/>
      <c r="AA323" s="72"/>
      <c r="AB323" s="72"/>
      <c r="AC323" s="72"/>
      <c r="AD323" s="72"/>
      <c r="AE323" s="72"/>
      <c r="AF323" s="72"/>
      <c r="AG323" s="72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</row>
    <row r="324" spans="1:122" s="61" customFormat="1" ht="16.5" hidden="1" customHeight="1">
      <c r="A324" s="72"/>
      <c r="B324" s="72"/>
      <c r="C324" s="74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5"/>
      <c r="S324" s="72"/>
      <c r="T324" s="72"/>
      <c r="U324" s="72"/>
      <c r="V324" s="72"/>
      <c r="W324" s="72"/>
      <c r="X324" s="72"/>
      <c r="Y324" s="72"/>
      <c r="Z324" s="75"/>
      <c r="AA324" s="72"/>
      <c r="AB324" s="72"/>
      <c r="AC324" s="72"/>
      <c r="AD324" s="72"/>
      <c r="AE324" s="72"/>
      <c r="AF324" s="72"/>
      <c r="AG324" s="72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</row>
    <row r="325" spans="1:122" s="61" customFormat="1" ht="16.5" hidden="1" customHeight="1">
      <c r="A325" s="72"/>
      <c r="B325" s="72"/>
      <c r="C325" s="74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5"/>
      <c r="S325" s="72"/>
      <c r="T325" s="72"/>
      <c r="U325" s="72"/>
      <c r="V325" s="72"/>
      <c r="W325" s="72"/>
      <c r="X325" s="72"/>
      <c r="Y325" s="72"/>
      <c r="Z325" s="75"/>
      <c r="AA325" s="72"/>
      <c r="AB325" s="72"/>
      <c r="AC325" s="72"/>
      <c r="AD325" s="72"/>
      <c r="AE325" s="72"/>
      <c r="AF325" s="72"/>
      <c r="AG325" s="72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</row>
    <row r="326" spans="1:122" s="61" customFormat="1" ht="16.5" hidden="1" customHeight="1">
      <c r="A326" s="72"/>
      <c r="B326" s="72"/>
      <c r="C326" s="74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5"/>
      <c r="S326" s="72"/>
      <c r="T326" s="72"/>
      <c r="U326" s="72"/>
      <c r="V326" s="72"/>
      <c r="W326" s="72"/>
      <c r="X326" s="72"/>
      <c r="Y326" s="72"/>
      <c r="Z326" s="75"/>
      <c r="AA326" s="72"/>
      <c r="AB326" s="72"/>
      <c r="AC326" s="72"/>
      <c r="AD326" s="72"/>
      <c r="AE326" s="72"/>
      <c r="AF326" s="72"/>
      <c r="AG326" s="72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</row>
    <row r="327" spans="1:122" s="61" customFormat="1" ht="16.5" hidden="1" customHeight="1">
      <c r="A327" s="72"/>
      <c r="B327" s="72"/>
      <c r="C327" s="74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5"/>
      <c r="S327" s="72"/>
      <c r="T327" s="72"/>
      <c r="U327" s="72"/>
      <c r="V327" s="72"/>
      <c r="W327" s="72"/>
      <c r="X327" s="72"/>
      <c r="Y327" s="72"/>
      <c r="Z327" s="75"/>
      <c r="AA327" s="72"/>
      <c r="AB327" s="72"/>
      <c r="AC327" s="72"/>
      <c r="AD327" s="72"/>
      <c r="AE327" s="72"/>
      <c r="AF327" s="72"/>
      <c r="AG327" s="72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</row>
    <row r="328" spans="1:122" s="61" customFormat="1" ht="16.5" hidden="1" customHeight="1">
      <c r="A328" s="72"/>
      <c r="B328" s="72"/>
      <c r="C328" s="74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5"/>
      <c r="S328" s="72"/>
      <c r="T328" s="72"/>
      <c r="U328" s="72"/>
      <c r="V328" s="72"/>
      <c r="W328" s="72"/>
      <c r="X328" s="72"/>
      <c r="Y328" s="72"/>
      <c r="Z328" s="75"/>
      <c r="AA328" s="72"/>
      <c r="AB328" s="72"/>
      <c r="AC328" s="72"/>
      <c r="AD328" s="72"/>
      <c r="AE328" s="72"/>
      <c r="AF328" s="72"/>
      <c r="AG328" s="72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</row>
    <row r="329" spans="1:122" s="61" customFormat="1" ht="16.5" hidden="1" customHeight="1">
      <c r="A329" s="72"/>
      <c r="B329" s="72"/>
      <c r="C329" s="74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5"/>
      <c r="S329" s="72"/>
      <c r="T329" s="72"/>
      <c r="U329" s="72"/>
      <c r="V329" s="72"/>
      <c r="W329" s="72"/>
      <c r="X329" s="72"/>
      <c r="Y329" s="72"/>
      <c r="Z329" s="75"/>
      <c r="AA329" s="72"/>
      <c r="AB329" s="72"/>
      <c r="AC329" s="72"/>
      <c r="AD329" s="72"/>
      <c r="AE329" s="72"/>
      <c r="AF329" s="72"/>
      <c r="AG329" s="72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</row>
    <row r="330" spans="1:122" s="61" customFormat="1" ht="16.5" hidden="1" customHeight="1">
      <c r="A330" s="72"/>
      <c r="B330" s="72"/>
      <c r="C330" s="74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5"/>
      <c r="S330" s="72"/>
      <c r="T330" s="72"/>
      <c r="U330" s="72"/>
      <c r="V330" s="72"/>
      <c r="W330" s="72"/>
      <c r="X330" s="72"/>
      <c r="Y330" s="72"/>
      <c r="Z330" s="75"/>
      <c r="AA330" s="72"/>
      <c r="AB330" s="72"/>
      <c r="AC330" s="72"/>
      <c r="AD330" s="72"/>
      <c r="AE330" s="72"/>
      <c r="AF330" s="72"/>
      <c r="AG330" s="72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</row>
    <row r="331" spans="1:122" s="61" customFormat="1" ht="16.5" hidden="1" customHeight="1">
      <c r="A331" s="72"/>
      <c r="B331" s="72"/>
      <c r="C331" s="74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5"/>
      <c r="S331" s="72"/>
      <c r="T331" s="72"/>
      <c r="U331" s="72"/>
      <c r="V331" s="72"/>
      <c r="W331" s="72"/>
      <c r="X331" s="72"/>
      <c r="Y331" s="72"/>
      <c r="Z331" s="75"/>
      <c r="AA331" s="72"/>
      <c r="AB331" s="72"/>
      <c r="AC331" s="72"/>
      <c r="AD331" s="72"/>
      <c r="AE331" s="72"/>
      <c r="AF331" s="72"/>
      <c r="AG331" s="72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</row>
    <row r="332" spans="1:122" s="61" customFormat="1" ht="16.5" hidden="1" customHeight="1">
      <c r="A332" s="72"/>
      <c r="B332" s="72"/>
      <c r="C332" s="74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5"/>
      <c r="S332" s="72"/>
      <c r="T332" s="72"/>
      <c r="U332" s="72"/>
      <c r="V332" s="72"/>
      <c r="W332" s="72"/>
      <c r="X332" s="72"/>
      <c r="Y332" s="72"/>
      <c r="Z332" s="75"/>
      <c r="AA332" s="72"/>
      <c r="AB332" s="72"/>
      <c r="AC332" s="72"/>
      <c r="AD332" s="72"/>
      <c r="AE332" s="72"/>
      <c r="AF332" s="72"/>
      <c r="AG332" s="72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</row>
    <row r="333" spans="1:122" s="61" customFormat="1" ht="16.5" hidden="1" customHeight="1">
      <c r="A333" s="72"/>
      <c r="B333" s="72"/>
      <c r="C333" s="74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5"/>
      <c r="S333" s="72"/>
      <c r="T333" s="72"/>
      <c r="U333" s="72"/>
      <c r="V333" s="72"/>
      <c r="W333" s="72"/>
      <c r="X333" s="72"/>
      <c r="Y333" s="72"/>
      <c r="Z333" s="75"/>
      <c r="AA333" s="72"/>
      <c r="AB333" s="72"/>
      <c r="AC333" s="72"/>
      <c r="AD333" s="72"/>
      <c r="AE333" s="72"/>
      <c r="AF333" s="72"/>
      <c r="AG333" s="72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</row>
    <row r="334" spans="1:122" s="61" customFormat="1" ht="16.5" hidden="1" customHeight="1">
      <c r="A334" s="72"/>
      <c r="B334" s="72"/>
      <c r="C334" s="74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5"/>
      <c r="S334" s="72"/>
      <c r="T334" s="72"/>
      <c r="U334" s="72"/>
      <c r="V334" s="72"/>
      <c r="W334" s="72"/>
      <c r="X334" s="72"/>
      <c r="Y334" s="72"/>
      <c r="Z334" s="75"/>
      <c r="AA334" s="72"/>
      <c r="AB334" s="72"/>
      <c r="AC334" s="72"/>
      <c r="AD334" s="72"/>
      <c r="AE334" s="72"/>
      <c r="AF334" s="72"/>
      <c r="AG334" s="72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</row>
    <row r="335" spans="1:122" s="61" customFormat="1" ht="16.5" hidden="1" customHeight="1">
      <c r="A335" s="72"/>
      <c r="B335" s="72"/>
      <c r="C335" s="74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5"/>
      <c r="S335" s="72"/>
      <c r="T335" s="72"/>
      <c r="U335" s="72"/>
      <c r="V335" s="72"/>
      <c r="W335" s="72"/>
      <c r="X335" s="72"/>
      <c r="Y335" s="72"/>
      <c r="Z335" s="75"/>
      <c r="AA335" s="72"/>
      <c r="AB335" s="72"/>
      <c r="AC335" s="72"/>
      <c r="AD335" s="72"/>
      <c r="AE335" s="72"/>
      <c r="AF335" s="72"/>
      <c r="AG335" s="72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</row>
    <row r="336" spans="1:122" s="61" customFormat="1" ht="16.5" hidden="1" customHeight="1">
      <c r="A336" s="72"/>
      <c r="B336" s="72"/>
      <c r="C336" s="74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5"/>
      <c r="S336" s="72"/>
      <c r="T336" s="72"/>
      <c r="U336" s="72"/>
      <c r="V336" s="72"/>
      <c r="W336" s="72"/>
      <c r="X336" s="72"/>
      <c r="Y336" s="72"/>
      <c r="Z336" s="75"/>
      <c r="AA336" s="72"/>
      <c r="AB336" s="72"/>
      <c r="AC336" s="72"/>
      <c r="AD336" s="72"/>
      <c r="AE336" s="72"/>
      <c r="AF336" s="72"/>
      <c r="AG336" s="72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</row>
    <row r="337" spans="1:122" s="61" customFormat="1" ht="16.5" hidden="1" customHeight="1">
      <c r="A337" s="72"/>
      <c r="B337" s="72"/>
      <c r="C337" s="74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5"/>
      <c r="S337" s="72"/>
      <c r="T337" s="72"/>
      <c r="U337" s="72"/>
      <c r="V337" s="72"/>
      <c r="W337" s="72"/>
      <c r="X337" s="72"/>
      <c r="Y337" s="72"/>
      <c r="Z337" s="75"/>
      <c r="AA337" s="72"/>
      <c r="AB337" s="72"/>
      <c r="AC337" s="72"/>
      <c r="AD337" s="72"/>
      <c r="AE337" s="72"/>
      <c r="AF337" s="72"/>
      <c r="AG337" s="72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</row>
    <row r="338" spans="1:122" s="61" customFormat="1" ht="16.5" hidden="1" customHeight="1">
      <c r="A338" s="72"/>
      <c r="B338" s="72"/>
      <c r="C338" s="74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5"/>
      <c r="S338" s="72"/>
      <c r="T338" s="72"/>
      <c r="U338" s="72"/>
      <c r="V338" s="72"/>
      <c r="W338" s="72"/>
      <c r="X338" s="72"/>
      <c r="Y338" s="72"/>
      <c r="Z338" s="75"/>
      <c r="AA338" s="72"/>
      <c r="AB338" s="72"/>
      <c r="AC338" s="72"/>
      <c r="AD338" s="72"/>
      <c r="AE338" s="72"/>
      <c r="AF338" s="72"/>
      <c r="AG338" s="72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</row>
    <row r="339" spans="1:122" s="61" customFormat="1" ht="16.5" hidden="1" customHeight="1">
      <c r="A339" s="72"/>
      <c r="B339" s="72"/>
      <c r="C339" s="74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5"/>
      <c r="S339" s="72"/>
      <c r="T339" s="72"/>
      <c r="U339" s="72"/>
      <c r="V339" s="72"/>
      <c r="W339" s="72"/>
      <c r="X339" s="72"/>
      <c r="Y339" s="72"/>
      <c r="Z339" s="75"/>
      <c r="AA339" s="72"/>
      <c r="AB339" s="72"/>
      <c r="AC339" s="72"/>
      <c r="AD339" s="72"/>
      <c r="AE339" s="72"/>
      <c r="AF339" s="72"/>
      <c r="AG339" s="72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</row>
    <row r="340" spans="1:122" s="61" customFormat="1" ht="16.5" hidden="1" customHeight="1">
      <c r="A340" s="72"/>
      <c r="B340" s="72"/>
      <c r="C340" s="74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5"/>
      <c r="S340" s="72"/>
      <c r="T340" s="72"/>
      <c r="U340" s="72"/>
      <c r="V340" s="72"/>
      <c r="W340" s="72"/>
      <c r="X340" s="72"/>
      <c r="Y340" s="72"/>
      <c r="Z340" s="75"/>
      <c r="AA340" s="72"/>
      <c r="AB340" s="72"/>
      <c r="AC340" s="72"/>
      <c r="AD340" s="72"/>
      <c r="AE340" s="72"/>
      <c r="AF340" s="72"/>
      <c r="AG340" s="72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</row>
    <row r="341" spans="1:122" s="61" customFormat="1" ht="16.5" hidden="1" customHeight="1">
      <c r="A341" s="72"/>
      <c r="B341" s="72"/>
      <c r="C341" s="74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5"/>
      <c r="S341" s="72"/>
      <c r="T341" s="72"/>
      <c r="U341" s="72"/>
      <c r="V341" s="72"/>
      <c r="W341" s="72"/>
      <c r="X341" s="72"/>
      <c r="Y341" s="72"/>
      <c r="Z341" s="75"/>
      <c r="AA341" s="72"/>
      <c r="AB341" s="72"/>
      <c r="AC341" s="72"/>
      <c r="AD341" s="72"/>
      <c r="AE341" s="72"/>
      <c r="AF341" s="72"/>
      <c r="AG341" s="72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</row>
  </sheetData>
  <sheetProtection password="CE28" sheet="1" objects="1" scenarios="1" formatCells="0" formatColumns="0"/>
  <customSheetViews>
    <customSheetView guid="{0E659955-9737-492F-945A-95AC3E0C4088}" showPageBreaks="1" printArea="1" hiddenRows="1" hiddenColumns="1">
      <selection activeCell="AG1" sqref="AG1:AG62"/>
      <pageMargins left="0.1" right="0" top="0" bottom="0" header="0" footer="0"/>
      <printOptions verticalCentered="1"/>
      <pageSetup paperSize="9" scale="85" orientation="portrait" blackAndWhite="1" r:id="rId1"/>
      <headerFooter alignWithMargins="0">
        <oddHeader xml:space="preserve">&amp;R  </oddHeader>
      </headerFooter>
    </customSheetView>
    <customSheetView guid="{6B449CA7-43A5-4BFF-BFE3-4A3E3D45323D}" showGridLines="0" showRowCol="0" hiddenRows="1" hiddenColumns="1">
      <selection activeCell="AC1" sqref="AC1:AE1"/>
      <pageMargins left="0.63" right="0" top="0" bottom="0" header="0" footer="0"/>
      <printOptions verticalCentered="1"/>
      <pageSetup paperSize="9" scale="91" orientation="portrait" blackAndWhite="1" r:id="rId2"/>
      <headerFooter alignWithMargins="0">
        <oddHeader xml:space="preserve">&amp;R  </oddHeader>
      </headerFooter>
    </customSheetView>
  </customSheetViews>
  <mergeCells count="176">
    <mergeCell ref="S87:V87"/>
    <mergeCell ref="S88:V88"/>
    <mergeCell ref="R80:T80"/>
    <mergeCell ref="O74:Q74"/>
    <mergeCell ref="C92:E92"/>
    <mergeCell ref="C62:AE62"/>
    <mergeCell ref="Y80:AB80"/>
    <mergeCell ref="AA52:AE52"/>
    <mergeCell ref="D60:Y60"/>
    <mergeCell ref="G74:H74"/>
    <mergeCell ref="S72:V72"/>
    <mergeCell ref="U78:V78"/>
    <mergeCell ref="AA55:AE55"/>
    <mergeCell ref="AA60:AE60"/>
    <mergeCell ref="S82:V82"/>
    <mergeCell ref="R76:T76"/>
    <mergeCell ref="C87:E87"/>
    <mergeCell ref="C79:F79"/>
    <mergeCell ref="C86:E86"/>
    <mergeCell ref="AA61:AE61"/>
    <mergeCell ref="C96:D96"/>
    <mergeCell ref="D51:Y51"/>
    <mergeCell ref="R75:T75"/>
    <mergeCell ref="Y83:AB83"/>
    <mergeCell ref="S90:V90"/>
    <mergeCell ref="S86:V86"/>
    <mergeCell ref="Y84:AB84"/>
    <mergeCell ref="Y85:AB85"/>
    <mergeCell ref="Y86:AB86"/>
    <mergeCell ref="C91:E91"/>
    <mergeCell ref="S91:V91"/>
    <mergeCell ref="C95:D95"/>
    <mergeCell ref="C94:D94"/>
    <mergeCell ref="D61:Y61"/>
    <mergeCell ref="C89:E89"/>
    <mergeCell ref="C88:E88"/>
    <mergeCell ref="S89:V89"/>
    <mergeCell ref="R78:T78"/>
    <mergeCell ref="U75:V75"/>
    <mergeCell ref="S85:V85"/>
    <mergeCell ref="Y81:AB81"/>
    <mergeCell ref="Y82:AB82"/>
    <mergeCell ref="O75:Q75"/>
    <mergeCell ref="J75:M75"/>
    <mergeCell ref="O1:AB1"/>
    <mergeCell ref="E33:Q33"/>
    <mergeCell ref="AB35:AE35"/>
    <mergeCell ref="M1:N1"/>
    <mergeCell ref="E26:J26"/>
    <mergeCell ref="E27:J27"/>
    <mergeCell ref="L26:N26"/>
    <mergeCell ref="E25:J25"/>
    <mergeCell ref="C29:N29"/>
    <mergeCell ref="Q23:V23"/>
    <mergeCell ref="S18:V18"/>
    <mergeCell ref="S33:V33"/>
    <mergeCell ref="D30:P30"/>
    <mergeCell ref="K1:L1"/>
    <mergeCell ref="AC1:AE1"/>
    <mergeCell ref="S14:V14"/>
    <mergeCell ref="V9:Y9"/>
    <mergeCell ref="V3:AE3"/>
    <mergeCell ref="R10:U10"/>
    <mergeCell ref="C9:H9"/>
    <mergeCell ref="C10:H10"/>
    <mergeCell ref="R4:U4"/>
    <mergeCell ref="Q26:V26"/>
    <mergeCell ref="AA18:AE18"/>
    <mergeCell ref="Z41:AE41"/>
    <mergeCell ref="D50:Y50"/>
    <mergeCell ref="E39:Q39"/>
    <mergeCell ref="Q41:X41"/>
    <mergeCell ref="D56:Y56"/>
    <mergeCell ref="D57:Y57"/>
    <mergeCell ref="E23:J23"/>
    <mergeCell ref="L27:N27"/>
    <mergeCell ref="D13:Q13"/>
    <mergeCell ref="Q25:V25"/>
    <mergeCell ref="L22:N22"/>
    <mergeCell ref="E36:Q36"/>
    <mergeCell ref="E32:Q32"/>
    <mergeCell ref="G18:Q18"/>
    <mergeCell ref="X23:Z23"/>
    <mergeCell ref="Q21:V21"/>
    <mergeCell ref="D54:Y54"/>
    <mergeCell ref="X21:Z21"/>
    <mergeCell ref="Q29:V29"/>
    <mergeCell ref="W39:AA39"/>
    <mergeCell ref="S46:V46"/>
    <mergeCell ref="S45:V45"/>
    <mergeCell ref="S37:V37"/>
    <mergeCell ref="D42:P42"/>
    <mergeCell ref="D41:J41"/>
    <mergeCell ref="E38:Q38"/>
    <mergeCell ref="E37:Q37"/>
    <mergeCell ref="Z10:AE10"/>
    <mergeCell ref="Q22:V22"/>
    <mergeCell ref="X8:Y8"/>
    <mergeCell ref="Z9:AE9"/>
    <mergeCell ref="E21:J21"/>
    <mergeCell ref="V10:Y10"/>
    <mergeCell ref="AB39:AE39"/>
    <mergeCell ref="E31:Q31"/>
    <mergeCell ref="L21:N21"/>
    <mergeCell ref="Q27:V27"/>
    <mergeCell ref="L25:N25"/>
    <mergeCell ref="W18:Y18"/>
    <mergeCell ref="X24:Z24"/>
    <mergeCell ref="S34:V34"/>
    <mergeCell ref="S36:V36"/>
    <mergeCell ref="E35:Q35"/>
    <mergeCell ref="P10:Q10"/>
    <mergeCell ref="S15:V15"/>
    <mergeCell ref="D19:P19"/>
    <mergeCell ref="S38:V38"/>
    <mergeCell ref="S39:V39"/>
    <mergeCell ref="AA19:AE19"/>
    <mergeCell ref="X22:Z22"/>
    <mergeCell ref="I10:O10"/>
    <mergeCell ref="AA13:AE13"/>
    <mergeCell ref="E24:J24"/>
    <mergeCell ref="Q24:V24"/>
    <mergeCell ref="S16:V16"/>
    <mergeCell ref="I9:U9"/>
    <mergeCell ref="L23:N23"/>
    <mergeCell ref="D20:P20"/>
    <mergeCell ref="G15:Q15"/>
    <mergeCell ref="G16:Q16"/>
    <mergeCell ref="D14:E14"/>
    <mergeCell ref="G17:Q17"/>
    <mergeCell ref="J43:N43"/>
    <mergeCell ref="AA51:AE51"/>
    <mergeCell ref="L74:M74"/>
    <mergeCell ref="AA49:AE49"/>
    <mergeCell ref="AA57:AE57"/>
    <mergeCell ref="D59:Y59"/>
    <mergeCell ref="C49:X49"/>
    <mergeCell ref="AA59:AE59"/>
    <mergeCell ref="AA58:AE58"/>
    <mergeCell ref="AA56:AE56"/>
    <mergeCell ref="AA54:AE54"/>
    <mergeCell ref="D55:Y55"/>
    <mergeCell ref="K46:P46"/>
    <mergeCell ref="D52:Y52"/>
    <mergeCell ref="S43:V43"/>
    <mergeCell ref="AA53:AE53"/>
    <mergeCell ref="K47:P47"/>
    <mergeCell ref="K48:P48"/>
    <mergeCell ref="S47:V47"/>
    <mergeCell ref="S48:V48"/>
    <mergeCell ref="S44:V44"/>
    <mergeCell ref="D58:Y58"/>
    <mergeCell ref="A1:J1"/>
    <mergeCell ref="C2:AE2"/>
    <mergeCell ref="S84:V84"/>
    <mergeCell ref="AA50:AE50"/>
    <mergeCell ref="L24:N24"/>
    <mergeCell ref="S17:V17"/>
    <mergeCell ref="E22:J22"/>
    <mergeCell ref="X27:Z27"/>
    <mergeCell ref="X25:Z25"/>
    <mergeCell ref="C3:L3"/>
    <mergeCell ref="C8:H8"/>
    <mergeCell ref="C6:E6"/>
    <mergeCell ref="C4:E4"/>
    <mergeCell ref="Z8:AE8"/>
    <mergeCell ref="I8:W8"/>
    <mergeCell ref="X26:Z26"/>
    <mergeCell ref="S32:V32"/>
    <mergeCell ref="S31:V31"/>
    <mergeCell ref="G14:Q14"/>
    <mergeCell ref="R6:U6"/>
    <mergeCell ref="C82:D82"/>
    <mergeCell ref="E34:Q34"/>
    <mergeCell ref="D53:Y53"/>
    <mergeCell ref="S35:V35"/>
  </mergeCells>
  <dataValidations count="2">
    <dataValidation type="list" allowBlank="1" showInputMessage="1" showErrorMessage="1" sqref="K1" xr:uid="{00000000-0002-0000-0200-000000000000}">
      <formula1>"હા,ના"</formula1>
    </dataValidation>
    <dataValidation type="list" allowBlank="1" showInputMessage="1" showErrorMessage="1" sqref="AC1:AE1" xr:uid="{00000000-0002-0000-0200-000001000000}">
      <formula1>$AM$2:$AM$3</formula1>
    </dataValidation>
  </dataValidations>
  <printOptions verticalCentered="1"/>
  <pageMargins left="0.1" right="0" top="0" bottom="0" header="0" footer="0"/>
  <pageSetup paperSize="9" scale="85" orientation="portrait" blackAndWhite="1" r:id="rId3"/>
  <headerFooter alignWithMargins="0">
    <oddHeader xml:space="preserve">&amp;R  </oddHeader>
  </headerFoo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V168"/>
  <sheetViews>
    <sheetView topLeftCell="XFD1048576" workbookViewId="0">
      <selection activeCell="A4" sqref="A1:XFD1048576"/>
    </sheetView>
  </sheetViews>
  <sheetFormatPr defaultColWidth="0" defaultRowHeight="3.5" zeroHeight="1"/>
  <cols>
    <col min="1" max="1" width="10.54296875" style="22" hidden="1" customWidth="1"/>
    <col min="2" max="256" width="9.1796875" style="22" hidden="1" customWidth="1"/>
    <col min="257" max="16384" width="0" style="28" hidden="1"/>
  </cols>
  <sheetData>
    <row r="1" spans="1:13" hidden="1">
      <c r="A1" s="23" t="s">
        <v>96</v>
      </c>
      <c r="B1" s="23"/>
      <c r="C1" s="23"/>
      <c r="D1" s="23"/>
      <c r="E1" s="23"/>
      <c r="F1" s="23"/>
      <c r="G1" s="23"/>
      <c r="H1" s="24"/>
      <c r="I1" s="24"/>
      <c r="J1" s="25">
        <v>0</v>
      </c>
      <c r="K1" s="26"/>
      <c r="L1" s="27"/>
      <c r="M1" s="27"/>
    </row>
    <row r="2" spans="1:13" hidden="1">
      <c r="A2" s="25">
        <f t="shared" ref="A2:F2" si="0">A3*A4</f>
        <v>0</v>
      </c>
      <c r="B2" s="23">
        <f t="shared" si="0"/>
        <v>0</v>
      </c>
      <c r="C2" s="23">
        <f t="shared" si="0"/>
        <v>0</v>
      </c>
      <c r="D2" s="23">
        <f t="shared" si="0"/>
        <v>0</v>
      </c>
      <c r="E2" s="23">
        <f t="shared" si="0"/>
        <v>0</v>
      </c>
      <c r="F2" s="23">
        <f t="shared" si="0"/>
        <v>0</v>
      </c>
      <c r="G2" s="23"/>
      <c r="H2" s="24"/>
      <c r="I2" s="24"/>
      <c r="J2" s="25">
        <v>1</v>
      </c>
      <c r="K2" s="26" t="s">
        <v>92</v>
      </c>
      <c r="L2" s="26" t="s">
        <v>92</v>
      </c>
      <c r="M2" s="26" t="s">
        <v>92</v>
      </c>
    </row>
    <row r="3" spans="1:13" hidden="1">
      <c r="A3" s="25">
        <v>10000000</v>
      </c>
      <c r="B3" s="23">
        <v>100000</v>
      </c>
      <c r="C3" s="23">
        <v>1000</v>
      </c>
      <c r="D3" s="23">
        <v>100</v>
      </c>
      <c r="E3" s="23">
        <v>1</v>
      </c>
      <c r="F3" s="23">
        <v>1</v>
      </c>
      <c r="G3" s="23"/>
      <c r="H3" s="24"/>
      <c r="I3" s="24"/>
      <c r="J3" s="25">
        <v>2</v>
      </c>
      <c r="K3" s="26" t="s">
        <v>93</v>
      </c>
      <c r="L3" s="26" t="s">
        <v>93</v>
      </c>
      <c r="M3" s="26" t="s">
        <v>94</v>
      </c>
    </row>
    <row r="4" spans="1:13" hidden="1">
      <c r="A4" s="25">
        <f>TRUNC(A9/A3)</f>
        <v>0</v>
      </c>
      <c r="B4" s="23">
        <f>TRUNC((A9-A2)/B3)</f>
        <v>0</v>
      </c>
      <c r="C4" s="23">
        <f>TRUNC((A9-A2-B2)/C3)</f>
        <v>0</v>
      </c>
      <c r="D4" s="23">
        <f>TRUNC((A9-A2-B2-C2)/D3)</f>
        <v>0</v>
      </c>
      <c r="E4" s="23">
        <f>TRUNC((A9-A2-B2-C2-D2)/E3)</f>
        <v>0</v>
      </c>
      <c r="F4" s="23">
        <f>ROUND((A9-(SUM(A2:E2)))*100,0)</f>
        <v>0</v>
      </c>
      <c r="G4" s="23"/>
      <c r="H4" s="24"/>
      <c r="I4" s="24"/>
      <c r="J4" s="25">
        <v>3</v>
      </c>
      <c r="K4" s="29" t="s">
        <v>95</v>
      </c>
      <c r="L4" s="29" t="s">
        <v>95</v>
      </c>
      <c r="M4" s="29" t="s">
        <v>95</v>
      </c>
    </row>
    <row r="5" spans="1:13" hidden="1">
      <c r="A5" s="25" t="s">
        <v>96</v>
      </c>
      <c r="B5" s="23" t="s">
        <v>96</v>
      </c>
      <c r="C5" s="23" t="s">
        <v>96</v>
      </c>
      <c r="D5" s="23" t="s">
        <v>96</v>
      </c>
      <c r="E5" s="23" t="s">
        <v>96</v>
      </c>
      <c r="F5" s="23" t="s">
        <v>96</v>
      </c>
      <c r="G5" s="23" t="s">
        <v>96</v>
      </c>
      <c r="H5" s="24"/>
      <c r="I5" s="24"/>
      <c r="J5" s="25">
        <v>4</v>
      </c>
      <c r="K5" s="26" t="s">
        <v>97</v>
      </c>
      <c r="L5" s="26" t="s">
        <v>97</v>
      </c>
      <c r="M5" s="26" t="s">
        <v>97</v>
      </c>
    </row>
    <row r="6" spans="1:13" hidden="1">
      <c r="A6" s="25" t="str">
        <f>IF(A4=0,"",VLOOKUP(A4,$J$1:$K$100,2))</f>
        <v/>
      </c>
      <c r="B6" s="25" t="str">
        <f>IF(B4=0,"",VLOOKUP(B4,$J$1:$K$100,2))</f>
        <v/>
      </c>
      <c r="C6" s="25" t="str">
        <f>IF(C4=0,"",VLOOKUP(C4,$J$1:$K$100,2))</f>
        <v/>
      </c>
      <c r="D6" s="25" t="str">
        <f>IF(D4=0,"",VLOOKUP(D4,$J$1:$M$100,4))</f>
        <v/>
      </c>
      <c r="E6" s="25" t="str">
        <f>IF(E4=0,"",VLOOKUP(E4,$J$1:$K$100,2))</f>
        <v/>
      </c>
      <c r="F6" s="25" t="str">
        <f>IF(F4=0,"",VLOOKUP(F4,$J$1:$K$100,2))</f>
        <v/>
      </c>
      <c r="G6" s="23"/>
      <c r="H6" s="24"/>
      <c r="I6" s="24"/>
      <c r="J6" s="25">
        <v>5</v>
      </c>
      <c r="K6" s="26" t="s">
        <v>100</v>
      </c>
      <c r="L6" s="26" t="s">
        <v>100</v>
      </c>
      <c r="M6" s="26" t="s">
        <v>100</v>
      </c>
    </row>
    <row r="7" spans="1:13" hidden="1">
      <c r="A7" s="25" t="str">
        <f>IF(A6&lt;&gt;""," કરોડ ","")</f>
        <v/>
      </c>
      <c r="B7" s="25" t="str">
        <f>IF(B6&lt;&gt;""," લાખ ","")</f>
        <v/>
      </c>
      <c r="C7" s="25" t="str">
        <f>IF(C6&lt;&gt;"","  હજાર ","")</f>
        <v/>
      </c>
      <c r="D7" s="25" t="str">
        <f>IF(D6&lt;&gt;"","સો","")</f>
        <v/>
      </c>
      <c r="E7" s="25" t="str">
        <f>IF(E6&lt;&gt;"","","")</f>
        <v/>
      </c>
      <c r="F7" s="25" t="str">
        <f>IF(F6&lt;&gt;""," પૈસા ","")</f>
        <v/>
      </c>
      <c r="G7" s="25" t="str">
        <f>IF(F6&lt;&gt;""," અને ","")</f>
        <v/>
      </c>
      <c r="H7" s="24"/>
      <c r="I7" s="24"/>
      <c r="J7" s="25">
        <v>6</v>
      </c>
      <c r="K7" s="26" t="s">
        <v>101</v>
      </c>
      <c r="L7" s="26" t="s">
        <v>101</v>
      </c>
      <c r="M7" s="26" t="s">
        <v>101</v>
      </c>
    </row>
    <row r="8" spans="1:13" hidden="1">
      <c r="A8" s="24"/>
      <c r="B8" s="24"/>
      <c r="C8" s="24"/>
      <c r="D8" s="24"/>
      <c r="E8" s="24"/>
      <c r="F8" s="24"/>
      <c r="G8" s="24"/>
      <c r="H8" s="24"/>
      <c r="I8" s="24"/>
      <c r="J8" s="25">
        <v>7</v>
      </c>
      <c r="K8" s="26" t="s">
        <v>102</v>
      </c>
      <c r="L8" s="26" t="s">
        <v>102</v>
      </c>
      <c r="M8" s="26" t="s">
        <v>102</v>
      </c>
    </row>
    <row r="9" spans="1:13" hidden="1">
      <c r="A9" s="30">
        <f>'નવા સ્લેબ મુજબ (NEW SLAB)'!AA55</f>
        <v>0</v>
      </c>
      <c r="B9" s="24"/>
      <c r="C9" s="24"/>
      <c r="D9" s="24"/>
      <c r="E9" s="24"/>
      <c r="F9" s="24"/>
      <c r="G9" s="24"/>
      <c r="H9" s="24"/>
      <c r="I9" s="24"/>
      <c r="J9" s="25">
        <v>8</v>
      </c>
      <c r="K9" s="26" t="s">
        <v>103</v>
      </c>
      <c r="L9" s="26" t="s">
        <v>103</v>
      </c>
      <c r="M9" s="26" t="s">
        <v>103</v>
      </c>
    </row>
    <row r="10" spans="1:13" hidden="1">
      <c r="A10" s="24"/>
      <c r="B10" s="24"/>
      <c r="C10" s="24"/>
      <c r="D10" s="24"/>
      <c r="E10" s="24"/>
      <c r="F10" s="24"/>
      <c r="G10" s="24"/>
      <c r="H10" s="24"/>
      <c r="I10" s="24"/>
      <c r="J10" s="25">
        <v>9</v>
      </c>
      <c r="K10" s="26" t="s">
        <v>104</v>
      </c>
      <c r="L10" s="26" t="s">
        <v>104</v>
      </c>
      <c r="M10" s="26" t="s">
        <v>104</v>
      </c>
    </row>
    <row r="11" spans="1:13" hidden="1">
      <c r="A11" s="24"/>
      <c r="B11" s="24"/>
      <c r="C11" s="24"/>
      <c r="D11" s="24"/>
      <c r="E11" s="24"/>
      <c r="F11" s="24"/>
      <c r="G11" s="24"/>
      <c r="H11" s="24"/>
      <c r="I11" s="24"/>
      <c r="J11" s="25">
        <v>10</v>
      </c>
      <c r="K11" s="26" t="s">
        <v>192</v>
      </c>
      <c r="L11" s="27"/>
      <c r="M11" s="27"/>
    </row>
    <row r="12" spans="1:13" ht="15" hidden="1" customHeight="1">
      <c r="A12" s="391" t="str">
        <f>CONCATENATE("અંકે રૂપિયા ",A6,A7,B6,B7,C6,C7,D6,D7,E6,E7,G7,F6,F7,A1,"પુરા")</f>
        <v>અંકે રૂપિયા  પુરા</v>
      </c>
      <c r="B12" s="391"/>
      <c r="C12" s="391"/>
      <c r="D12" s="391"/>
      <c r="E12" s="391"/>
      <c r="F12" s="391"/>
      <c r="G12" s="391"/>
      <c r="H12" s="24"/>
      <c r="I12" s="24"/>
      <c r="J12" s="25">
        <v>11</v>
      </c>
      <c r="K12" s="26" t="s">
        <v>105</v>
      </c>
      <c r="L12" s="27"/>
      <c r="M12" s="27"/>
    </row>
    <row r="13" spans="1:13" hidden="1">
      <c r="A13" s="31"/>
      <c r="B13" s="31"/>
      <c r="C13" s="31"/>
      <c r="D13" s="31"/>
      <c r="E13" s="31"/>
      <c r="F13" s="31"/>
      <c r="G13" s="31"/>
      <c r="H13" s="31"/>
      <c r="I13" s="31"/>
      <c r="J13" s="25">
        <v>12</v>
      </c>
      <c r="K13" s="26" t="s">
        <v>106</v>
      </c>
      <c r="L13" s="27"/>
      <c r="M13" s="27"/>
    </row>
    <row r="14" spans="1:13" hidden="1">
      <c r="A14" s="23" t="s">
        <v>96</v>
      </c>
      <c r="B14" s="23"/>
      <c r="C14" s="23"/>
      <c r="D14" s="23"/>
      <c r="E14" s="23"/>
      <c r="F14" s="23"/>
      <c r="G14" s="23"/>
      <c r="H14" s="24"/>
      <c r="I14" s="24"/>
      <c r="J14" s="25">
        <v>13</v>
      </c>
      <c r="K14" s="26" t="s">
        <v>107</v>
      </c>
      <c r="L14" s="27"/>
      <c r="M14" s="27"/>
    </row>
    <row r="15" spans="1:13" hidden="1">
      <c r="A15" s="25">
        <f t="shared" ref="A15:F15" si="1">A16*A17</f>
        <v>0</v>
      </c>
      <c r="B15" s="23">
        <f t="shared" si="1"/>
        <v>0</v>
      </c>
      <c r="C15" s="23">
        <f t="shared" si="1"/>
        <v>0</v>
      </c>
      <c r="D15" s="23">
        <f t="shared" si="1"/>
        <v>0</v>
      </c>
      <c r="E15" s="23">
        <f t="shared" si="1"/>
        <v>0</v>
      </c>
      <c r="F15" s="23">
        <f t="shared" si="1"/>
        <v>0</v>
      </c>
      <c r="G15" s="23"/>
      <c r="H15" s="24"/>
      <c r="I15" s="24"/>
      <c r="J15" s="25">
        <v>14</v>
      </c>
      <c r="K15" s="26" t="s">
        <v>108</v>
      </c>
      <c r="L15" s="27"/>
      <c r="M15" s="27"/>
    </row>
    <row r="16" spans="1:13" hidden="1">
      <c r="A16" s="25">
        <v>10000000</v>
      </c>
      <c r="B16" s="23">
        <v>100000</v>
      </c>
      <c r="C16" s="23">
        <v>1000</v>
      </c>
      <c r="D16" s="23">
        <v>100</v>
      </c>
      <c r="E16" s="23">
        <v>1</v>
      </c>
      <c r="F16" s="23">
        <v>1</v>
      </c>
      <c r="G16" s="23"/>
      <c r="H16" s="24"/>
      <c r="I16" s="24"/>
      <c r="J16" s="25">
        <v>15</v>
      </c>
      <c r="K16" s="26" t="s">
        <v>109</v>
      </c>
      <c r="L16" s="27"/>
      <c r="M16" s="27"/>
    </row>
    <row r="17" spans="1:13" hidden="1">
      <c r="A17" s="25">
        <f>TRUNC(A22/A16)</f>
        <v>0</v>
      </c>
      <c r="B17" s="23">
        <f>TRUNC((A22-A15)/B16)</f>
        <v>0</v>
      </c>
      <c r="C17" s="23">
        <f>TRUNC((A22-A15-B15)/C16)</f>
        <v>0</v>
      </c>
      <c r="D17" s="23">
        <f>TRUNC((A22-A15-B15-C15)/D16)</f>
        <v>0</v>
      </c>
      <c r="E17" s="23">
        <f>TRUNC((A22-A15-B15-C15-D15)/E16)</f>
        <v>0</v>
      </c>
      <c r="F17" s="23">
        <f>ROUND((A22-(SUM(A15:E15)))*100,0)</f>
        <v>0</v>
      </c>
      <c r="G17" s="23"/>
      <c r="H17" s="24"/>
      <c r="I17" s="24"/>
      <c r="J17" s="25">
        <v>16</v>
      </c>
      <c r="K17" s="26" t="s">
        <v>110</v>
      </c>
      <c r="L17" s="27"/>
      <c r="M17" s="27"/>
    </row>
    <row r="18" spans="1:13" hidden="1">
      <c r="A18" s="25" t="s">
        <v>96</v>
      </c>
      <c r="B18" s="23" t="s">
        <v>96</v>
      </c>
      <c r="C18" s="23" t="s">
        <v>96</v>
      </c>
      <c r="D18" s="23" t="s">
        <v>96</v>
      </c>
      <c r="E18" s="23" t="s">
        <v>96</v>
      </c>
      <c r="F18" s="23" t="s">
        <v>96</v>
      </c>
      <c r="G18" s="23" t="s">
        <v>96</v>
      </c>
      <c r="H18" s="24"/>
      <c r="I18" s="24"/>
      <c r="J18" s="25">
        <v>17</v>
      </c>
      <c r="K18" s="26" t="s">
        <v>111</v>
      </c>
      <c r="L18" s="27"/>
      <c r="M18" s="27"/>
    </row>
    <row r="19" spans="1:13" hidden="1">
      <c r="A19" s="25" t="str">
        <f>IF(A17=0,"",VLOOKUP(A17,$J$1:$K$100,2))</f>
        <v/>
      </c>
      <c r="B19" s="25" t="str">
        <f>IF(B17=0,"",VLOOKUP(B17,$J$1:$K$100,2))</f>
        <v/>
      </c>
      <c r="C19" s="25" t="str">
        <f>IF(C17=0,"",VLOOKUP(C17,$J$1:$K$100,2))</f>
        <v/>
      </c>
      <c r="D19" s="25" t="str">
        <f>IF(D17=0,"",VLOOKUP(D17,$J$1:$M$100,4))</f>
        <v/>
      </c>
      <c r="E19" s="25" t="str">
        <f>IF(E17=0,"",VLOOKUP(E17,$J$1:$K$100,2))</f>
        <v/>
      </c>
      <c r="F19" s="25" t="str">
        <f>IF(F17=0,"",VLOOKUP(F17,$J$1:$K$100,2))</f>
        <v/>
      </c>
      <c r="G19" s="23"/>
      <c r="H19" s="24"/>
      <c r="I19" s="24"/>
      <c r="J19" s="25">
        <v>18</v>
      </c>
      <c r="K19" s="26" t="s">
        <v>112</v>
      </c>
      <c r="L19" s="27"/>
      <c r="M19" s="27"/>
    </row>
    <row r="20" spans="1:13" hidden="1">
      <c r="A20" s="25" t="str">
        <f>IF(A19&lt;&gt;""," કરોડ ","")</f>
        <v/>
      </c>
      <c r="B20" s="25" t="str">
        <f>IF(B19&lt;&gt;""," લાખ ","")</f>
        <v/>
      </c>
      <c r="C20" s="25" t="str">
        <f>IF(C19&lt;&gt;"","  હજાર ","")</f>
        <v/>
      </c>
      <c r="D20" s="25" t="str">
        <f>IF(D19&lt;&gt;"","સો","")</f>
        <v/>
      </c>
      <c r="E20" s="25" t="str">
        <f>IF(E19&lt;&gt;"","","")</f>
        <v/>
      </c>
      <c r="F20" s="25" t="str">
        <f>IF(F19&lt;&gt;""," પૈસા ","")</f>
        <v/>
      </c>
      <c r="G20" s="25" t="str">
        <f>IF(F19&lt;&gt;""," અને ","")</f>
        <v/>
      </c>
      <c r="H20" s="24"/>
      <c r="I20" s="24"/>
      <c r="J20" s="25">
        <v>19</v>
      </c>
      <c r="K20" s="26" t="s">
        <v>113</v>
      </c>
      <c r="L20" s="27"/>
      <c r="M20" s="27"/>
    </row>
    <row r="21" spans="1:13" hidden="1">
      <c r="A21" s="24"/>
      <c r="B21" s="24"/>
      <c r="C21" s="24"/>
      <c r="D21" s="24"/>
      <c r="E21" s="24"/>
      <c r="F21" s="24"/>
      <c r="G21" s="24"/>
      <c r="H21" s="24"/>
      <c r="I21" s="24"/>
      <c r="J21" s="25">
        <v>20</v>
      </c>
      <c r="K21" s="26" t="s">
        <v>114</v>
      </c>
      <c r="L21" s="27"/>
      <c r="M21" s="27"/>
    </row>
    <row r="22" spans="1:13" hidden="1">
      <c r="A22" s="30">
        <f>'જૂન સ્લેબ મુજબ (OLD SLAB)'!AA55</f>
        <v>0</v>
      </c>
      <c r="B22" s="24"/>
      <c r="C22" s="24"/>
      <c r="D22" s="24"/>
      <c r="E22" s="24"/>
      <c r="F22" s="24"/>
      <c r="G22" s="24"/>
      <c r="H22" s="24"/>
      <c r="I22" s="24"/>
      <c r="J22" s="25">
        <v>21</v>
      </c>
      <c r="K22" s="26" t="s">
        <v>115</v>
      </c>
      <c r="L22" s="27"/>
      <c r="M22" s="27"/>
    </row>
    <row r="23" spans="1:13" hidden="1">
      <c r="A23" s="24"/>
      <c r="B23" s="24"/>
      <c r="C23" s="24"/>
      <c r="D23" s="24"/>
      <c r="E23" s="24"/>
      <c r="F23" s="24"/>
      <c r="G23" s="24"/>
      <c r="H23" s="24"/>
      <c r="I23" s="24"/>
      <c r="J23" s="25">
        <v>22</v>
      </c>
      <c r="K23" s="26" t="s">
        <v>116</v>
      </c>
      <c r="L23" s="27"/>
      <c r="M23" s="27"/>
    </row>
    <row r="24" spans="1:13" hidden="1">
      <c r="A24" s="24"/>
      <c r="B24" s="24"/>
      <c r="C24" s="24"/>
      <c r="D24" s="24"/>
      <c r="E24" s="24"/>
      <c r="F24" s="24"/>
      <c r="G24" s="24"/>
      <c r="H24" s="24"/>
      <c r="I24" s="24"/>
      <c r="J24" s="25">
        <v>23</v>
      </c>
      <c r="K24" s="26" t="s">
        <v>117</v>
      </c>
      <c r="L24" s="27"/>
      <c r="M24" s="27"/>
    </row>
    <row r="25" spans="1:13" hidden="1">
      <c r="A25" s="391" t="str">
        <f>CONCATENATE("અંકે રૂપિયા ",A19,A20,B19,B20,C19,C20,D19,D20,E19,E20,G20,F19,F20,A14,"પુરા")</f>
        <v>અંકે રૂપિયા  પુરા</v>
      </c>
      <c r="B25" s="391"/>
      <c r="C25" s="391"/>
      <c r="D25" s="391"/>
      <c r="E25" s="391"/>
      <c r="F25" s="391"/>
      <c r="G25" s="391"/>
      <c r="H25" s="24"/>
      <c r="I25" s="24"/>
      <c r="J25" s="25">
        <v>24</v>
      </c>
      <c r="K25" s="26" t="s">
        <v>118</v>
      </c>
      <c r="L25" s="27"/>
      <c r="M25" s="27"/>
    </row>
    <row r="26" spans="1:13" hidden="1">
      <c r="J26" s="25">
        <v>25</v>
      </c>
      <c r="K26" s="26" t="s">
        <v>98</v>
      </c>
      <c r="L26" s="27"/>
      <c r="M26" s="27"/>
    </row>
    <row r="27" spans="1:13" hidden="1">
      <c r="A27" s="23" t="s">
        <v>96</v>
      </c>
      <c r="B27" s="23"/>
      <c r="C27" s="23"/>
      <c r="D27" s="23"/>
      <c r="E27" s="23"/>
      <c r="F27" s="23"/>
      <c r="G27" s="23"/>
      <c r="H27" s="24"/>
      <c r="I27" s="24"/>
      <c r="J27" s="25">
        <v>26</v>
      </c>
      <c r="K27" s="26" t="s">
        <v>119</v>
      </c>
      <c r="L27" s="27"/>
      <c r="M27" s="27"/>
    </row>
    <row r="28" spans="1:13" hidden="1">
      <c r="A28" s="25">
        <f t="shared" ref="A28:F28" si="2">A29*A30</f>
        <v>0</v>
      </c>
      <c r="B28" s="23">
        <f t="shared" si="2"/>
        <v>0</v>
      </c>
      <c r="C28" s="23">
        <f t="shared" si="2"/>
        <v>0</v>
      </c>
      <c r="D28" s="23">
        <f t="shared" si="2"/>
        <v>100</v>
      </c>
      <c r="E28" s="23">
        <f t="shared" si="2"/>
        <v>44</v>
      </c>
      <c r="F28" s="23">
        <f t="shared" si="2"/>
        <v>0</v>
      </c>
      <c r="G28" s="23"/>
      <c r="H28" s="24"/>
      <c r="I28" s="24"/>
      <c r="J28" s="25">
        <v>27</v>
      </c>
      <c r="K28" s="26" t="s">
        <v>120</v>
      </c>
      <c r="L28" s="27"/>
      <c r="M28" s="27"/>
    </row>
    <row r="29" spans="1:13" hidden="1">
      <c r="A29" s="25">
        <v>10000000</v>
      </c>
      <c r="B29" s="23">
        <v>100000</v>
      </c>
      <c r="C29" s="23">
        <v>1000</v>
      </c>
      <c r="D29" s="23">
        <v>100</v>
      </c>
      <c r="E29" s="23">
        <v>1</v>
      </c>
      <c r="F29" s="23">
        <v>1</v>
      </c>
      <c r="G29" s="23"/>
      <c r="H29" s="24"/>
      <c r="I29" s="24"/>
      <c r="J29" s="25">
        <v>28</v>
      </c>
      <c r="K29" s="26" t="s">
        <v>121</v>
      </c>
      <c r="L29" s="27"/>
      <c r="M29" s="27"/>
    </row>
    <row r="30" spans="1:13" hidden="1">
      <c r="A30" s="25">
        <f>TRUNC(A35/A29)</f>
        <v>0</v>
      </c>
      <c r="B30" s="23">
        <f>TRUNC((A35-A28)/B29)</f>
        <v>0</v>
      </c>
      <c r="C30" s="23">
        <f>TRUNC((A35-A28-B28)/C29)</f>
        <v>0</v>
      </c>
      <c r="D30" s="23">
        <f>TRUNC((A35-A28-B28-C28)/D29)</f>
        <v>1</v>
      </c>
      <c r="E30" s="23">
        <f>TRUNC((A35-A28-B28-C28-D28)/E29)</f>
        <v>44</v>
      </c>
      <c r="F30" s="23">
        <f>ROUND((A35-(SUM(A28:E28)))*100,0)</f>
        <v>0</v>
      </c>
      <c r="G30" s="23"/>
      <c r="H30" s="24"/>
      <c r="I30" s="24"/>
      <c r="J30" s="25">
        <v>29</v>
      </c>
      <c r="K30" s="26" t="s">
        <v>122</v>
      </c>
      <c r="L30" s="27"/>
      <c r="M30" s="27"/>
    </row>
    <row r="31" spans="1:13" hidden="1">
      <c r="A31" s="25" t="s">
        <v>96</v>
      </c>
      <c r="B31" s="23" t="s">
        <v>96</v>
      </c>
      <c r="C31" s="23" t="s">
        <v>96</v>
      </c>
      <c r="D31" s="23" t="s">
        <v>96</v>
      </c>
      <c r="E31" s="23" t="s">
        <v>96</v>
      </c>
      <c r="F31" s="23" t="s">
        <v>96</v>
      </c>
      <c r="G31" s="23" t="s">
        <v>96</v>
      </c>
      <c r="H31" s="24"/>
      <c r="I31" s="24"/>
      <c r="J31" s="25">
        <v>30</v>
      </c>
      <c r="K31" s="26" t="s">
        <v>123</v>
      </c>
      <c r="L31" s="27"/>
      <c r="M31" s="27"/>
    </row>
    <row r="32" spans="1:13" hidden="1">
      <c r="A32" s="25" t="str">
        <f>IF(A30=0,"",VLOOKUP(A30,$J$1:$K$100,2))</f>
        <v/>
      </c>
      <c r="B32" s="25" t="str">
        <f>IF(B30=0,"",VLOOKUP(B30,$J$1:$K$100,2))</f>
        <v/>
      </c>
      <c r="C32" s="25" t="str">
        <f>IF(C30=0,"",VLOOKUP(C30,$J$1:$K$100,2))</f>
        <v/>
      </c>
      <c r="D32" s="25" t="str">
        <f>IF(D30=0,"",VLOOKUP(D30,$J$1:$M$100,4))</f>
        <v>એક</v>
      </c>
      <c r="E32" s="25" t="str">
        <f>IF(E30=0,"",VLOOKUP(E30,$J$1:$K$100,2))</f>
        <v>ચુંમાલીસ</v>
      </c>
      <c r="F32" s="25" t="str">
        <f>IF(F30=0,"",VLOOKUP(F30,$J$1:$K$100,2))</f>
        <v/>
      </c>
      <c r="G32" s="23"/>
      <c r="H32" s="24"/>
      <c r="I32" s="24"/>
      <c r="J32" s="25">
        <v>31</v>
      </c>
      <c r="K32" s="26" t="s">
        <v>124</v>
      </c>
      <c r="L32" s="27"/>
      <c r="M32" s="27"/>
    </row>
    <row r="33" spans="1:13" hidden="1">
      <c r="A33" s="25" t="str">
        <f>IF(A32&lt;&gt;""," કરોડ ","")</f>
        <v/>
      </c>
      <c r="B33" s="25" t="str">
        <f>IF(B32&lt;&gt;""," લાખ ","")</f>
        <v/>
      </c>
      <c r="C33" s="25" t="str">
        <f>IF(C32&lt;&gt;"","  હજાર ","")</f>
        <v/>
      </c>
      <c r="D33" s="25" t="str">
        <f>IF(D32&lt;&gt;"","સો","")</f>
        <v>સો</v>
      </c>
      <c r="E33" s="25" t="str">
        <f>IF(E32&lt;&gt;"","","")</f>
        <v/>
      </c>
      <c r="F33" s="25" t="str">
        <f>IF(F32&lt;&gt;""," પૈસા ","")</f>
        <v/>
      </c>
      <c r="G33" s="25" t="str">
        <f>IF(F32&lt;&gt;""," અને ","")</f>
        <v/>
      </c>
      <c r="H33" s="24"/>
      <c r="I33" s="24"/>
      <c r="J33" s="25">
        <v>32</v>
      </c>
      <c r="K33" s="26" t="s">
        <v>125</v>
      </c>
      <c r="L33" s="27"/>
      <c r="M33" s="27"/>
    </row>
    <row r="34" spans="1:13" hidden="1">
      <c r="A34" s="24"/>
      <c r="B34" s="24"/>
      <c r="C34" s="24"/>
      <c r="D34" s="24"/>
      <c r="E34" s="24"/>
      <c r="F34" s="24"/>
      <c r="G34" s="24"/>
      <c r="H34" s="24"/>
      <c r="I34" s="24"/>
      <c r="J34" s="25">
        <v>33</v>
      </c>
      <c r="K34" s="26" t="s">
        <v>99</v>
      </c>
      <c r="L34" s="27"/>
      <c r="M34" s="27"/>
    </row>
    <row r="35" spans="1:13" hidden="1">
      <c r="A35" s="30">
        <v>144</v>
      </c>
      <c r="B35" s="24"/>
      <c r="C35" s="24"/>
      <c r="D35" s="24"/>
      <c r="E35" s="24"/>
      <c r="F35" s="24"/>
      <c r="G35" s="24"/>
      <c r="H35" s="24"/>
      <c r="I35" s="24"/>
      <c r="J35" s="25">
        <v>34</v>
      </c>
      <c r="K35" s="26" t="s">
        <v>126</v>
      </c>
      <c r="L35" s="27"/>
      <c r="M35" s="27"/>
    </row>
    <row r="36" spans="1:13" hidden="1">
      <c r="A36" s="24"/>
      <c r="B36" s="24"/>
      <c r="C36" s="24"/>
      <c r="D36" s="24"/>
      <c r="E36" s="24"/>
      <c r="F36" s="24"/>
      <c r="G36" s="24"/>
      <c r="H36" s="24"/>
      <c r="I36" s="24"/>
      <c r="J36" s="25">
        <v>35</v>
      </c>
      <c r="K36" s="26" t="s">
        <v>127</v>
      </c>
      <c r="L36" s="27"/>
      <c r="M36" s="27"/>
    </row>
    <row r="37" spans="1:13" hidden="1">
      <c r="A37" s="24"/>
      <c r="B37" s="24"/>
      <c r="C37" s="24"/>
      <c r="D37" s="24"/>
      <c r="E37" s="24"/>
      <c r="F37" s="24"/>
      <c r="G37" s="24"/>
      <c r="H37" s="24"/>
      <c r="I37" s="24"/>
      <c r="J37" s="25">
        <v>36</v>
      </c>
      <c r="K37" s="26" t="s">
        <v>128</v>
      </c>
      <c r="L37" s="27"/>
      <c r="M37" s="27"/>
    </row>
    <row r="38" spans="1:13" hidden="1">
      <c r="A38" s="391" t="str">
        <f>CONCATENATE("અંકે રૂપિયા ",A32,A33,B32,B33,C32,C33,D32,D33,E32,E33,G33,F32,F33,A27,"પુરા")</f>
        <v>અંકે રૂપિયા એકસોચુંમાલીસ પુરા</v>
      </c>
      <c r="B38" s="391"/>
      <c r="C38" s="391"/>
      <c r="D38" s="391"/>
      <c r="E38" s="391"/>
      <c r="F38" s="391"/>
      <c r="G38" s="391"/>
      <c r="H38" s="24"/>
      <c r="I38" s="24"/>
      <c r="J38" s="25">
        <v>37</v>
      </c>
      <c r="K38" s="26" t="s">
        <v>129</v>
      </c>
      <c r="L38" s="27"/>
      <c r="M38" s="27"/>
    </row>
    <row r="39" spans="1:13" hidden="1">
      <c r="J39" s="25">
        <v>38</v>
      </c>
      <c r="K39" s="26" t="s">
        <v>130</v>
      </c>
      <c r="L39" s="27"/>
      <c r="M39" s="27"/>
    </row>
    <row r="40" spans="1:13" hidden="1">
      <c r="A40" s="23" t="s">
        <v>96</v>
      </c>
      <c r="B40" s="23"/>
      <c r="C40" s="23"/>
      <c r="D40" s="23"/>
      <c r="E40" s="23"/>
      <c r="F40" s="23"/>
      <c r="G40" s="23"/>
      <c r="H40" s="24"/>
      <c r="I40" s="24"/>
      <c r="J40" s="25">
        <v>39</v>
      </c>
      <c r="K40" s="26" t="s">
        <v>131</v>
      </c>
      <c r="L40" s="27"/>
      <c r="M40" s="27"/>
    </row>
    <row r="41" spans="1:13" hidden="1">
      <c r="A41" s="25">
        <f t="shared" ref="A41:F41" si="3">A42*A43</f>
        <v>0</v>
      </c>
      <c r="B41" s="23">
        <f t="shared" si="3"/>
        <v>0</v>
      </c>
      <c r="C41" s="23">
        <f t="shared" si="3"/>
        <v>0</v>
      </c>
      <c r="D41" s="23">
        <f t="shared" si="3"/>
        <v>100</v>
      </c>
      <c r="E41" s="23">
        <f t="shared" si="3"/>
        <v>44</v>
      </c>
      <c r="F41" s="23">
        <f t="shared" si="3"/>
        <v>0</v>
      </c>
      <c r="G41" s="23"/>
      <c r="H41" s="24"/>
      <c r="I41" s="24"/>
      <c r="J41" s="25">
        <v>40</v>
      </c>
      <c r="K41" s="26" t="s">
        <v>132</v>
      </c>
      <c r="L41" s="27"/>
      <c r="M41" s="27"/>
    </row>
    <row r="42" spans="1:13" hidden="1">
      <c r="A42" s="25">
        <v>10000000</v>
      </c>
      <c r="B42" s="23">
        <v>100000</v>
      </c>
      <c r="C42" s="23">
        <v>1000</v>
      </c>
      <c r="D42" s="23">
        <v>100</v>
      </c>
      <c r="E42" s="23">
        <v>1</v>
      </c>
      <c r="F42" s="23">
        <v>1</v>
      </c>
      <c r="G42" s="23"/>
      <c r="H42" s="24"/>
      <c r="I42" s="24"/>
      <c r="J42" s="25">
        <v>41</v>
      </c>
      <c r="K42" s="26" t="s">
        <v>133</v>
      </c>
      <c r="L42" s="27"/>
      <c r="M42" s="27"/>
    </row>
    <row r="43" spans="1:13" hidden="1">
      <c r="A43" s="25">
        <f>TRUNC(A48/A42)</f>
        <v>0</v>
      </c>
      <c r="B43" s="23">
        <f>TRUNC((A48-A41)/B42)</f>
        <v>0</v>
      </c>
      <c r="C43" s="23">
        <f>TRUNC((A48-A41-B41)/C42)</f>
        <v>0</v>
      </c>
      <c r="D43" s="23">
        <f>TRUNC((A48-A41-B41-C41)/D42)</f>
        <v>1</v>
      </c>
      <c r="E43" s="23">
        <f>TRUNC((A48-A41-B41-C41-D41)/E42)</f>
        <v>44</v>
      </c>
      <c r="F43" s="23">
        <f>ROUND((A48-(SUM(A41:E41)))*100,0)</f>
        <v>0</v>
      </c>
      <c r="G43" s="23"/>
      <c r="H43" s="24"/>
      <c r="I43" s="24"/>
      <c r="J43" s="25">
        <v>42</v>
      </c>
      <c r="K43" s="26" t="s">
        <v>134</v>
      </c>
      <c r="L43" s="27"/>
      <c r="M43" s="27"/>
    </row>
    <row r="44" spans="1:13" hidden="1">
      <c r="A44" s="25" t="s">
        <v>96</v>
      </c>
      <c r="B44" s="23" t="s">
        <v>96</v>
      </c>
      <c r="C44" s="23" t="s">
        <v>96</v>
      </c>
      <c r="D44" s="23" t="s">
        <v>96</v>
      </c>
      <c r="E44" s="23" t="s">
        <v>96</v>
      </c>
      <c r="F44" s="23" t="s">
        <v>96</v>
      </c>
      <c r="G44" s="23" t="s">
        <v>96</v>
      </c>
      <c r="H44" s="24"/>
      <c r="I44" s="24"/>
      <c r="J44" s="25">
        <v>43</v>
      </c>
      <c r="K44" s="26" t="s">
        <v>135</v>
      </c>
      <c r="L44" s="27"/>
      <c r="M44" s="27"/>
    </row>
    <row r="45" spans="1:13" hidden="1">
      <c r="A45" s="25" t="str">
        <f>IF(A43=0,"",VLOOKUP(A43,$J$1:$K$100,2))</f>
        <v/>
      </c>
      <c r="B45" s="25" t="str">
        <f>IF(B43=0,"",VLOOKUP(B43,$J$1:$K$100,2))</f>
        <v/>
      </c>
      <c r="C45" s="25" t="str">
        <f>IF(C43=0,"",VLOOKUP(C43,$J$1:$K$100,2))</f>
        <v/>
      </c>
      <c r="D45" s="25" t="str">
        <f>IF(D43=0,"",VLOOKUP(D43,$J$1:$M$100,4))</f>
        <v>એક</v>
      </c>
      <c r="E45" s="25" t="str">
        <f>IF(E43=0,"",VLOOKUP(E43,$J$1:$K$100,2))</f>
        <v>ચુંમાલીસ</v>
      </c>
      <c r="F45" s="25" t="str">
        <f>IF(F43=0,"",VLOOKUP(F43,$J$1:$K$100,2))</f>
        <v/>
      </c>
      <c r="G45" s="23"/>
      <c r="H45" s="24"/>
      <c r="I45" s="24"/>
      <c r="J45" s="25">
        <v>44</v>
      </c>
      <c r="K45" s="26" t="s">
        <v>136</v>
      </c>
      <c r="L45" s="27"/>
      <c r="M45" s="27"/>
    </row>
    <row r="46" spans="1:13" hidden="1">
      <c r="A46" s="25" t="str">
        <f>IF(A45&lt;&gt;""," કરોડ ","")</f>
        <v/>
      </c>
      <c r="B46" s="25" t="str">
        <f>IF(B45&lt;&gt;""," લાખ ","")</f>
        <v/>
      </c>
      <c r="C46" s="25" t="str">
        <f>IF(C45&lt;&gt;"","  હજાર ","")</f>
        <v/>
      </c>
      <c r="D46" s="25" t="str">
        <f>IF(D45&lt;&gt;"","સો","")</f>
        <v>સો</v>
      </c>
      <c r="E46" s="25" t="str">
        <f>IF(E45&lt;&gt;"","","")</f>
        <v/>
      </c>
      <c r="F46" s="25" t="str">
        <f>IF(F45&lt;&gt;""," પૈસા ","")</f>
        <v/>
      </c>
      <c r="G46" s="25" t="str">
        <f>IF(F45&lt;&gt;""," અને ","")</f>
        <v/>
      </c>
      <c r="H46" s="24"/>
      <c r="I46" s="24"/>
      <c r="J46" s="25">
        <v>45</v>
      </c>
      <c r="K46" s="26" t="s">
        <v>137</v>
      </c>
      <c r="L46" s="27"/>
      <c r="M46" s="27"/>
    </row>
    <row r="47" spans="1:13" hidden="1">
      <c r="A47" s="24"/>
      <c r="B47" s="24"/>
      <c r="C47" s="24"/>
      <c r="D47" s="24"/>
      <c r="E47" s="24"/>
      <c r="F47" s="24"/>
      <c r="G47" s="24"/>
      <c r="H47" s="24"/>
      <c r="I47" s="24"/>
      <c r="J47" s="25">
        <v>46</v>
      </c>
      <c r="K47" s="26" t="s">
        <v>138</v>
      </c>
      <c r="L47" s="27"/>
      <c r="M47" s="27"/>
    </row>
    <row r="48" spans="1:13" hidden="1">
      <c r="A48" s="30">
        <v>144</v>
      </c>
      <c r="B48" s="24"/>
      <c r="C48" s="24"/>
      <c r="D48" s="24"/>
      <c r="E48" s="24"/>
      <c r="F48" s="24"/>
      <c r="G48" s="24"/>
      <c r="H48" s="24"/>
      <c r="I48" s="24"/>
      <c r="J48" s="25">
        <v>47</v>
      </c>
      <c r="K48" s="26" t="s">
        <v>139</v>
      </c>
      <c r="L48" s="27"/>
      <c r="M48" s="27"/>
    </row>
    <row r="49" spans="1:13" hidden="1">
      <c r="A49" s="24"/>
      <c r="B49" s="24"/>
      <c r="C49" s="24"/>
      <c r="D49" s="24"/>
      <c r="E49" s="24"/>
      <c r="F49" s="24"/>
      <c r="G49" s="24"/>
      <c r="H49" s="24"/>
      <c r="I49" s="24"/>
      <c r="J49" s="25">
        <v>48</v>
      </c>
      <c r="K49" s="26" t="s">
        <v>140</v>
      </c>
      <c r="L49" s="27"/>
      <c r="M49" s="27"/>
    </row>
    <row r="50" spans="1:13" hidden="1">
      <c r="A50" s="24"/>
      <c r="B50" s="24"/>
      <c r="C50" s="24"/>
      <c r="D50" s="24"/>
      <c r="E50" s="24"/>
      <c r="F50" s="24"/>
      <c r="G50" s="24"/>
      <c r="H50" s="24"/>
      <c r="I50" s="24"/>
      <c r="J50" s="25">
        <v>49</v>
      </c>
      <c r="K50" s="26" t="s">
        <v>141</v>
      </c>
      <c r="L50" s="27"/>
      <c r="M50" s="27"/>
    </row>
    <row r="51" spans="1:13" hidden="1">
      <c r="A51" s="391" t="str">
        <f>CONCATENATE("અંકે રૂપિયા ",A45,A46,B45,B46,C45,C46,D45,D46,E45,E46,G46,F45,F46,A40,"પુરા")</f>
        <v>અંકે રૂપિયા એકસોચુંમાલીસ પુરા</v>
      </c>
      <c r="B51" s="391"/>
      <c r="C51" s="391"/>
      <c r="D51" s="391"/>
      <c r="E51" s="391"/>
      <c r="F51" s="391"/>
      <c r="G51" s="391"/>
      <c r="H51" s="24"/>
      <c r="I51" s="24"/>
      <c r="J51" s="25">
        <v>50</v>
      </c>
      <c r="K51" s="26" t="s">
        <v>142</v>
      </c>
      <c r="L51" s="27"/>
      <c r="M51" s="27"/>
    </row>
    <row r="52" spans="1:13" hidden="1">
      <c r="J52" s="25">
        <v>51</v>
      </c>
      <c r="K52" s="26" t="s">
        <v>143</v>
      </c>
      <c r="L52" s="27"/>
      <c r="M52" s="27"/>
    </row>
    <row r="53" spans="1:13" hidden="1">
      <c r="A53" s="23" t="s">
        <v>96</v>
      </c>
      <c r="B53" s="23"/>
      <c r="C53" s="23"/>
      <c r="D53" s="23"/>
      <c r="E53" s="23"/>
      <c r="F53" s="23"/>
      <c r="G53" s="23"/>
      <c r="H53" s="24"/>
      <c r="I53" s="24"/>
      <c r="J53" s="25">
        <v>52</v>
      </c>
      <c r="K53" s="26" t="s">
        <v>144</v>
      </c>
      <c r="L53" s="27"/>
      <c r="M53" s="27"/>
    </row>
    <row r="54" spans="1:13" hidden="1">
      <c r="A54" s="25">
        <f t="shared" ref="A54:F54" si="4">A55*A56</f>
        <v>0</v>
      </c>
      <c r="B54" s="23">
        <f t="shared" si="4"/>
        <v>0</v>
      </c>
      <c r="C54" s="23">
        <f t="shared" si="4"/>
        <v>0</v>
      </c>
      <c r="D54" s="23">
        <f t="shared" si="4"/>
        <v>100</v>
      </c>
      <c r="E54" s="23">
        <f t="shared" si="4"/>
        <v>44</v>
      </c>
      <c r="F54" s="23">
        <f t="shared" si="4"/>
        <v>0</v>
      </c>
      <c r="G54" s="23"/>
      <c r="H54" s="24"/>
      <c r="I54" s="24"/>
      <c r="J54" s="25">
        <v>53</v>
      </c>
      <c r="K54" s="26" t="s">
        <v>145</v>
      </c>
      <c r="L54" s="27"/>
      <c r="M54" s="27"/>
    </row>
    <row r="55" spans="1:13" hidden="1">
      <c r="A55" s="25">
        <v>10000000</v>
      </c>
      <c r="B55" s="23">
        <v>100000</v>
      </c>
      <c r="C55" s="23">
        <v>1000</v>
      </c>
      <c r="D55" s="23">
        <v>100</v>
      </c>
      <c r="E55" s="23">
        <v>1</v>
      </c>
      <c r="F55" s="23">
        <v>1</v>
      </c>
      <c r="G55" s="23"/>
      <c r="H55" s="24"/>
      <c r="I55" s="24"/>
      <c r="J55" s="25">
        <v>54</v>
      </c>
      <c r="K55" s="26" t="s">
        <v>146</v>
      </c>
      <c r="L55" s="27"/>
      <c r="M55" s="27"/>
    </row>
    <row r="56" spans="1:13" hidden="1">
      <c r="A56" s="25">
        <f>TRUNC(A61/A55)</f>
        <v>0</v>
      </c>
      <c r="B56" s="23">
        <f>TRUNC((A61-A54)/B55)</f>
        <v>0</v>
      </c>
      <c r="C56" s="23">
        <f>TRUNC((A61-A54-B54)/C55)</f>
        <v>0</v>
      </c>
      <c r="D56" s="23">
        <f>TRUNC((A61-A54-B54-C54)/D55)</f>
        <v>1</v>
      </c>
      <c r="E56" s="23">
        <f>TRUNC((A61-A54-B54-C54-D54)/E55)</f>
        <v>44</v>
      </c>
      <c r="F56" s="23">
        <f>ROUND((A61-(SUM(A54:E54)))*100,0)</f>
        <v>0</v>
      </c>
      <c r="G56" s="23"/>
      <c r="H56" s="24"/>
      <c r="I56" s="24"/>
      <c r="J56" s="25">
        <v>55</v>
      </c>
      <c r="K56" s="26" t="s">
        <v>147</v>
      </c>
      <c r="L56" s="27"/>
      <c r="M56" s="27"/>
    </row>
    <row r="57" spans="1:13" hidden="1">
      <c r="A57" s="25" t="s">
        <v>96</v>
      </c>
      <c r="B57" s="23" t="s">
        <v>96</v>
      </c>
      <c r="C57" s="23" t="s">
        <v>96</v>
      </c>
      <c r="D57" s="23" t="s">
        <v>96</v>
      </c>
      <c r="E57" s="23" t="s">
        <v>96</v>
      </c>
      <c r="F57" s="23" t="s">
        <v>96</v>
      </c>
      <c r="G57" s="23" t="s">
        <v>96</v>
      </c>
      <c r="H57" s="24"/>
      <c r="I57" s="24"/>
      <c r="J57" s="25">
        <v>56</v>
      </c>
      <c r="K57" s="26" t="s">
        <v>148</v>
      </c>
      <c r="L57" s="27"/>
      <c r="M57" s="27"/>
    </row>
    <row r="58" spans="1:13" hidden="1">
      <c r="A58" s="25" t="str">
        <f>IF(A56=0,"",VLOOKUP(A56,$J$1:$K$100,2))</f>
        <v/>
      </c>
      <c r="B58" s="25" t="str">
        <f>IF(B56=0,"",VLOOKUP(B56,$J$1:$K$100,2))</f>
        <v/>
      </c>
      <c r="C58" s="25" t="str">
        <f>IF(C56=0,"",VLOOKUP(C56,$J$1:$K$100,2))</f>
        <v/>
      </c>
      <c r="D58" s="25" t="str">
        <f>IF(D56=0,"",VLOOKUP(D56,$J$1:$M$100,4))</f>
        <v>એક</v>
      </c>
      <c r="E58" s="25" t="str">
        <f>IF(E56=0,"",VLOOKUP(E56,$J$1:$K$100,2))</f>
        <v>ચુંમાલીસ</v>
      </c>
      <c r="F58" s="25" t="str">
        <f>IF(F56=0,"",VLOOKUP(F56,$J$1:$K$100,2))</f>
        <v/>
      </c>
      <c r="G58" s="23"/>
      <c r="H58" s="24"/>
      <c r="I58" s="24"/>
      <c r="J58" s="25">
        <v>57</v>
      </c>
      <c r="K58" s="26" t="s">
        <v>149</v>
      </c>
      <c r="L58" s="27"/>
      <c r="M58" s="27"/>
    </row>
    <row r="59" spans="1:13" hidden="1">
      <c r="A59" s="25" t="str">
        <f>IF(A58&lt;&gt;""," કરોડ ","")</f>
        <v/>
      </c>
      <c r="B59" s="25" t="str">
        <f>IF(B58&lt;&gt;""," લાખ ","")</f>
        <v/>
      </c>
      <c r="C59" s="25" t="str">
        <f>IF(C58&lt;&gt;"","  હજાર ","")</f>
        <v/>
      </c>
      <c r="D59" s="25" t="str">
        <f>IF(D58&lt;&gt;"","સો","")</f>
        <v>સો</v>
      </c>
      <c r="E59" s="25" t="str">
        <f>IF(E58&lt;&gt;"","","")</f>
        <v/>
      </c>
      <c r="F59" s="25" t="str">
        <f>IF(F58&lt;&gt;""," પૈસા ","")</f>
        <v/>
      </c>
      <c r="G59" s="25" t="str">
        <f>IF(F58&lt;&gt;""," અને ","")</f>
        <v/>
      </c>
      <c r="H59" s="24"/>
      <c r="I59" s="24"/>
      <c r="J59" s="25">
        <v>58</v>
      </c>
      <c r="K59" s="26" t="s">
        <v>150</v>
      </c>
      <c r="L59" s="27"/>
      <c r="M59" s="27"/>
    </row>
    <row r="60" spans="1:13" hidden="1">
      <c r="A60" s="24"/>
      <c r="B60" s="24"/>
      <c r="C60" s="24"/>
      <c r="D60" s="24"/>
      <c r="E60" s="24"/>
      <c r="F60" s="24"/>
      <c r="G60" s="24"/>
      <c r="H60" s="24"/>
      <c r="I60" s="24"/>
      <c r="J60" s="25">
        <v>59</v>
      </c>
      <c r="K60" s="26" t="s">
        <v>151</v>
      </c>
      <c r="L60" s="27"/>
      <c r="M60" s="27"/>
    </row>
    <row r="61" spans="1:13" hidden="1">
      <c r="A61" s="30">
        <v>144</v>
      </c>
      <c r="B61" s="24"/>
      <c r="C61" s="24"/>
      <c r="D61" s="24"/>
      <c r="E61" s="24"/>
      <c r="F61" s="24"/>
      <c r="G61" s="24"/>
      <c r="H61" s="24"/>
      <c r="I61" s="24"/>
      <c r="J61" s="25">
        <v>60</v>
      </c>
      <c r="K61" s="26" t="s">
        <v>152</v>
      </c>
      <c r="L61" s="27"/>
      <c r="M61" s="27"/>
    </row>
    <row r="62" spans="1:13" hidden="1">
      <c r="A62" s="24"/>
      <c r="B62" s="24"/>
      <c r="C62" s="24"/>
      <c r="D62" s="24"/>
      <c r="E62" s="24"/>
      <c r="F62" s="24"/>
      <c r="G62" s="24"/>
      <c r="H62" s="24"/>
      <c r="I62" s="24"/>
      <c r="J62" s="25">
        <v>61</v>
      </c>
      <c r="K62" s="26" t="s">
        <v>153</v>
      </c>
      <c r="L62" s="27"/>
      <c r="M62" s="27"/>
    </row>
    <row r="63" spans="1:13" hidden="1">
      <c r="A63" s="24"/>
      <c r="B63" s="24"/>
      <c r="C63" s="24"/>
      <c r="D63" s="24"/>
      <c r="E63" s="24"/>
      <c r="F63" s="24"/>
      <c r="G63" s="24"/>
      <c r="H63" s="24"/>
      <c r="I63" s="24"/>
      <c r="J63" s="25">
        <v>62</v>
      </c>
      <c r="K63" s="26" t="s">
        <v>154</v>
      </c>
      <c r="L63" s="27"/>
      <c r="M63" s="27"/>
    </row>
    <row r="64" spans="1:13" hidden="1">
      <c r="A64" s="391" t="str">
        <f>CONCATENATE("અંકે રૂપિયા ",A58,A59,B58,B59,C58,C59,D58,D59,E58,E59,G59,F58,F59,A53,"પુરા")</f>
        <v>અંકે રૂપિયા એકસોચુંમાલીસ પુરા</v>
      </c>
      <c r="B64" s="391"/>
      <c r="C64" s="391"/>
      <c r="D64" s="391"/>
      <c r="E64" s="391"/>
      <c r="F64" s="391"/>
      <c r="G64" s="391"/>
      <c r="H64" s="24"/>
      <c r="I64" s="24"/>
      <c r="J64" s="25">
        <v>63</v>
      </c>
      <c r="K64" s="26" t="s">
        <v>155</v>
      </c>
      <c r="L64" s="27"/>
      <c r="M64" s="27"/>
    </row>
    <row r="65" spans="1:13" hidden="1">
      <c r="J65" s="25">
        <v>64</v>
      </c>
      <c r="K65" s="26" t="s">
        <v>156</v>
      </c>
      <c r="L65" s="27"/>
      <c r="M65" s="27"/>
    </row>
    <row r="66" spans="1:13" hidden="1">
      <c r="A66" s="23" t="s">
        <v>96</v>
      </c>
      <c r="B66" s="23"/>
      <c r="C66" s="23"/>
      <c r="D66" s="23"/>
      <c r="E66" s="23"/>
      <c r="F66" s="23"/>
      <c r="G66" s="23"/>
      <c r="H66" s="24"/>
      <c r="I66" s="24"/>
      <c r="J66" s="25">
        <v>65</v>
      </c>
      <c r="K66" s="26" t="s">
        <v>157</v>
      </c>
      <c r="L66" s="27"/>
      <c r="M66" s="27"/>
    </row>
    <row r="67" spans="1:13" hidden="1">
      <c r="A67" s="25">
        <f t="shared" ref="A67:F67" si="5">A68*A69</f>
        <v>0</v>
      </c>
      <c r="B67" s="23">
        <f t="shared" si="5"/>
        <v>0</v>
      </c>
      <c r="C67" s="23">
        <f t="shared" si="5"/>
        <v>0</v>
      </c>
      <c r="D67" s="23">
        <f t="shared" si="5"/>
        <v>100</v>
      </c>
      <c r="E67" s="23">
        <f t="shared" si="5"/>
        <v>44</v>
      </c>
      <c r="F67" s="23">
        <f t="shared" si="5"/>
        <v>0</v>
      </c>
      <c r="G67" s="23"/>
      <c r="H67" s="24"/>
      <c r="I67" s="24"/>
      <c r="J67" s="25">
        <v>66</v>
      </c>
      <c r="K67" s="26" t="s">
        <v>158</v>
      </c>
      <c r="L67" s="27"/>
      <c r="M67" s="27"/>
    </row>
    <row r="68" spans="1:13" hidden="1">
      <c r="A68" s="25">
        <v>10000000</v>
      </c>
      <c r="B68" s="23">
        <v>100000</v>
      </c>
      <c r="C68" s="23">
        <v>1000</v>
      </c>
      <c r="D68" s="23">
        <v>100</v>
      </c>
      <c r="E68" s="23">
        <v>1</v>
      </c>
      <c r="F68" s="23">
        <v>1</v>
      </c>
      <c r="G68" s="23"/>
      <c r="H68" s="24"/>
      <c r="I68" s="24"/>
      <c r="J68" s="25">
        <v>67</v>
      </c>
      <c r="K68" s="26" t="s">
        <v>159</v>
      </c>
      <c r="L68" s="27"/>
      <c r="M68" s="27"/>
    </row>
    <row r="69" spans="1:13" hidden="1">
      <c r="A69" s="25">
        <f>TRUNC(A74/A68)</f>
        <v>0</v>
      </c>
      <c r="B69" s="23">
        <f>TRUNC((A74-A67)/B68)</f>
        <v>0</v>
      </c>
      <c r="C69" s="23">
        <f>TRUNC((A74-A67-B67)/C68)</f>
        <v>0</v>
      </c>
      <c r="D69" s="23">
        <f>TRUNC((A74-A67-B67-C67)/D68)</f>
        <v>1</v>
      </c>
      <c r="E69" s="23">
        <f>TRUNC((A74-A67-B67-C67-D67)/E68)</f>
        <v>44</v>
      </c>
      <c r="F69" s="23">
        <f>ROUND((A74-(SUM(A67:E67)))*100,0)</f>
        <v>0</v>
      </c>
      <c r="G69" s="23"/>
      <c r="H69" s="24"/>
      <c r="I69" s="24"/>
      <c r="J69" s="25">
        <v>68</v>
      </c>
      <c r="K69" s="26" t="s">
        <v>160</v>
      </c>
      <c r="L69" s="27"/>
      <c r="M69" s="27"/>
    </row>
    <row r="70" spans="1:13" hidden="1">
      <c r="A70" s="25" t="s">
        <v>96</v>
      </c>
      <c r="B70" s="23" t="s">
        <v>96</v>
      </c>
      <c r="C70" s="23" t="s">
        <v>96</v>
      </c>
      <c r="D70" s="23" t="s">
        <v>96</v>
      </c>
      <c r="E70" s="23" t="s">
        <v>96</v>
      </c>
      <c r="F70" s="23" t="s">
        <v>96</v>
      </c>
      <c r="G70" s="23" t="s">
        <v>96</v>
      </c>
      <c r="H70" s="24"/>
      <c r="I70" s="24"/>
      <c r="J70" s="25">
        <v>69</v>
      </c>
      <c r="K70" s="26" t="s">
        <v>161</v>
      </c>
      <c r="L70" s="27"/>
      <c r="M70" s="27"/>
    </row>
    <row r="71" spans="1:13" hidden="1">
      <c r="A71" s="25" t="str">
        <f>IF(A69=0,"",VLOOKUP(A69,$J$1:$K$100,2))</f>
        <v/>
      </c>
      <c r="B71" s="25" t="str">
        <f>IF(B69=0,"",VLOOKUP(B69,$J$1:$K$100,2))</f>
        <v/>
      </c>
      <c r="C71" s="25" t="str">
        <f>IF(C69=0,"",VLOOKUP(C69,$J$1:$K$100,2))</f>
        <v/>
      </c>
      <c r="D71" s="25" t="str">
        <f>IF(D69=0,"",VLOOKUP(D69,$J$1:$M$100,4))</f>
        <v>એક</v>
      </c>
      <c r="E71" s="25" t="str">
        <f>IF(E69=0,"",VLOOKUP(E69,$J$1:$K$100,2))</f>
        <v>ચુંમાલીસ</v>
      </c>
      <c r="F71" s="25" t="str">
        <f>IF(F69=0,"",VLOOKUP(F69,$J$1:$K$100,2))</f>
        <v/>
      </c>
      <c r="G71" s="23"/>
      <c r="H71" s="24"/>
      <c r="I71" s="24"/>
      <c r="J71" s="25">
        <v>70</v>
      </c>
      <c r="K71" s="26" t="s">
        <v>162</v>
      </c>
      <c r="L71" s="27"/>
      <c r="M71" s="27"/>
    </row>
    <row r="72" spans="1:13" hidden="1">
      <c r="A72" s="25" t="str">
        <f>IF(A71&lt;&gt;""," કરોડ ","")</f>
        <v/>
      </c>
      <c r="B72" s="25" t="str">
        <f>IF(B71&lt;&gt;""," લાખ ","")</f>
        <v/>
      </c>
      <c r="C72" s="25" t="str">
        <f>IF(C71&lt;&gt;"","  હજાર ","")</f>
        <v/>
      </c>
      <c r="D72" s="25" t="str">
        <f>IF(D71&lt;&gt;"","સો","")</f>
        <v>સો</v>
      </c>
      <c r="E72" s="25" t="str">
        <f>IF(E71&lt;&gt;"","","")</f>
        <v/>
      </c>
      <c r="F72" s="25" t="str">
        <f>IF(F71&lt;&gt;""," પૈસા ","")</f>
        <v/>
      </c>
      <c r="G72" s="25" t="str">
        <f>IF(F71&lt;&gt;""," અને ","")</f>
        <v/>
      </c>
      <c r="H72" s="24"/>
      <c r="I72" s="24"/>
      <c r="J72" s="25">
        <v>71</v>
      </c>
      <c r="K72" s="26" t="s">
        <v>163</v>
      </c>
      <c r="L72" s="27"/>
      <c r="M72" s="27"/>
    </row>
    <row r="73" spans="1:13" hidden="1">
      <c r="A73" s="24"/>
      <c r="B73" s="24"/>
      <c r="C73" s="24"/>
      <c r="D73" s="24"/>
      <c r="E73" s="24"/>
      <c r="F73" s="24"/>
      <c r="G73" s="24"/>
      <c r="H73" s="24"/>
      <c r="I73" s="24"/>
      <c r="J73" s="25">
        <v>72</v>
      </c>
      <c r="K73" s="26" t="s">
        <v>164</v>
      </c>
      <c r="L73" s="27"/>
      <c r="M73" s="27"/>
    </row>
    <row r="74" spans="1:13" hidden="1">
      <c r="A74" s="30">
        <v>144</v>
      </c>
      <c r="B74" s="24"/>
      <c r="C74" s="24"/>
      <c r="D74" s="24"/>
      <c r="E74" s="24"/>
      <c r="F74" s="24"/>
      <c r="G74" s="24"/>
      <c r="H74" s="24"/>
      <c r="I74" s="24"/>
      <c r="J74" s="25">
        <v>73</v>
      </c>
      <c r="K74" s="26" t="s">
        <v>165</v>
      </c>
      <c r="L74" s="27"/>
      <c r="M74" s="27"/>
    </row>
    <row r="75" spans="1:13" hidden="1">
      <c r="A75" s="24"/>
      <c r="B75" s="24"/>
      <c r="C75" s="24"/>
      <c r="D75" s="24"/>
      <c r="E75" s="24"/>
      <c r="F75" s="24"/>
      <c r="G75" s="24"/>
      <c r="H75" s="24"/>
      <c r="I75" s="24"/>
      <c r="J75" s="25">
        <v>74</v>
      </c>
      <c r="K75" s="26" t="s">
        <v>166</v>
      </c>
      <c r="L75" s="27"/>
      <c r="M75" s="27"/>
    </row>
    <row r="76" spans="1:13" hidden="1">
      <c r="A76" s="24"/>
      <c r="B76" s="24"/>
      <c r="C76" s="24"/>
      <c r="D76" s="24"/>
      <c r="E76" s="24"/>
      <c r="F76" s="24"/>
      <c r="G76" s="24"/>
      <c r="H76" s="24"/>
      <c r="I76" s="24"/>
      <c r="J76" s="25">
        <v>75</v>
      </c>
      <c r="K76" s="26" t="s">
        <v>167</v>
      </c>
      <c r="L76" s="27"/>
      <c r="M76" s="27"/>
    </row>
    <row r="77" spans="1:13" hidden="1">
      <c r="A77" s="391" t="str">
        <f>CONCATENATE("અંકે રૂપિયા ",A71,A72,B71,B72,C71,C72,D71,D72,E71,E72,G72,F71,F72,A66,"પુરા")</f>
        <v>અંકે રૂપિયા એકસોચુંમાલીસ પુરા</v>
      </c>
      <c r="B77" s="391"/>
      <c r="C77" s="391"/>
      <c r="D77" s="391"/>
      <c r="E77" s="391"/>
      <c r="F77" s="391"/>
      <c r="G77" s="391"/>
      <c r="H77" s="24"/>
      <c r="I77" s="24"/>
      <c r="J77" s="25">
        <v>76</v>
      </c>
      <c r="K77" s="26" t="s">
        <v>168</v>
      </c>
      <c r="L77" s="27"/>
      <c r="M77" s="27"/>
    </row>
    <row r="78" spans="1:13" hidden="1">
      <c r="J78" s="25">
        <v>77</v>
      </c>
      <c r="K78" s="26" t="s">
        <v>169</v>
      </c>
      <c r="L78" s="27"/>
      <c r="M78" s="27"/>
    </row>
    <row r="79" spans="1:13" hidden="1">
      <c r="A79" s="23" t="s">
        <v>96</v>
      </c>
      <c r="B79" s="23"/>
      <c r="C79" s="23"/>
      <c r="D79" s="23"/>
      <c r="E79" s="23"/>
      <c r="F79" s="23"/>
      <c r="G79" s="23"/>
      <c r="H79" s="24"/>
      <c r="I79" s="24"/>
      <c r="J79" s="25">
        <v>78</v>
      </c>
      <c r="K79" s="26" t="s">
        <v>170</v>
      </c>
      <c r="L79" s="27"/>
      <c r="M79" s="27"/>
    </row>
    <row r="80" spans="1:13" hidden="1">
      <c r="A80" s="25">
        <f t="shared" ref="A80:F80" si="6">A81*A82</f>
        <v>0</v>
      </c>
      <c r="B80" s="23">
        <f t="shared" si="6"/>
        <v>0</v>
      </c>
      <c r="C80" s="23">
        <f t="shared" si="6"/>
        <v>0</v>
      </c>
      <c r="D80" s="23">
        <f t="shared" si="6"/>
        <v>100</v>
      </c>
      <c r="E80" s="23">
        <f t="shared" si="6"/>
        <v>44</v>
      </c>
      <c r="F80" s="23">
        <f t="shared" si="6"/>
        <v>0</v>
      </c>
      <c r="G80" s="23"/>
      <c r="H80" s="24"/>
      <c r="I80" s="24"/>
      <c r="J80" s="25">
        <v>79</v>
      </c>
      <c r="K80" s="26" t="s">
        <v>171</v>
      </c>
      <c r="L80" s="27"/>
      <c r="M80" s="27"/>
    </row>
    <row r="81" spans="1:13" hidden="1">
      <c r="A81" s="25">
        <v>10000000</v>
      </c>
      <c r="B81" s="23">
        <v>100000</v>
      </c>
      <c r="C81" s="23">
        <v>1000</v>
      </c>
      <c r="D81" s="23">
        <v>100</v>
      </c>
      <c r="E81" s="23">
        <v>1</v>
      </c>
      <c r="F81" s="23">
        <v>1</v>
      </c>
      <c r="G81" s="23"/>
      <c r="H81" s="24"/>
      <c r="I81" s="24"/>
      <c r="J81" s="25">
        <v>80</v>
      </c>
      <c r="K81" s="26" t="s">
        <v>172</v>
      </c>
      <c r="L81" s="27"/>
      <c r="M81" s="27"/>
    </row>
    <row r="82" spans="1:13" hidden="1">
      <c r="A82" s="25">
        <f>TRUNC(A87/A81)</f>
        <v>0</v>
      </c>
      <c r="B82" s="23">
        <f>TRUNC((A87-A80)/B81)</f>
        <v>0</v>
      </c>
      <c r="C82" s="23">
        <f>TRUNC((A87-A80-B80)/C81)</f>
        <v>0</v>
      </c>
      <c r="D82" s="23">
        <f>TRUNC((A87-A80-B80-C80)/D81)</f>
        <v>1</v>
      </c>
      <c r="E82" s="23">
        <f>TRUNC((A87-A80-B80-C80-D80)/E81)</f>
        <v>44</v>
      </c>
      <c r="F82" s="23">
        <f>ROUND((A87-(SUM(A80:E80)))*100,0)</f>
        <v>0</v>
      </c>
      <c r="G82" s="23"/>
      <c r="H82" s="24"/>
      <c r="I82" s="24"/>
      <c r="J82" s="25">
        <v>81</v>
      </c>
      <c r="K82" s="26" t="s">
        <v>173</v>
      </c>
      <c r="L82" s="27"/>
      <c r="M82" s="27"/>
    </row>
    <row r="83" spans="1:13" hidden="1">
      <c r="A83" s="25" t="s">
        <v>96</v>
      </c>
      <c r="B83" s="23" t="s">
        <v>96</v>
      </c>
      <c r="C83" s="23" t="s">
        <v>96</v>
      </c>
      <c r="D83" s="23" t="s">
        <v>96</v>
      </c>
      <c r="E83" s="23" t="s">
        <v>96</v>
      </c>
      <c r="F83" s="23" t="s">
        <v>96</v>
      </c>
      <c r="G83" s="23" t="s">
        <v>96</v>
      </c>
      <c r="H83" s="24"/>
      <c r="I83" s="24"/>
      <c r="J83" s="25">
        <v>82</v>
      </c>
      <c r="K83" s="26" t="s">
        <v>174</v>
      </c>
      <c r="L83" s="27"/>
      <c r="M83" s="27"/>
    </row>
    <row r="84" spans="1:13" hidden="1">
      <c r="A84" s="25" t="str">
        <f>IF(A82=0,"",VLOOKUP(A82,$J$1:$K$100,2))</f>
        <v/>
      </c>
      <c r="B84" s="25" t="str">
        <f>IF(B82=0,"",VLOOKUP(B82,$J$1:$K$100,2))</f>
        <v/>
      </c>
      <c r="C84" s="25" t="str">
        <f>IF(C82=0,"",VLOOKUP(C82,$J$1:$K$100,2))</f>
        <v/>
      </c>
      <c r="D84" s="25" t="str">
        <f>IF(D82=0,"",VLOOKUP(D82,$J$1:$M$100,4))</f>
        <v>એક</v>
      </c>
      <c r="E84" s="25" t="str">
        <f>IF(E82=0,"",VLOOKUP(E82,$J$1:$K$100,2))</f>
        <v>ચુંમાલીસ</v>
      </c>
      <c r="F84" s="25" t="str">
        <f>IF(F82=0,"",VLOOKUP(F82,$J$1:$K$100,2))</f>
        <v/>
      </c>
      <c r="G84" s="23"/>
      <c r="H84" s="24"/>
      <c r="I84" s="24"/>
      <c r="J84" s="25">
        <v>83</v>
      </c>
      <c r="K84" s="26" t="s">
        <v>175</v>
      </c>
      <c r="L84" s="27"/>
      <c r="M84" s="27"/>
    </row>
    <row r="85" spans="1:13" hidden="1">
      <c r="A85" s="25" t="str">
        <f>IF(A84&lt;&gt;""," કરોડ ","")</f>
        <v/>
      </c>
      <c r="B85" s="25" t="str">
        <f>IF(B84&lt;&gt;""," લાખ ","")</f>
        <v/>
      </c>
      <c r="C85" s="25" t="str">
        <f>IF(C84&lt;&gt;"","  હજાર ","")</f>
        <v/>
      </c>
      <c r="D85" s="25" t="str">
        <f>IF(D84&lt;&gt;"","સો","")</f>
        <v>સો</v>
      </c>
      <c r="E85" s="25" t="str">
        <f>IF(E84&lt;&gt;"","","")</f>
        <v/>
      </c>
      <c r="F85" s="25" t="str">
        <f>IF(F84&lt;&gt;""," પૈસા ","")</f>
        <v/>
      </c>
      <c r="G85" s="25" t="str">
        <f>IF(F84&lt;&gt;""," અને ","")</f>
        <v/>
      </c>
      <c r="H85" s="24"/>
      <c r="I85" s="24"/>
      <c r="J85" s="25">
        <v>84</v>
      </c>
      <c r="K85" s="26" t="s">
        <v>176</v>
      </c>
      <c r="L85" s="27"/>
      <c r="M85" s="27"/>
    </row>
    <row r="86" spans="1:13" hidden="1">
      <c r="A86" s="24"/>
      <c r="B86" s="24"/>
      <c r="C86" s="24"/>
      <c r="D86" s="24"/>
      <c r="E86" s="24"/>
      <c r="F86" s="24"/>
      <c r="G86" s="24"/>
      <c r="H86" s="24"/>
      <c r="I86" s="24"/>
      <c r="J86" s="25">
        <v>85</v>
      </c>
      <c r="K86" s="26" t="s">
        <v>177</v>
      </c>
      <c r="L86" s="27"/>
      <c r="M86" s="27"/>
    </row>
    <row r="87" spans="1:13" hidden="1">
      <c r="A87" s="30">
        <v>144</v>
      </c>
      <c r="B87" s="24"/>
      <c r="C87" s="24"/>
      <c r="D87" s="24"/>
      <c r="E87" s="24"/>
      <c r="F87" s="24"/>
      <c r="G87" s="24"/>
      <c r="H87" s="24"/>
      <c r="I87" s="24"/>
      <c r="J87" s="25">
        <v>86</v>
      </c>
      <c r="K87" s="26" t="s">
        <v>178</v>
      </c>
      <c r="L87" s="27"/>
      <c r="M87" s="27"/>
    </row>
    <row r="88" spans="1:13" hidden="1">
      <c r="A88" s="24"/>
      <c r="B88" s="24"/>
      <c r="C88" s="24"/>
      <c r="D88" s="24"/>
      <c r="E88" s="24"/>
      <c r="F88" s="24"/>
      <c r="G88" s="24"/>
      <c r="H88" s="24"/>
      <c r="I88" s="24"/>
      <c r="J88" s="25">
        <v>87</v>
      </c>
      <c r="K88" s="26" t="s">
        <v>179</v>
      </c>
      <c r="L88" s="27"/>
      <c r="M88" s="27"/>
    </row>
    <row r="89" spans="1:13" hidden="1">
      <c r="A89" s="24"/>
      <c r="B89" s="24"/>
      <c r="C89" s="24"/>
      <c r="D89" s="24"/>
      <c r="E89" s="24"/>
      <c r="F89" s="24"/>
      <c r="G89" s="24"/>
      <c r="H89" s="24"/>
      <c r="I89" s="24"/>
      <c r="J89" s="25">
        <v>88</v>
      </c>
      <c r="K89" s="26" t="s">
        <v>180</v>
      </c>
      <c r="L89" s="27"/>
      <c r="M89" s="27"/>
    </row>
    <row r="90" spans="1:13" hidden="1">
      <c r="A90" s="391" t="str">
        <f>CONCATENATE("અંકે રૂપિયા ",A84,A85,B84,B85,C84,C85,D84,D85,E84,E85,G85,F84,F85,A79,"પુરા")</f>
        <v>અંકે રૂપિયા એકસોચુંમાલીસ પુરા</v>
      </c>
      <c r="B90" s="391"/>
      <c r="C90" s="391"/>
      <c r="D90" s="391"/>
      <c r="E90" s="391"/>
      <c r="F90" s="391"/>
      <c r="G90" s="391"/>
      <c r="H90" s="24"/>
      <c r="I90" s="24"/>
      <c r="J90" s="25">
        <v>89</v>
      </c>
      <c r="K90" s="26" t="s">
        <v>181</v>
      </c>
      <c r="L90" s="27"/>
      <c r="M90" s="27"/>
    </row>
    <row r="91" spans="1:13" hidden="1">
      <c r="J91" s="25">
        <v>90</v>
      </c>
      <c r="K91" s="26" t="s">
        <v>182</v>
      </c>
      <c r="L91" s="27"/>
      <c r="M91" s="27"/>
    </row>
    <row r="92" spans="1:13" hidden="1">
      <c r="A92" s="23" t="s">
        <v>96</v>
      </c>
      <c r="B92" s="23"/>
      <c r="C92" s="23"/>
      <c r="D92" s="23"/>
      <c r="E92" s="23"/>
      <c r="F92" s="23"/>
      <c r="G92" s="23"/>
      <c r="H92" s="24"/>
      <c r="I92" s="24"/>
      <c r="J92" s="25">
        <v>91</v>
      </c>
      <c r="K92" s="26" t="s">
        <v>183</v>
      </c>
      <c r="L92" s="27"/>
      <c r="M92" s="27"/>
    </row>
    <row r="93" spans="1:13" hidden="1">
      <c r="A93" s="25">
        <f t="shared" ref="A93:F93" si="7">A94*A95</f>
        <v>0</v>
      </c>
      <c r="B93" s="23">
        <f t="shared" si="7"/>
        <v>0</v>
      </c>
      <c r="C93" s="23">
        <f t="shared" si="7"/>
        <v>0</v>
      </c>
      <c r="D93" s="23">
        <f t="shared" si="7"/>
        <v>100</v>
      </c>
      <c r="E93" s="23">
        <f t="shared" si="7"/>
        <v>44</v>
      </c>
      <c r="F93" s="23">
        <f t="shared" si="7"/>
        <v>0</v>
      </c>
      <c r="G93" s="23"/>
      <c r="H93" s="24"/>
      <c r="I93" s="24"/>
      <c r="J93" s="25">
        <v>92</v>
      </c>
      <c r="K93" s="26" t="s">
        <v>184</v>
      </c>
      <c r="L93" s="27"/>
      <c r="M93" s="27"/>
    </row>
    <row r="94" spans="1:13" hidden="1">
      <c r="A94" s="25">
        <v>10000000</v>
      </c>
      <c r="B94" s="23">
        <v>100000</v>
      </c>
      <c r="C94" s="23">
        <v>1000</v>
      </c>
      <c r="D94" s="23">
        <v>100</v>
      </c>
      <c r="E94" s="23">
        <v>1</v>
      </c>
      <c r="F94" s="23">
        <v>1</v>
      </c>
      <c r="G94" s="23"/>
      <c r="H94" s="24"/>
      <c r="I94" s="24"/>
      <c r="J94" s="25">
        <v>93</v>
      </c>
      <c r="K94" s="26" t="s">
        <v>185</v>
      </c>
      <c r="L94" s="27"/>
      <c r="M94" s="27"/>
    </row>
    <row r="95" spans="1:13" hidden="1">
      <c r="A95" s="25">
        <f>TRUNC(A100/A94)</f>
        <v>0</v>
      </c>
      <c r="B95" s="23">
        <f>TRUNC((A100-A93)/B94)</f>
        <v>0</v>
      </c>
      <c r="C95" s="23">
        <f>TRUNC((A100-A93-B93)/C94)</f>
        <v>0</v>
      </c>
      <c r="D95" s="23">
        <f>TRUNC((A100-A93-B93-C93)/D94)</f>
        <v>1</v>
      </c>
      <c r="E95" s="23">
        <f>TRUNC((A100-A93-B93-C93-D93)/E94)</f>
        <v>44</v>
      </c>
      <c r="F95" s="23">
        <f>ROUND((A100-(SUM(A93:E93)))*100,0)</f>
        <v>0</v>
      </c>
      <c r="G95" s="23"/>
      <c r="H95" s="24"/>
      <c r="I95" s="24"/>
      <c r="J95" s="25">
        <v>94</v>
      </c>
      <c r="K95" s="26" t="s">
        <v>186</v>
      </c>
      <c r="L95" s="27"/>
      <c r="M95" s="27"/>
    </row>
    <row r="96" spans="1:13" hidden="1">
      <c r="A96" s="25" t="s">
        <v>96</v>
      </c>
      <c r="B96" s="23" t="s">
        <v>96</v>
      </c>
      <c r="C96" s="23" t="s">
        <v>96</v>
      </c>
      <c r="D96" s="23" t="s">
        <v>96</v>
      </c>
      <c r="E96" s="23" t="s">
        <v>96</v>
      </c>
      <c r="F96" s="23" t="s">
        <v>96</v>
      </c>
      <c r="G96" s="23" t="s">
        <v>96</v>
      </c>
      <c r="H96" s="24"/>
      <c r="I96" s="24"/>
      <c r="J96" s="25">
        <v>95</v>
      </c>
      <c r="K96" s="26" t="s">
        <v>187</v>
      </c>
      <c r="L96" s="27"/>
      <c r="M96" s="27"/>
    </row>
    <row r="97" spans="1:13" hidden="1">
      <c r="A97" s="25" t="str">
        <f>IF(A95=0,"",VLOOKUP(A95,$J$1:$K$100,2))</f>
        <v/>
      </c>
      <c r="B97" s="25" t="str">
        <f>IF(B95=0,"",VLOOKUP(B95,$J$1:$K$100,2))</f>
        <v/>
      </c>
      <c r="C97" s="25" t="str">
        <f>IF(C95=0,"",VLOOKUP(C95,$J$1:$K$100,2))</f>
        <v/>
      </c>
      <c r="D97" s="25" t="str">
        <f>IF(D95=0,"",VLOOKUP(D95,$J$1:$M$100,4))</f>
        <v>એક</v>
      </c>
      <c r="E97" s="25" t="str">
        <f>IF(E95=0,"",VLOOKUP(E95,$J$1:$K$100,2))</f>
        <v>ચુંમાલીસ</v>
      </c>
      <c r="F97" s="25" t="str">
        <f>IF(F95=0,"",VLOOKUP(F95,$J$1:$K$100,2))</f>
        <v/>
      </c>
      <c r="G97" s="23"/>
      <c r="H97" s="24"/>
      <c r="I97" s="24"/>
      <c r="J97" s="25">
        <v>96</v>
      </c>
      <c r="K97" s="26" t="s">
        <v>188</v>
      </c>
      <c r="L97" s="27"/>
      <c r="M97" s="27"/>
    </row>
    <row r="98" spans="1:13" hidden="1">
      <c r="A98" s="25" t="str">
        <f>IF(A97&lt;&gt;""," કરોડ ","")</f>
        <v/>
      </c>
      <c r="B98" s="25" t="str">
        <f>IF(B97&lt;&gt;""," લાખ ","")</f>
        <v/>
      </c>
      <c r="C98" s="25" t="str">
        <f>IF(C97&lt;&gt;"","  હજાર ","")</f>
        <v/>
      </c>
      <c r="D98" s="25" t="str">
        <f>IF(D97&lt;&gt;"","સો","")</f>
        <v>સો</v>
      </c>
      <c r="E98" s="25" t="str">
        <f>IF(E97&lt;&gt;"","","")</f>
        <v/>
      </c>
      <c r="F98" s="25" t="str">
        <f>IF(F97&lt;&gt;""," પૈસા ","")</f>
        <v/>
      </c>
      <c r="G98" s="25" t="str">
        <f>IF(F97&lt;&gt;""," અને ","")</f>
        <v/>
      </c>
      <c r="H98" s="24"/>
      <c r="I98" s="24"/>
      <c r="J98" s="25">
        <v>97</v>
      </c>
      <c r="K98" s="26" t="s">
        <v>189</v>
      </c>
      <c r="L98" s="27"/>
      <c r="M98" s="27"/>
    </row>
    <row r="99" spans="1:13" hidden="1">
      <c r="A99" s="24"/>
      <c r="B99" s="24"/>
      <c r="C99" s="24"/>
      <c r="D99" s="24"/>
      <c r="E99" s="24"/>
      <c r="F99" s="24"/>
      <c r="G99" s="24"/>
      <c r="H99" s="24"/>
      <c r="I99" s="24"/>
      <c r="J99" s="25">
        <v>98</v>
      </c>
      <c r="K99" s="26" t="s">
        <v>190</v>
      </c>
      <c r="L99" s="27"/>
      <c r="M99" s="27"/>
    </row>
    <row r="100" spans="1:13" hidden="1">
      <c r="A100" s="30">
        <v>144</v>
      </c>
      <c r="B100" s="24"/>
      <c r="C100" s="24"/>
      <c r="D100" s="24"/>
      <c r="E100" s="24"/>
      <c r="F100" s="24"/>
      <c r="G100" s="24"/>
      <c r="H100" s="24"/>
      <c r="I100" s="24"/>
      <c r="J100" s="25">
        <v>99</v>
      </c>
      <c r="K100" s="26" t="s">
        <v>191</v>
      </c>
      <c r="L100" s="27"/>
      <c r="M100" s="27"/>
    </row>
    <row r="101" spans="1:13" hidden="1">
      <c r="A101" s="24"/>
      <c r="B101" s="24"/>
      <c r="C101" s="24"/>
      <c r="D101" s="24"/>
      <c r="E101" s="24"/>
      <c r="F101" s="24"/>
      <c r="G101" s="24"/>
      <c r="H101" s="24"/>
      <c r="I101" s="24"/>
    </row>
    <row r="102" spans="1:13" hidden="1">
      <c r="A102" s="24"/>
      <c r="B102" s="24"/>
      <c r="C102" s="24"/>
      <c r="D102" s="24"/>
      <c r="E102" s="24"/>
      <c r="F102" s="24"/>
      <c r="G102" s="24"/>
      <c r="H102" s="24"/>
      <c r="I102" s="24"/>
    </row>
    <row r="103" spans="1:13" hidden="1">
      <c r="A103" s="391" t="str">
        <f>CONCATENATE("અંકે રૂપિયા ",A97,A98,B97,B98,C97,C98,D97,D98,E97,E98,G98,F97,F98,A92,"પુરા")</f>
        <v>અંકે રૂપિયા એકસોચુંમાલીસ પુરા</v>
      </c>
      <c r="B103" s="391"/>
      <c r="C103" s="391"/>
      <c r="D103" s="391"/>
      <c r="E103" s="391"/>
      <c r="F103" s="391"/>
      <c r="G103" s="391"/>
      <c r="H103" s="24"/>
      <c r="I103" s="24"/>
    </row>
    <row r="105" spans="1:13" hidden="1">
      <c r="A105" s="23" t="s">
        <v>96</v>
      </c>
      <c r="B105" s="23"/>
      <c r="C105" s="23"/>
      <c r="D105" s="23"/>
      <c r="E105" s="23"/>
      <c r="F105" s="23"/>
      <c r="G105" s="23"/>
      <c r="H105" s="24"/>
      <c r="I105" s="24"/>
    </row>
    <row r="106" spans="1:13" hidden="1">
      <c r="A106" s="25">
        <f t="shared" ref="A106:F106" si="8">A107*A108</f>
        <v>0</v>
      </c>
      <c r="B106" s="23">
        <f t="shared" si="8"/>
        <v>0</v>
      </c>
      <c r="C106" s="23">
        <f t="shared" si="8"/>
        <v>0</v>
      </c>
      <c r="D106" s="23">
        <f t="shared" si="8"/>
        <v>100</v>
      </c>
      <c r="E106" s="23">
        <f t="shared" si="8"/>
        <v>44</v>
      </c>
      <c r="F106" s="23">
        <f t="shared" si="8"/>
        <v>0</v>
      </c>
      <c r="G106" s="23"/>
      <c r="H106" s="24"/>
      <c r="I106" s="24"/>
    </row>
    <row r="107" spans="1:13" hidden="1">
      <c r="A107" s="25">
        <v>10000000</v>
      </c>
      <c r="B107" s="23">
        <v>100000</v>
      </c>
      <c r="C107" s="23">
        <v>1000</v>
      </c>
      <c r="D107" s="23">
        <v>100</v>
      </c>
      <c r="E107" s="23">
        <v>1</v>
      </c>
      <c r="F107" s="23">
        <v>1</v>
      </c>
      <c r="G107" s="23"/>
      <c r="H107" s="24"/>
      <c r="I107" s="24"/>
    </row>
    <row r="108" spans="1:13" hidden="1">
      <c r="A108" s="25">
        <f>TRUNC(A113/A107)</f>
        <v>0</v>
      </c>
      <c r="B108" s="23">
        <f>TRUNC((A113-A106)/B107)</f>
        <v>0</v>
      </c>
      <c r="C108" s="23">
        <f>TRUNC((A113-A106-B106)/C107)</f>
        <v>0</v>
      </c>
      <c r="D108" s="23">
        <f>TRUNC((A113-A106-B106-C106)/D107)</f>
        <v>1</v>
      </c>
      <c r="E108" s="23">
        <f>TRUNC((A113-A106-B106-C106-D106)/E107)</f>
        <v>44</v>
      </c>
      <c r="F108" s="23">
        <f>ROUND((A113-(SUM(A106:E106)))*100,0)</f>
        <v>0</v>
      </c>
      <c r="G108" s="23"/>
      <c r="H108" s="24"/>
      <c r="I108" s="24"/>
    </row>
    <row r="109" spans="1:13" hidden="1">
      <c r="A109" s="25" t="s">
        <v>96</v>
      </c>
      <c r="B109" s="23" t="s">
        <v>96</v>
      </c>
      <c r="C109" s="23" t="s">
        <v>96</v>
      </c>
      <c r="D109" s="23" t="s">
        <v>96</v>
      </c>
      <c r="E109" s="23" t="s">
        <v>96</v>
      </c>
      <c r="F109" s="23" t="s">
        <v>96</v>
      </c>
      <c r="G109" s="23" t="s">
        <v>96</v>
      </c>
      <c r="H109" s="24"/>
      <c r="I109" s="24"/>
    </row>
    <row r="110" spans="1:13" hidden="1">
      <c r="A110" s="25" t="str">
        <f>IF(A108=0,"",VLOOKUP(A108,$J$1:$K$100,2))</f>
        <v/>
      </c>
      <c r="B110" s="25" t="str">
        <f>IF(B108=0,"",VLOOKUP(B108,$J$1:$K$100,2))</f>
        <v/>
      </c>
      <c r="C110" s="25" t="str">
        <f>IF(C108=0,"",VLOOKUP(C108,$J$1:$K$100,2))</f>
        <v/>
      </c>
      <c r="D110" s="25" t="str">
        <f>IF(D108=0,"",VLOOKUP(D108,$J$1:$M$100,4))</f>
        <v>એક</v>
      </c>
      <c r="E110" s="25" t="str">
        <f>IF(E108=0,"",VLOOKUP(E108,$J$1:$K$100,2))</f>
        <v>ચુંમાલીસ</v>
      </c>
      <c r="F110" s="25" t="str">
        <f>IF(F108=0,"",VLOOKUP(F108,$J$1:$K$100,2))</f>
        <v/>
      </c>
      <c r="G110" s="23"/>
      <c r="H110" s="24"/>
      <c r="I110" s="24"/>
    </row>
    <row r="111" spans="1:13" hidden="1">
      <c r="A111" s="25" t="str">
        <f>IF(A110&lt;&gt;""," કરોડ ","")</f>
        <v/>
      </c>
      <c r="B111" s="25" t="str">
        <f>IF(B110&lt;&gt;""," લાખ ","")</f>
        <v/>
      </c>
      <c r="C111" s="25" t="str">
        <f>IF(C110&lt;&gt;"","  હજાર ","")</f>
        <v/>
      </c>
      <c r="D111" s="25" t="str">
        <f>IF(D110&lt;&gt;"","સો","")</f>
        <v>સો</v>
      </c>
      <c r="E111" s="25" t="str">
        <f>IF(E110&lt;&gt;"","","")</f>
        <v/>
      </c>
      <c r="F111" s="25" t="str">
        <f>IF(F110&lt;&gt;""," પૈસા ","")</f>
        <v/>
      </c>
      <c r="G111" s="25" t="str">
        <f>IF(F110&lt;&gt;""," અને ","")</f>
        <v/>
      </c>
      <c r="H111" s="24"/>
      <c r="I111" s="24"/>
    </row>
    <row r="112" spans="1:13" hidden="1">
      <c r="A112" s="24"/>
      <c r="B112" s="24"/>
      <c r="C112" s="24"/>
      <c r="D112" s="24"/>
      <c r="E112" s="24"/>
      <c r="F112" s="24"/>
      <c r="G112" s="24"/>
      <c r="H112" s="24"/>
      <c r="I112" s="24"/>
    </row>
    <row r="113" spans="1:9" hidden="1">
      <c r="A113" s="30">
        <v>144</v>
      </c>
      <c r="B113" s="24"/>
      <c r="C113" s="24"/>
      <c r="D113" s="24"/>
      <c r="E113" s="24"/>
      <c r="F113" s="24"/>
      <c r="G113" s="24"/>
      <c r="H113" s="24"/>
      <c r="I113" s="24"/>
    </row>
    <row r="114" spans="1:9" hidden="1">
      <c r="A114" s="24"/>
      <c r="B114" s="24"/>
      <c r="C114" s="24"/>
      <c r="D114" s="24"/>
      <c r="E114" s="24"/>
      <c r="F114" s="24"/>
      <c r="G114" s="24"/>
      <c r="H114" s="24"/>
      <c r="I114" s="24"/>
    </row>
    <row r="115" spans="1:9" hidden="1">
      <c r="A115" s="24"/>
      <c r="B115" s="24"/>
      <c r="C115" s="24"/>
      <c r="D115" s="24"/>
      <c r="E115" s="24"/>
      <c r="F115" s="24"/>
      <c r="G115" s="24"/>
      <c r="H115" s="24"/>
      <c r="I115" s="24"/>
    </row>
    <row r="116" spans="1:9" hidden="1">
      <c r="A116" s="391" t="str">
        <f>CONCATENATE("અંકે રૂપિયા ",A110,A111,B110,B111,C110,C111,D110,D111,E110,E111,G111,F110,F111,A105,"પુરા")</f>
        <v>અંકે રૂપિયા એકસોચુંમાલીસ પુરા</v>
      </c>
      <c r="B116" s="391"/>
      <c r="C116" s="391"/>
      <c r="D116" s="391"/>
      <c r="E116" s="391"/>
      <c r="F116" s="391"/>
      <c r="G116" s="391"/>
      <c r="H116" s="24"/>
      <c r="I116" s="24"/>
    </row>
    <row r="118" spans="1:9" hidden="1">
      <c r="A118" s="23" t="s">
        <v>96</v>
      </c>
      <c r="B118" s="23"/>
      <c r="C118" s="23"/>
      <c r="D118" s="23"/>
      <c r="E118" s="23"/>
      <c r="F118" s="23"/>
      <c r="G118" s="23"/>
      <c r="H118" s="24"/>
      <c r="I118" s="24"/>
    </row>
    <row r="119" spans="1:9" hidden="1">
      <c r="A119" s="25">
        <f t="shared" ref="A119:F119" si="9">A120*A121</f>
        <v>0</v>
      </c>
      <c r="B119" s="23">
        <f t="shared" si="9"/>
        <v>0</v>
      </c>
      <c r="C119" s="23">
        <f t="shared" si="9"/>
        <v>0</v>
      </c>
      <c r="D119" s="23">
        <f t="shared" si="9"/>
        <v>100</v>
      </c>
      <c r="E119" s="23">
        <f t="shared" si="9"/>
        <v>44</v>
      </c>
      <c r="F119" s="23">
        <f t="shared" si="9"/>
        <v>0</v>
      </c>
      <c r="G119" s="23"/>
      <c r="H119" s="24"/>
      <c r="I119" s="24"/>
    </row>
    <row r="120" spans="1:9" hidden="1">
      <c r="A120" s="25">
        <v>10000000</v>
      </c>
      <c r="B120" s="23">
        <v>100000</v>
      </c>
      <c r="C120" s="23">
        <v>1000</v>
      </c>
      <c r="D120" s="23">
        <v>100</v>
      </c>
      <c r="E120" s="23">
        <v>1</v>
      </c>
      <c r="F120" s="23">
        <v>1</v>
      </c>
      <c r="G120" s="23"/>
      <c r="H120" s="24"/>
      <c r="I120" s="24"/>
    </row>
    <row r="121" spans="1:9" hidden="1">
      <c r="A121" s="25">
        <f>TRUNC(A126/A120)</f>
        <v>0</v>
      </c>
      <c r="B121" s="23">
        <f>TRUNC((A126-A119)/B120)</f>
        <v>0</v>
      </c>
      <c r="C121" s="23">
        <f>TRUNC((A126-A119-B119)/C120)</f>
        <v>0</v>
      </c>
      <c r="D121" s="23">
        <f>TRUNC((A126-A119-B119-C119)/D120)</f>
        <v>1</v>
      </c>
      <c r="E121" s="23">
        <f>TRUNC((A126-A119-B119-C119-D119)/E120)</f>
        <v>44</v>
      </c>
      <c r="F121" s="23">
        <f>ROUND((A126-(SUM(A119:E119)))*100,0)</f>
        <v>0</v>
      </c>
      <c r="G121" s="23"/>
      <c r="H121" s="24"/>
      <c r="I121" s="24"/>
    </row>
    <row r="122" spans="1:9" hidden="1">
      <c r="A122" s="25" t="s">
        <v>96</v>
      </c>
      <c r="B122" s="23" t="s">
        <v>96</v>
      </c>
      <c r="C122" s="23" t="s">
        <v>96</v>
      </c>
      <c r="D122" s="23" t="s">
        <v>96</v>
      </c>
      <c r="E122" s="23" t="s">
        <v>96</v>
      </c>
      <c r="F122" s="23" t="s">
        <v>96</v>
      </c>
      <c r="G122" s="23" t="s">
        <v>96</v>
      </c>
      <c r="H122" s="24"/>
      <c r="I122" s="24"/>
    </row>
    <row r="123" spans="1:9" hidden="1">
      <c r="A123" s="25" t="str">
        <f>IF(A121=0,"",VLOOKUP(A121,$J$1:$K$100,2))</f>
        <v/>
      </c>
      <c r="B123" s="25" t="str">
        <f>IF(B121=0,"",VLOOKUP(B121,$J$1:$K$100,2))</f>
        <v/>
      </c>
      <c r="C123" s="25" t="str">
        <f>IF(C121=0,"",VLOOKUP(C121,$J$1:$K$100,2))</f>
        <v/>
      </c>
      <c r="D123" s="25" t="str">
        <f>IF(D121=0,"",VLOOKUP(D121,$J$1:$M$100,4))</f>
        <v>એક</v>
      </c>
      <c r="E123" s="25" t="str">
        <f>IF(E121=0,"",VLOOKUP(E121,$J$1:$K$100,2))</f>
        <v>ચુંમાલીસ</v>
      </c>
      <c r="F123" s="25" t="str">
        <f>IF(F121=0,"",VLOOKUP(F121,$J$1:$K$100,2))</f>
        <v/>
      </c>
      <c r="G123" s="23"/>
      <c r="H123" s="24"/>
      <c r="I123" s="24"/>
    </row>
    <row r="124" spans="1:9" hidden="1">
      <c r="A124" s="25" t="str">
        <f>IF(A123&lt;&gt;""," કરોડ ","")</f>
        <v/>
      </c>
      <c r="B124" s="25" t="str">
        <f>IF(B123&lt;&gt;""," લાખ ","")</f>
        <v/>
      </c>
      <c r="C124" s="25" t="str">
        <f>IF(C123&lt;&gt;"","  હજાર ","")</f>
        <v/>
      </c>
      <c r="D124" s="25" t="str">
        <f>IF(D123&lt;&gt;"","સો","")</f>
        <v>સો</v>
      </c>
      <c r="E124" s="25" t="str">
        <f>IF(E123&lt;&gt;"","","")</f>
        <v/>
      </c>
      <c r="F124" s="25" t="str">
        <f>IF(F123&lt;&gt;""," પૈસા ","")</f>
        <v/>
      </c>
      <c r="G124" s="25" t="str">
        <f>IF(F123&lt;&gt;""," અને ","")</f>
        <v/>
      </c>
      <c r="H124" s="24"/>
      <c r="I124" s="24"/>
    </row>
    <row r="125" spans="1:9" hidden="1">
      <c r="A125" s="24"/>
      <c r="B125" s="24"/>
      <c r="C125" s="24"/>
      <c r="D125" s="24"/>
      <c r="E125" s="24"/>
      <c r="F125" s="24"/>
      <c r="G125" s="24"/>
      <c r="H125" s="24"/>
      <c r="I125" s="24"/>
    </row>
    <row r="126" spans="1:9" hidden="1">
      <c r="A126" s="30">
        <v>144</v>
      </c>
      <c r="B126" s="24"/>
      <c r="C126" s="24"/>
      <c r="D126" s="24"/>
      <c r="E126" s="24"/>
      <c r="F126" s="24"/>
      <c r="G126" s="24"/>
      <c r="H126" s="24"/>
      <c r="I126" s="24"/>
    </row>
    <row r="127" spans="1:9" hidden="1">
      <c r="A127" s="24"/>
      <c r="B127" s="24"/>
      <c r="C127" s="24"/>
      <c r="D127" s="24"/>
      <c r="E127" s="24"/>
      <c r="F127" s="24"/>
      <c r="G127" s="24"/>
      <c r="H127" s="24"/>
      <c r="I127" s="24"/>
    </row>
    <row r="128" spans="1:9" hidden="1">
      <c r="A128" s="24"/>
      <c r="B128" s="24"/>
      <c r="C128" s="24"/>
      <c r="D128" s="24"/>
      <c r="E128" s="24"/>
      <c r="F128" s="24"/>
      <c r="G128" s="24"/>
      <c r="H128" s="24"/>
      <c r="I128" s="24"/>
    </row>
    <row r="129" spans="1:9" hidden="1">
      <c r="A129" s="391" t="str">
        <f>CONCATENATE("અંકે રૂપિયા ",A123,A124,B123,B124,C123,C124,D123,D124,E123,E124,G124,F123,F124,A118,"પુરા")</f>
        <v>અંકે રૂપિયા એકસોચુંમાલીસ પુરા</v>
      </c>
      <c r="B129" s="391"/>
      <c r="C129" s="391"/>
      <c r="D129" s="391"/>
      <c r="E129" s="391"/>
      <c r="F129" s="391"/>
      <c r="G129" s="391"/>
      <c r="H129" s="24"/>
      <c r="I129" s="24"/>
    </row>
    <row r="131" spans="1:9" hidden="1">
      <c r="A131" s="23" t="s">
        <v>96</v>
      </c>
      <c r="B131" s="23"/>
      <c r="C131" s="23"/>
      <c r="D131" s="23"/>
      <c r="E131" s="23"/>
      <c r="F131" s="23"/>
      <c r="G131" s="23"/>
      <c r="H131" s="24"/>
      <c r="I131" s="24"/>
    </row>
    <row r="132" spans="1:9" hidden="1">
      <c r="A132" s="25">
        <f t="shared" ref="A132:F132" si="10">A133*A134</f>
        <v>0</v>
      </c>
      <c r="B132" s="23">
        <f t="shared" si="10"/>
        <v>0</v>
      </c>
      <c r="C132" s="23">
        <f t="shared" si="10"/>
        <v>0</v>
      </c>
      <c r="D132" s="23">
        <f t="shared" si="10"/>
        <v>100</v>
      </c>
      <c r="E132" s="23">
        <f t="shared" si="10"/>
        <v>44</v>
      </c>
      <c r="F132" s="23">
        <f t="shared" si="10"/>
        <v>0</v>
      </c>
      <c r="G132" s="23"/>
      <c r="H132" s="24"/>
      <c r="I132" s="24"/>
    </row>
    <row r="133" spans="1:9" hidden="1">
      <c r="A133" s="25">
        <v>10000000</v>
      </c>
      <c r="B133" s="23">
        <v>100000</v>
      </c>
      <c r="C133" s="23">
        <v>1000</v>
      </c>
      <c r="D133" s="23">
        <v>100</v>
      </c>
      <c r="E133" s="23">
        <v>1</v>
      </c>
      <c r="F133" s="23">
        <v>1</v>
      </c>
      <c r="G133" s="23"/>
      <c r="H133" s="24"/>
      <c r="I133" s="24"/>
    </row>
    <row r="134" spans="1:9" hidden="1">
      <c r="A134" s="25">
        <f>TRUNC(A139/A133)</f>
        <v>0</v>
      </c>
      <c r="B134" s="23">
        <f>TRUNC((A139-A132)/B133)</f>
        <v>0</v>
      </c>
      <c r="C134" s="23">
        <f>TRUNC((A139-A132-B132)/C133)</f>
        <v>0</v>
      </c>
      <c r="D134" s="23">
        <f>TRUNC((A139-A132-B132-C132)/D133)</f>
        <v>1</v>
      </c>
      <c r="E134" s="23">
        <f>TRUNC((A139-A132-B132-C132-D132)/E133)</f>
        <v>44</v>
      </c>
      <c r="F134" s="23">
        <f>ROUND((A139-(SUM(A132:E132)))*100,0)</f>
        <v>0</v>
      </c>
      <c r="G134" s="23"/>
      <c r="H134" s="24"/>
      <c r="I134" s="24"/>
    </row>
    <row r="135" spans="1:9" hidden="1">
      <c r="A135" s="25" t="s">
        <v>96</v>
      </c>
      <c r="B135" s="23" t="s">
        <v>96</v>
      </c>
      <c r="C135" s="23" t="s">
        <v>96</v>
      </c>
      <c r="D135" s="23" t="s">
        <v>96</v>
      </c>
      <c r="E135" s="23" t="s">
        <v>96</v>
      </c>
      <c r="F135" s="23" t="s">
        <v>96</v>
      </c>
      <c r="G135" s="23" t="s">
        <v>96</v>
      </c>
      <c r="H135" s="24"/>
      <c r="I135" s="24"/>
    </row>
    <row r="136" spans="1:9" hidden="1">
      <c r="A136" s="25" t="str">
        <f>IF(A134=0,"",VLOOKUP(A134,$J$1:$K$100,2))</f>
        <v/>
      </c>
      <c r="B136" s="25" t="str">
        <f>IF(B134=0,"",VLOOKUP(B134,$J$1:$K$100,2))</f>
        <v/>
      </c>
      <c r="C136" s="25" t="str">
        <f>IF(C134=0,"",VLOOKUP(C134,$J$1:$K$100,2))</f>
        <v/>
      </c>
      <c r="D136" s="25" t="str">
        <f>IF(D134=0,"",VLOOKUP(D134,$J$1:$M$100,4))</f>
        <v>એક</v>
      </c>
      <c r="E136" s="25" t="str">
        <f>IF(E134=0,"",VLOOKUP(E134,$J$1:$K$100,2))</f>
        <v>ચુંમાલીસ</v>
      </c>
      <c r="F136" s="25" t="str">
        <f>IF(F134=0,"",VLOOKUP(F134,$J$1:$K$100,2))</f>
        <v/>
      </c>
      <c r="G136" s="23"/>
      <c r="H136" s="24"/>
      <c r="I136" s="24"/>
    </row>
    <row r="137" spans="1:9" hidden="1">
      <c r="A137" s="25" t="str">
        <f>IF(A136&lt;&gt;""," કરોડ ","")</f>
        <v/>
      </c>
      <c r="B137" s="25" t="str">
        <f>IF(B136&lt;&gt;""," લાખ ","")</f>
        <v/>
      </c>
      <c r="C137" s="25" t="str">
        <f>IF(C136&lt;&gt;"","  હજાર ","")</f>
        <v/>
      </c>
      <c r="D137" s="25" t="str">
        <f>IF(D136&lt;&gt;"","સો","")</f>
        <v>સો</v>
      </c>
      <c r="E137" s="25" t="str">
        <f>IF(E136&lt;&gt;"","","")</f>
        <v/>
      </c>
      <c r="F137" s="25" t="str">
        <f>IF(F136&lt;&gt;""," પૈસા ","")</f>
        <v/>
      </c>
      <c r="G137" s="25" t="str">
        <f>IF(F136&lt;&gt;""," અને ","")</f>
        <v/>
      </c>
      <c r="H137" s="24"/>
      <c r="I137" s="24"/>
    </row>
    <row r="138" spans="1:9" hidden="1">
      <c r="A138" s="24"/>
      <c r="B138" s="24"/>
      <c r="C138" s="24"/>
      <c r="D138" s="24"/>
      <c r="E138" s="24"/>
      <c r="F138" s="24"/>
      <c r="G138" s="24"/>
      <c r="H138" s="24"/>
      <c r="I138" s="24"/>
    </row>
    <row r="139" spans="1:9" hidden="1">
      <c r="A139" s="30">
        <v>144</v>
      </c>
      <c r="B139" s="24"/>
      <c r="C139" s="24"/>
      <c r="D139" s="24"/>
      <c r="E139" s="24"/>
      <c r="F139" s="24"/>
      <c r="G139" s="24"/>
      <c r="H139" s="24"/>
      <c r="I139" s="24"/>
    </row>
    <row r="140" spans="1:9" hidden="1">
      <c r="A140" s="24"/>
      <c r="B140" s="24"/>
      <c r="C140" s="24"/>
      <c r="D140" s="24"/>
      <c r="E140" s="24"/>
      <c r="F140" s="24"/>
      <c r="G140" s="24"/>
      <c r="H140" s="24"/>
      <c r="I140" s="24"/>
    </row>
    <row r="141" spans="1:9" hidden="1">
      <c r="A141" s="24"/>
      <c r="B141" s="24"/>
      <c r="C141" s="24"/>
      <c r="D141" s="24"/>
      <c r="E141" s="24"/>
      <c r="F141" s="24"/>
      <c r="G141" s="24"/>
      <c r="H141" s="24"/>
      <c r="I141" s="24"/>
    </row>
    <row r="142" spans="1:9" hidden="1">
      <c r="A142" s="391" t="str">
        <f>CONCATENATE("અંકે રૂપિયા ",A136,A137,B136,B137,C136,C137,D136,D137,E136,E137,G137,F136,F137,A131,"પુરા")</f>
        <v>અંકે રૂપિયા એકસોચુંમાલીસ પુરા</v>
      </c>
      <c r="B142" s="391"/>
      <c r="C142" s="391"/>
      <c r="D142" s="391"/>
      <c r="E142" s="391"/>
      <c r="F142" s="391"/>
      <c r="G142" s="391"/>
      <c r="H142" s="24"/>
      <c r="I142" s="24"/>
    </row>
    <row r="144" spans="1:9" hidden="1">
      <c r="A144" s="23" t="s">
        <v>96</v>
      </c>
      <c r="B144" s="23"/>
      <c r="C144" s="23"/>
      <c r="D144" s="23"/>
      <c r="E144" s="23"/>
      <c r="F144" s="23"/>
      <c r="G144" s="23"/>
      <c r="H144" s="24"/>
      <c r="I144" s="24"/>
    </row>
    <row r="145" spans="1:9" hidden="1">
      <c r="A145" s="25">
        <f t="shared" ref="A145:F145" si="11">A146*A147</f>
        <v>0</v>
      </c>
      <c r="B145" s="23">
        <f t="shared" si="11"/>
        <v>0</v>
      </c>
      <c r="C145" s="23">
        <f t="shared" si="11"/>
        <v>0</v>
      </c>
      <c r="D145" s="23">
        <f t="shared" si="11"/>
        <v>100</v>
      </c>
      <c r="E145" s="23">
        <f t="shared" si="11"/>
        <v>44</v>
      </c>
      <c r="F145" s="23">
        <f t="shared" si="11"/>
        <v>0</v>
      </c>
      <c r="G145" s="23"/>
      <c r="H145" s="24"/>
      <c r="I145" s="24"/>
    </row>
    <row r="146" spans="1:9" hidden="1">
      <c r="A146" s="25">
        <v>10000000</v>
      </c>
      <c r="B146" s="23">
        <v>100000</v>
      </c>
      <c r="C146" s="23">
        <v>1000</v>
      </c>
      <c r="D146" s="23">
        <v>100</v>
      </c>
      <c r="E146" s="23">
        <v>1</v>
      </c>
      <c r="F146" s="23">
        <v>1</v>
      </c>
      <c r="G146" s="23"/>
      <c r="H146" s="24"/>
      <c r="I146" s="24"/>
    </row>
    <row r="147" spans="1:9" hidden="1">
      <c r="A147" s="25">
        <f>TRUNC(A152/A146)</f>
        <v>0</v>
      </c>
      <c r="B147" s="23">
        <f>TRUNC((A152-A145)/B146)</f>
        <v>0</v>
      </c>
      <c r="C147" s="23">
        <f>TRUNC((A152-A145-B145)/C146)</f>
        <v>0</v>
      </c>
      <c r="D147" s="23">
        <f>TRUNC((A152-A145-B145-C145)/D146)</f>
        <v>1</v>
      </c>
      <c r="E147" s="23">
        <f>TRUNC((A152-A145-B145-C145-D145)/E146)</f>
        <v>44</v>
      </c>
      <c r="F147" s="23">
        <f>ROUND((A152-(SUM(A145:E145)))*100,0)</f>
        <v>0</v>
      </c>
      <c r="G147" s="23"/>
      <c r="H147" s="24"/>
      <c r="I147" s="24"/>
    </row>
    <row r="148" spans="1:9" hidden="1">
      <c r="A148" s="25" t="s">
        <v>96</v>
      </c>
      <c r="B148" s="23" t="s">
        <v>96</v>
      </c>
      <c r="C148" s="23" t="s">
        <v>96</v>
      </c>
      <c r="D148" s="23" t="s">
        <v>96</v>
      </c>
      <c r="E148" s="23" t="s">
        <v>96</v>
      </c>
      <c r="F148" s="23" t="s">
        <v>96</v>
      </c>
      <c r="G148" s="23" t="s">
        <v>96</v>
      </c>
      <c r="H148" s="24"/>
      <c r="I148" s="24"/>
    </row>
    <row r="149" spans="1:9" hidden="1">
      <c r="A149" s="25" t="str">
        <f>IF(A147=0,"",VLOOKUP(A147,$J$1:$K$100,2))</f>
        <v/>
      </c>
      <c r="B149" s="25" t="str">
        <f>IF(B147=0,"",VLOOKUP(B147,$J$1:$K$100,2))</f>
        <v/>
      </c>
      <c r="C149" s="25" t="str">
        <f>IF(C147=0,"",VLOOKUP(C147,$J$1:$K$100,2))</f>
        <v/>
      </c>
      <c r="D149" s="25" t="str">
        <f>IF(D147=0,"",VLOOKUP(D147,$J$1:$M$100,4))</f>
        <v>એક</v>
      </c>
      <c r="E149" s="25" t="str">
        <f>IF(E147=0,"",VLOOKUP(E147,$J$1:$K$100,2))</f>
        <v>ચુંમાલીસ</v>
      </c>
      <c r="F149" s="25" t="str">
        <f>IF(F147=0,"",VLOOKUP(F147,$J$1:$K$100,2))</f>
        <v/>
      </c>
      <c r="G149" s="23"/>
      <c r="H149" s="24"/>
      <c r="I149" s="24"/>
    </row>
    <row r="150" spans="1:9" hidden="1">
      <c r="A150" s="25" t="str">
        <f>IF(A149&lt;&gt;""," કરોડ ","")</f>
        <v/>
      </c>
      <c r="B150" s="25" t="str">
        <f>IF(B149&lt;&gt;""," લાખ ","")</f>
        <v/>
      </c>
      <c r="C150" s="25" t="str">
        <f>IF(C149&lt;&gt;"","  હજાર ","")</f>
        <v/>
      </c>
      <c r="D150" s="25" t="str">
        <f>IF(D149&lt;&gt;"","સો","")</f>
        <v>સો</v>
      </c>
      <c r="E150" s="25" t="str">
        <f>IF(E149&lt;&gt;"","","")</f>
        <v/>
      </c>
      <c r="F150" s="25" t="str">
        <f>IF(F149&lt;&gt;""," પૈસા ","")</f>
        <v/>
      </c>
      <c r="G150" s="25" t="str">
        <f>IF(F149&lt;&gt;""," અને ","")</f>
        <v/>
      </c>
      <c r="H150" s="24"/>
      <c r="I150" s="24"/>
    </row>
    <row r="151" spans="1:9" hidden="1">
      <c r="A151" s="24"/>
      <c r="B151" s="24"/>
      <c r="C151" s="24"/>
      <c r="D151" s="24"/>
      <c r="E151" s="24"/>
      <c r="F151" s="24"/>
      <c r="G151" s="24"/>
      <c r="H151" s="24"/>
      <c r="I151" s="24"/>
    </row>
    <row r="152" spans="1:9" hidden="1">
      <c r="A152" s="30">
        <v>144</v>
      </c>
      <c r="B152" s="24"/>
      <c r="C152" s="24"/>
      <c r="D152" s="24"/>
      <c r="E152" s="24"/>
      <c r="F152" s="24"/>
      <c r="G152" s="24"/>
      <c r="H152" s="24"/>
      <c r="I152" s="24"/>
    </row>
    <row r="153" spans="1:9" hidden="1">
      <c r="A153" s="24"/>
      <c r="B153" s="24"/>
      <c r="C153" s="24"/>
      <c r="D153" s="24"/>
      <c r="E153" s="24"/>
      <c r="F153" s="24"/>
      <c r="G153" s="24"/>
      <c r="H153" s="24"/>
      <c r="I153" s="24"/>
    </row>
    <row r="154" spans="1:9" hidden="1">
      <c r="A154" s="24"/>
      <c r="B154" s="24"/>
      <c r="C154" s="24"/>
      <c r="D154" s="24"/>
      <c r="E154" s="24"/>
      <c r="F154" s="24"/>
      <c r="G154" s="24"/>
      <c r="H154" s="24"/>
      <c r="I154" s="24"/>
    </row>
    <row r="155" spans="1:9" hidden="1">
      <c r="A155" s="391" t="str">
        <f>CONCATENATE("અંકે રૂપિયા ",A149,A150,B149,B150,C149,C150,D149,D150,E149,E150,G150,F149,F150,A144,"પુરા")</f>
        <v>અંકે રૂપિયા એકસોચુંમાલીસ પુરા</v>
      </c>
      <c r="B155" s="391"/>
      <c r="C155" s="391"/>
      <c r="D155" s="391"/>
      <c r="E155" s="391"/>
      <c r="F155" s="391"/>
      <c r="G155" s="391"/>
      <c r="H155" s="24"/>
      <c r="I155" s="24"/>
    </row>
    <row r="157" spans="1:9" hidden="1">
      <c r="A157" s="23" t="s">
        <v>96</v>
      </c>
      <c r="B157" s="23"/>
      <c r="C157" s="23"/>
      <c r="D157" s="23"/>
      <c r="E157" s="23"/>
      <c r="F157" s="23"/>
      <c r="G157" s="23"/>
      <c r="H157" s="24"/>
      <c r="I157" s="24"/>
    </row>
    <row r="158" spans="1:9" hidden="1">
      <c r="A158" s="25">
        <f t="shared" ref="A158:F158" si="12">A159*A160</f>
        <v>0</v>
      </c>
      <c r="B158" s="23">
        <f t="shared" si="12"/>
        <v>0</v>
      </c>
      <c r="C158" s="23">
        <f t="shared" si="12"/>
        <v>0</v>
      </c>
      <c r="D158" s="23">
        <f t="shared" si="12"/>
        <v>100</v>
      </c>
      <c r="E158" s="23">
        <f t="shared" si="12"/>
        <v>44</v>
      </c>
      <c r="F158" s="23">
        <f t="shared" si="12"/>
        <v>0</v>
      </c>
      <c r="G158" s="23"/>
      <c r="H158" s="24"/>
      <c r="I158" s="24"/>
    </row>
    <row r="159" spans="1:9" hidden="1">
      <c r="A159" s="25">
        <v>10000000</v>
      </c>
      <c r="B159" s="23">
        <v>100000</v>
      </c>
      <c r="C159" s="23">
        <v>1000</v>
      </c>
      <c r="D159" s="23">
        <v>100</v>
      </c>
      <c r="E159" s="23">
        <v>1</v>
      </c>
      <c r="F159" s="23">
        <v>1</v>
      </c>
      <c r="G159" s="23"/>
      <c r="H159" s="24"/>
      <c r="I159" s="24"/>
    </row>
    <row r="160" spans="1:9" hidden="1">
      <c r="A160" s="25">
        <f>TRUNC(A165/A159)</f>
        <v>0</v>
      </c>
      <c r="B160" s="23">
        <f>TRUNC((A165-A158)/B159)</f>
        <v>0</v>
      </c>
      <c r="C160" s="23">
        <f>TRUNC((A165-A158-B158)/C159)</f>
        <v>0</v>
      </c>
      <c r="D160" s="23">
        <f>TRUNC((A165-A158-B158-C158)/D159)</f>
        <v>1</v>
      </c>
      <c r="E160" s="23">
        <f>TRUNC((A165-A158-B158-C158-D158)/E159)</f>
        <v>44</v>
      </c>
      <c r="F160" s="23">
        <f>ROUND((A165-(SUM(A158:E158)))*100,0)</f>
        <v>0</v>
      </c>
      <c r="G160" s="23"/>
      <c r="H160" s="24"/>
      <c r="I160" s="24"/>
    </row>
    <row r="161" spans="1:9" hidden="1">
      <c r="A161" s="25" t="s">
        <v>96</v>
      </c>
      <c r="B161" s="23" t="s">
        <v>96</v>
      </c>
      <c r="C161" s="23" t="s">
        <v>96</v>
      </c>
      <c r="D161" s="23" t="s">
        <v>96</v>
      </c>
      <c r="E161" s="23" t="s">
        <v>96</v>
      </c>
      <c r="F161" s="23" t="s">
        <v>96</v>
      </c>
      <c r="G161" s="23" t="s">
        <v>96</v>
      </c>
      <c r="H161" s="24"/>
      <c r="I161" s="24"/>
    </row>
    <row r="162" spans="1:9" hidden="1">
      <c r="A162" s="25" t="str">
        <f>IF(A160=0,"",VLOOKUP(A160,$J$1:$K$100,2))</f>
        <v/>
      </c>
      <c r="B162" s="25" t="str">
        <f>IF(B160=0,"",VLOOKUP(B160,$J$1:$K$100,2))</f>
        <v/>
      </c>
      <c r="C162" s="25" t="str">
        <f>IF(C160=0,"",VLOOKUP(C160,$J$1:$K$100,2))</f>
        <v/>
      </c>
      <c r="D162" s="25" t="str">
        <f>IF(D160=0,"",VLOOKUP(D160,$J$1:$M$100,4))</f>
        <v>એક</v>
      </c>
      <c r="E162" s="25" t="str">
        <f>IF(E160=0,"",VLOOKUP(E160,$J$1:$K$100,2))</f>
        <v>ચુંમાલીસ</v>
      </c>
      <c r="F162" s="25" t="str">
        <f>IF(F160=0,"",VLOOKUP(F160,$J$1:$K$100,2))</f>
        <v/>
      </c>
      <c r="G162" s="23"/>
      <c r="H162" s="24"/>
      <c r="I162" s="24"/>
    </row>
    <row r="163" spans="1:9" hidden="1">
      <c r="A163" s="25" t="str">
        <f>IF(A162&lt;&gt;""," કરોડ ","")</f>
        <v/>
      </c>
      <c r="B163" s="25" t="str">
        <f>IF(B162&lt;&gt;""," લાખ ","")</f>
        <v/>
      </c>
      <c r="C163" s="25" t="str">
        <f>IF(C162&lt;&gt;"","  હજાર ","")</f>
        <v/>
      </c>
      <c r="D163" s="25" t="str">
        <f>IF(D162&lt;&gt;"","સો","")</f>
        <v>સો</v>
      </c>
      <c r="E163" s="25" t="str">
        <f>IF(E162&lt;&gt;"","","")</f>
        <v/>
      </c>
      <c r="F163" s="25" t="str">
        <f>IF(F162&lt;&gt;""," પૈસા ","")</f>
        <v/>
      </c>
      <c r="G163" s="25" t="str">
        <f>IF(F162&lt;&gt;""," અને ","")</f>
        <v/>
      </c>
      <c r="H163" s="24"/>
      <c r="I163" s="24"/>
    </row>
    <row r="164" spans="1:9" hidden="1">
      <c r="A164" s="24"/>
      <c r="B164" s="24"/>
      <c r="C164" s="24"/>
      <c r="D164" s="24"/>
      <c r="E164" s="24"/>
      <c r="F164" s="24"/>
      <c r="G164" s="24"/>
      <c r="H164" s="24"/>
      <c r="I164" s="24"/>
    </row>
    <row r="165" spans="1:9" hidden="1">
      <c r="A165" s="30">
        <v>144</v>
      </c>
      <c r="B165" s="24"/>
      <c r="C165" s="24"/>
      <c r="D165" s="24"/>
      <c r="E165" s="24"/>
      <c r="F165" s="24"/>
      <c r="G165" s="24"/>
      <c r="H165" s="24"/>
      <c r="I165" s="24"/>
    </row>
    <row r="166" spans="1:9" hidden="1">
      <c r="A166" s="24"/>
      <c r="B166" s="24"/>
      <c r="C166" s="24"/>
      <c r="D166" s="24"/>
      <c r="E166" s="24"/>
      <c r="F166" s="24"/>
      <c r="G166" s="24"/>
      <c r="H166" s="24"/>
      <c r="I166" s="24"/>
    </row>
    <row r="167" spans="1:9" hidden="1">
      <c r="A167" s="24"/>
      <c r="B167" s="24"/>
      <c r="C167" s="24"/>
      <c r="D167" s="24"/>
      <c r="E167" s="24"/>
      <c r="F167" s="24"/>
      <c r="G167" s="24"/>
      <c r="H167" s="24"/>
      <c r="I167" s="24"/>
    </row>
    <row r="168" spans="1:9" hidden="1">
      <c r="A168" s="391" t="str">
        <f>CONCATENATE("અંકે રૂપિયા ",A162,A163,B162,B163,C162,C163,D162,D163,E162,E163,G163,F162,F163,A157,"પુરા")</f>
        <v>અંકે રૂપિયા એકસોચુંમાલીસ પુરા</v>
      </c>
      <c r="B168" s="391"/>
      <c r="C168" s="391"/>
      <c r="D168" s="391"/>
      <c r="E168" s="391"/>
      <c r="F168" s="391"/>
      <c r="G168" s="391"/>
      <c r="H168" s="24"/>
      <c r="I168" s="24"/>
    </row>
  </sheetData>
  <sheetProtection password="CE28" sheet="1" objects="1" scenarios="1"/>
  <customSheetViews>
    <customSheetView guid="{0E659955-9737-492F-945A-95AC3E0C4088}" hiddenRows="1" hiddenColumns="1" state="hidden" topLeftCell="XFD1048576">
      <selection activeCell="A4" sqref="A1:XFD1048576"/>
      <pageMargins left="0.7" right="0.7" top="0.75" bottom="0.75" header="0.3" footer="0.3"/>
      <pageSetup paperSize="9" orientation="portrait" r:id="rId1"/>
      <headerFooter alignWithMargins="0"/>
    </customSheetView>
    <customSheetView guid="{6B449CA7-43A5-4BFF-BFE3-4A3E3D45323D}" hiddenRows="1" hiddenColumns="1" state="hidden" topLeftCell="XFD1048576">
      <selection activeCell="A4" sqref="A1:XFD1048576"/>
      <pageMargins left="0.7" right="0.7" top="0.75" bottom="0.75" header="0.3" footer="0.3"/>
      <pageSetup paperSize="9" orientation="portrait" r:id="rId2"/>
      <headerFooter alignWithMargins="0"/>
    </customSheetView>
  </customSheetViews>
  <mergeCells count="13">
    <mergeCell ref="A155:G155"/>
    <mergeCell ref="A168:G168"/>
    <mergeCell ref="A77:G77"/>
    <mergeCell ref="A90:G90"/>
    <mergeCell ref="A103:G103"/>
    <mergeCell ref="A116:G116"/>
    <mergeCell ref="A129:G129"/>
    <mergeCell ref="A142:G142"/>
    <mergeCell ref="A12:G12"/>
    <mergeCell ref="A25:G25"/>
    <mergeCell ref="A38:G38"/>
    <mergeCell ref="A51:G51"/>
    <mergeCell ref="A64:G64"/>
  </mergeCells>
  <pageMargins left="0.7" right="0.7" top="0.75" bottom="0.75" header="0.3" footer="0.3"/>
  <pageSetup paperSize="9" orientation="portrait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BC87-3F02-443F-B808-9A29EFF6EE5C}">
  <dimension ref="A1:B26"/>
  <sheetViews>
    <sheetView topLeftCell="A10" workbookViewId="0">
      <selection activeCell="B13" sqref="B13"/>
    </sheetView>
  </sheetViews>
  <sheetFormatPr defaultRowHeight="14.5"/>
  <cols>
    <col min="1" max="1" width="94.453125" style="231" bestFit="1" customWidth="1"/>
    <col min="2" max="2" width="92.08984375" style="231" bestFit="1" customWidth="1"/>
    <col min="3" max="16384" width="8.7265625" style="231"/>
  </cols>
  <sheetData>
    <row r="1" spans="1:2" ht="52">
      <c r="A1" s="246" t="s">
        <v>339</v>
      </c>
    </row>
    <row r="4" spans="1:2" ht="20.5">
      <c r="A4" s="247" t="s">
        <v>326</v>
      </c>
      <c r="B4" s="245"/>
    </row>
    <row r="5" spans="1:2" ht="18">
      <c r="A5" s="248" t="s">
        <v>329</v>
      </c>
    </row>
    <row r="6" spans="1:2" ht="18">
      <c r="A6" s="248" t="s">
        <v>330</v>
      </c>
    </row>
    <row r="7" spans="1:2" ht="18">
      <c r="A7" s="248" t="s">
        <v>341</v>
      </c>
    </row>
    <row r="8" spans="1:2" ht="18">
      <c r="A8" s="248" t="s">
        <v>331</v>
      </c>
    </row>
    <row r="9" spans="1:2" ht="18">
      <c r="A9" s="248" t="s">
        <v>332</v>
      </c>
    </row>
    <row r="10" spans="1:2" ht="18">
      <c r="A10" s="248" t="s">
        <v>333</v>
      </c>
    </row>
    <row r="11" spans="1:2" ht="18">
      <c r="A11" s="248" t="s">
        <v>334</v>
      </c>
    </row>
    <row r="12" spans="1:2">
      <c r="B12" s="244"/>
    </row>
    <row r="14" spans="1:2" ht="20.5">
      <c r="A14" s="247" t="s">
        <v>327</v>
      </c>
    </row>
    <row r="15" spans="1:2" ht="18">
      <c r="A15" s="248" t="s">
        <v>335</v>
      </c>
    </row>
    <row r="16" spans="1:2" ht="18">
      <c r="A16" s="248" t="s">
        <v>336</v>
      </c>
    </row>
    <row r="17" spans="1:1" ht="18">
      <c r="A17" s="248" t="s">
        <v>337</v>
      </c>
    </row>
    <row r="18" spans="1:1" ht="18">
      <c r="A18" s="248" t="s">
        <v>338</v>
      </c>
    </row>
    <row r="19" spans="1:1" ht="20.5">
      <c r="A19" s="249" t="s">
        <v>328</v>
      </c>
    </row>
    <row r="23" spans="1:1" ht="20.5">
      <c r="A23" s="247" t="s">
        <v>342</v>
      </c>
    </row>
    <row r="24" spans="1:1" ht="20.5">
      <c r="A24" s="247" t="s">
        <v>340</v>
      </c>
    </row>
    <row r="25" spans="1:1" ht="20.5">
      <c r="A25" s="247" t="s">
        <v>343</v>
      </c>
    </row>
    <row r="26" spans="1:1" ht="20.5">
      <c r="A26" s="247">
        <v>9904297366</v>
      </c>
    </row>
  </sheetData>
  <customSheetViews>
    <customSheetView guid="{0E659955-9737-492F-945A-95AC3E0C4088}" showPageBreaks="1" topLeftCell="A10">
      <selection activeCell="B13" sqref="B13"/>
      <pageMargins left="0.75" right="0.75" top="1" bottom="1" header="0.5" footer="0.5"/>
      <pageSetup paperSize="9" scale="90" orientation="portrait" verticalDpi="0" r:id="rId1"/>
    </customSheetView>
  </customSheetViews>
  <pageMargins left="0.75" right="0.75" top="1" bottom="1" header="0.5" footer="0.5"/>
  <pageSetup paperSize="9" scale="90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16</vt:i4>
      </vt:variant>
    </vt:vector>
  </HeadingPairs>
  <TitlesOfParts>
    <vt:vector size="21" baseType="lpstr">
      <vt:lpstr>જૂન સ્લેબ મુજબ (OLD SLAB)</vt:lpstr>
      <vt:lpstr>કપાટ પત્રક પેહલા ભરવુ </vt:lpstr>
      <vt:lpstr>નવા સ્લેબ મુજબ (NEW SLAB)</vt:lpstr>
      <vt:lpstr>Sheet1</vt:lpstr>
      <vt:lpstr>સૂચના વાંચી ફોરમ ભરવું </vt:lpstr>
      <vt:lpstr>'કપાટ પત્રક પેહલા ભરવુ '!Print_Area</vt:lpstr>
      <vt:lpstr>'જૂન સ્લેબ મુજબ (OLD SLAB)'!Print_Area</vt:lpstr>
      <vt:lpstr>'નવા સ્લેબ મુજબ (NEW SLAB)'!Print_Area</vt:lpstr>
      <vt:lpstr>'જૂન સ્લેબ મુજબ (OLD SLAB)'!Z_4D48DB91_7DAB_41A4_B943_A0175ADDFF54_.wvu.Cols</vt:lpstr>
      <vt:lpstr>'નવા સ્લેબ મુજબ (NEW SLAB)'!Z_4D48DB91_7DAB_41A4_B943_A0175ADDFF54_.wvu.Cols</vt:lpstr>
      <vt:lpstr>'કપાટ પત્રક પેહલા ભરવુ '!Z_4D48DB91_7DAB_41A4_B943_A0175ADDFF54_.wvu.PrintArea</vt:lpstr>
      <vt:lpstr>'જૂન સ્લેબ મુજબ (OLD SLAB)'!Z_4D48DB91_7DAB_41A4_B943_A0175ADDFF54_.wvu.PrintArea</vt:lpstr>
      <vt:lpstr>'નવા સ્લેબ મુજબ (NEW SLAB)'!Z_4D48DB91_7DAB_41A4_B943_A0175ADDFF54_.wvu.PrintArea</vt:lpstr>
      <vt:lpstr>'કપાટ પત્રક પેહલા ભરવુ '!Z_4D48DB91_7DAB_41A4_B943_A0175ADDFF54_.wvu.Rows</vt:lpstr>
      <vt:lpstr>'કપાટ પત્રક પેહલા ભરવુ '!Z_5EABC722_00BF_4383_B8A6_CD92B28655DC_.wvu.PrintArea</vt:lpstr>
      <vt:lpstr>'જૂન સ્લેબ મુજબ (OLD SLAB)'!Z_9BFE08BE_8D51_4068_A1B5_89EAA963583E_.wvu.Cols</vt:lpstr>
      <vt:lpstr>'નવા સ્લેબ મુજબ (NEW SLAB)'!Z_9BFE08BE_8D51_4068_A1B5_89EAA963583E_.wvu.Cols</vt:lpstr>
      <vt:lpstr>'કપાટ પત્રક પેહલા ભરવુ '!Z_9BFE08BE_8D51_4068_A1B5_89EAA963583E_.wvu.PrintArea</vt:lpstr>
      <vt:lpstr>'જૂન સ્લેબ મુજબ (OLD SLAB)'!Z_9BFE08BE_8D51_4068_A1B5_89EAA963583E_.wvu.PrintArea</vt:lpstr>
      <vt:lpstr>'નવા સ્લેબ મુજબ (NEW SLAB)'!Z_9BFE08BE_8D51_4068_A1B5_89EAA963583E_.wvu.PrintArea</vt:lpstr>
      <vt:lpstr>'કપાટ પત્રક પેહલા ભરવુ '!Z_9BFE08BE_8D51_4068_A1B5_89EAA963583E_.wvu.Rows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Redmi Note 5 Pro</dc:creator>
  <cp:keywords/>
  <dc:description/>
  <cp:lastModifiedBy>RAEES PATEL</cp:lastModifiedBy>
  <cp:lastPrinted>2023-12-22T09:45:04Z</cp:lastPrinted>
  <dcterms:created xsi:type="dcterms:W3CDTF">2018-12-07T11:08:59Z</dcterms:created>
  <dcterms:modified xsi:type="dcterms:W3CDTF">2023-12-22T09:50:39Z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43e53c01779e41b88956adc82a797172</vt:lpwstr>
  </property>
</Properties>
</file>