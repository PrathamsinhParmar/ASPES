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userNames.xml" ContentType="application/vnd.openxmlformats-officedocument.spreadsheetml.userNam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 revisionsPassword="CE28" lockStructure="1" lockRevision="1"/>
  <bookViews>
    <workbookView windowWidth="19200" windowHeight="6830" tabRatio="603" activeTab="1"/>
  </bookViews>
  <sheets>
    <sheet name="જૂન સ્લેબ મુજબ (OLD SLAB)" sheetId="1" r:id="rId1"/>
    <sheet name="કપાટ પત્રક પેહલા ભરવુ " sheetId="2" r:id="rId2"/>
    <sheet name="નવા સ્લેબ મુજબ (NEW SLAB)" sheetId="3" r:id="rId3"/>
    <sheet name="Sheet1" sheetId="4" state="hidden" r:id="rId4"/>
    <sheet name="સૂચના વાંચી ફોરમ ભરવું " sheetId="5" r:id="rId5"/>
  </sheets>
  <externalReferences>
    <externalReference r:id="rId6"/>
  </externalReferences>
  <definedNames>
    <definedName name="jmp">'[1]PAGAR SLIP'!$AT$18:$CH$36</definedName>
    <definedName name="km">#REF!</definedName>
    <definedName name="nil">'[1]pre calculation OLD'!$L$1</definedName>
    <definedName name="_xlnm.Print_Area" localSheetId="1">'કપાટ પત્રક પેહલા ભરવુ '!$B$2:$O$30</definedName>
    <definedName name="_xlnm.Print_Area" localSheetId="0">'જૂન સ્લેબ મુજબ (OLD SLAB)'!$B$2:$AF$60</definedName>
    <definedName name="_xlnm.Print_Area" localSheetId="2">'નવા સ્લેબ મુજબ (NEW SLAB)'!$B$2:$AF$62</definedName>
    <definedName name="RR">'[1]All Teacher Data'!$B$2:$DE$271</definedName>
    <definedName name="tod">'[1]PAGAR SLIP'!$AF$7:$AF$18</definedName>
    <definedName name="un_lock">#REF!</definedName>
    <definedName name="Z_0158075B_DBA3_44E7_A4CB_0C6725288A6D_.wvu.Cols" localSheetId="1" hidden="1">'કપાટ પત્રક પેહલા ભરવુ '!#REF!</definedName>
    <definedName name="Z_0158075B_DBA3_44E7_A4CB_0C6725288A6D_.wvu.Cols" localSheetId="0" hidden="1">'જૂન સ્લેબ મુજબ (OLD SLAB)'!#REF!</definedName>
    <definedName name="Z_0158075B_DBA3_44E7_A4CB_0C6725288A6D_.wvu.Cols" localSheetId="2" hidden="1">'નવા સ્લેબ મુજબ (NEW SLAB)'!#REF!</definedName>
    <definedName name="Z_0158075B_DBA3_44E7_A4CB_0C6725288A6D_.wvu.PrintArea" localSheetId="1" hidden="1">'કપાટ પત્રક પેહલા ભરવુ '!$B$2:$O$30</definedName>
    <definedName name="Z_0158075B_DBA3_44E7_A4CB_0C6725288A6D_.wvu.PrintArea" localSheetId="0" hidden="1">'જૂન સ્લેબ મુજબ (OLD SLAB)'!$B$2:$AF$60</definedName>
    <definedName name="Z_0158075B_DBA3_44E7_A4CB_0C6725288A6D_.wvu.PrintArea" localSheetId="2" hidden="1">'નવા સ્લેબ મુજબ (NEW SLAB)'!$B$2:$AF$62</definedName>
    <definedName name="Z_0158075B_DBA3_44E7_A4CB_0C6725288A6D_.wvu.Rows" localSheetId="1" hidden="1">'કપાટ પત્રક પેહલા ભરવુ '!$988:$65521,'કપાટ પત્રક પેહલા ભરવુ '!$31:$987</definedName>
    <definedName name="Z_0158075B_DBA3_44E7_A4CB_0C6725288A6D_.wvu.Rows" localSheetId="0" hidden="1">'જૂન સ્લેબ મુજબ (OLD SLAB)'!$348:$65535,'જૂન સ્લેબ મુજબ (OLD SLAB)'!$61:$347</definedName>
    <definedName name="Z_0158075B_DBA3_44E7_A4CB_0C6725288A6D_.wvu.Rows" localSheetId="2" hidden="1">'નવા સ્લેબ મુજબ (NEW SLAB)'!$350:$65537,'નવા સ્લેબ મુજબ (NEW SLAB)'!$63:$349</definedName>
    <definedName name="Z_0E659955_9737_492F_945A_95AC3E0C4088_.wvu.Cols" localSheetId="3" hidden="1">Sheet1!$1:$1048576</definedName>
    <definedName name="Z_0E659955_9737_492F_945A_95AC3E0C4088_.wvu.Cols" localSheetId="1" hidden="1">'કપાટ પત્રક પેહલા ભરવુ '!$Q:$XFD</definedName>
    <definedName name="Z_0E659955_9737_492F_945A_95AC3E0C4088_.wvu.Cols" localSheetId="0" hidden="1">'જૂન સ્લેબ મુજબ (OLD SLAB)'!$AH:$XFD</definedName>
    <definedName name="Z_0E659955_9737_492F_945A_95AC3E0C4088_.wvu.Cols" localSheetId="2" hidden="1">'નવા સ્લેબ મુજબ (NEW SLAB)'!$AH:$XFD</definedName>
    <definedName name="Z_0E659955_9737_492F_945A_95AC3E0C4088_.wvu.PrintArea" localSheetId="1" hidden="1">'કપાટ પત્રક પેહલા ભરવુ '!$B$2:$O$30</definedName>
    <definedName name="Z_0E659955_9737_492F_945A_95AC3E0C4088_.wvu.PrintArea" localSheetId="0" hidden="1">'જૂન સ્લેબ મુજબ (OLD SLAB)'!$B$2:$AF$60</definedName>
    <definedName name="Z_0E659955_9737_492F_945A_95AC3E0C4088_.wvu.PrintArea" localSheetId="2" hidden="1">'નવા સ્લેબ મુજબ (NEW SLAB)'!$B$2:$AF$62</definedName>
    <definedName name="Z_0E659955_9737_492F_945A_95AC3E0C4088_.wvu.Rows" localSheetId="3" hidden="1">Sheet1!$169:$1048576,Sheet1!$1:$168</definedName>
    <definedName name="Z_0E659955_9737_492F_945A_95AC3E0C4088_.wvu.Rows" localSheetId="1" hidden="1">'કપાટ પત્રક પેહલા ભરવુ '!$988:$1048576,'કપાટ પત્રક પેહલા ભરવુ '!$31:$987</definedName>
    <definedName name="Z_0E659955_9737_492F_945A_95AC3E0C4088_.wvu.Rows" localSheetId="0" hidden="1">'જૂન સ્લેબ મુજબ (OLD SLAB)'!$348:$1048576,'જૂન સ્લેબ મુજબ (OLD SLAB)'!$61:$102,'જૂન સ્લેબ મુજબ (OLD SLAB)'!$104:$347</definedName>
    <definedName name="Z_0E659955_9737_492F_945A_95AC3E0C4088_.wvu.Rows" localSheetId="2" hidden="1">'નવા સ્લેબ મુજબ (NEW SLAB)'!$342:$1048576,'નવા સ્લેબ મુજબ (NEW SLAB)'!$63:$341</definedName>
    <definedName name="Z_42B09599_1405_481C_B062_57D781651D8D_.wvu.Cols" localSheetId="1" hidden="1">'કપાટ પત્રક પેહલા ભરવુ '!$Q:$IV</definedName>
    <definedName name="Z_42B09599_1405_481C_B062_57D781651D8D_.wvu.Cols" localSheetId="0" hidden="1">'જૂન સ્લેબ મુજબ (OLD SLAB)'!$AH:$IV</definedName>
    <definedName name="Z_42B09599_1405_481C_B062_57D781651D8D_.wvu.Cols" localSheetId="2" hidden="1">'નવા સ્લેબ મુજબ (NEW SLAB)'!$AH:$IV</definedName>
    <definedName name="Z_42B09599_1405_481C_B062_57D781651D8D_.wvu.PrintArea" localSheetId="1" hidden="1">'કપાટ પત્રક પેહલા ભરવુ '!$B$2:$O$30</definedName>
    <definedName name="Z_42B09599_1405_481C_B062_57D781651D8D_.wvu.PrintArea" localSheetId="0" hidden="1">'જૂન સ્લેબ મુજબ (OLD SLAB)'!$B$2:$AF$60</definedName>
    <definedName name="Z_42B09599_1405_481C_B062_57D781651D8D_.wvu.PrintArea" localSheetId="2" hidden="1">'નવા સ્લેબ મુજબ (NEW SLAB)'!$B$2:$AF$62</definedName>
    <definedName name="Z_42B09599_1405_481C_B062_57D781651D8D_.wvu.Rows" localSheetId="1" hidden="1">'કપાટ પત્રક પેહલા ભરવુ '!$993:$65521,'કપાટ પત્રક પેહલા ભરવુ '!$31:$992</definedName>
    <definedName name="Z_42B09599_1405_481C_B062_57D781651D8D_.wvu.Rows" localSheetId="0" hidden="1">'જૂન સ્લેબ મુજબ (OLD SLAB)'!$348:$65535,'જૂન સ્લેબ મુજબ (OLD SLAB)'!$61:$347</definedName>
    <definedName name="Z_42B09599_1405_481C_B062_57D781651D8D_.wvu.Rows" localSheetId="2" hidden="1">'નવા સ્લેબ મુજબ (NEW SLAB)'!$350:$65537,'નવા સ્લેબ મુજબ (NEW SLAB)'!$63:$349</definedName>
    <definedName name="Z_4D48DB91_7DAB_41A4_B943_A0175ADDFF54_.wvu.Cols" localSheetId="1">'કપાટ પત્રક પેહલા ભરવુ '!#REF!</definedName>
    <definedName name="Z_4D48DB91_7DAB_41A4_B943_A0175ADDFF54_.wvu.Cols" localSheetId="0">'જૂન સ્લેબ મુજબ (OLD SLAB)'!$AH:$AV</definedName>
    <definedName name="Z_4D48DB91_7DAB_41A4_B943_A0175ADDFF54_.wvu.Cols" localSheetId="2">'નવા સ્લેબ મુજબ (NEW SLAB)'!$AH:$AV</definedName>
    <definedName name="Z_4D48DB91_7DAB_41A4_B943_A0175ADDFF54_.wvu.PrintArea" localSheetId="1">'કપાટ પત્રક પેહલા ભરવુ '!$C$2:$N$30</definedName>
    <definedName name="Z_4D48DB91_7DAB_41A4_B943_A0175ADDFF54_.wvu.PrintArea" localSheetId="0">'જૂન સ્લેબ મુજબ (OLD SLAB)'!$D$2:$AE$60</definedName>
    <definedName name="Z_4D48DB91_7DAB_41A4_B943_A0175ADDFF54_.wvu.PrintArea" localSheetId="2">'નવા સ્લેબ મુજબ (NEW SLAB)'!$D$2:$AE$62</definedName>
    <definedName name="Z_4D48DB91_7DAB_41A4_B943_A0175ADDFF54_.wvu.Rows" localSheetId="1">'કપાટ પત્રક પેહલા ભરવુ '!$31:$65521</definedName>
    <definedName name="Z_5EABC722_00BF_4383_B8A6_CD92B28655DC_.wvu.PrintArea" localSheetId="1">'કપાટ પત્રક પેહલા ભરવુ '!$C$2:$N$30</definedName>
    <definedName name="Z_6B449CA7_43A5_4BFF_BFE3_4A3E3D45323D_.wvu.Cols" localSheetId="3" hidden="1">Sheet1!$1:$1048576</definedName>
    <definedName name="Z_6B449CA7_43A5_4BFF_BFE3_4A3E3D45323D_.wvu.Cols" localSheetId="1" hidden="1">'કપાટ પત્રક પેહલા ભરવુ '!$Q:$XFD</definedName>
    <definedName name="Z_6B449CA7_43A5_4BFF_BFE3_4A3E3D45323D_.wvu.Cols" localSheetId="0" hidden="1">'જૂન સ્લેબ મુજબ (OLD SLAB)'!$AH:$XFD</definedName>
    <definedName name="Z_6B449CA7_43A5_4BFF_BFE3_4A3E3D45323D_.wvu.Cols" localSheetId="2" hidden="1">'નવા સ્લેબ મુજબ (NEW SLAB)'!$AH:$XFD</definedName>
    <definedName name="Z_6B449CA7_43A5_4BFF_BFE3_4A3E3D45323D_.wvu.PrintArea" localSheetId="1" hidden="1">'કપાટ પત્રક પેહલા ભરવુ '!$B$2:$O$30</definedName>
    <definedName name="Z_6B449CA7_43A5_4BFF_BFE3_4A3E3D45323D_.wvu.PrintArea" localSheetId="0" hidden="1">'જૂન સ્લેબ મુજબ (OLD SLAB)'!$B$2:$AF$60</definedName>
    <definedName name="Z_6B449CA7_43A5_4BFF_BFE3_4A3E3D45323D_.wvu.PrintArea" localSheetId="2" hidden="1">'નવા સ્લેબ મુજબ (NEW SLAB)'!$B$2:$AF$62</definedName>
    <definedName name="Z_6B449CA7_43A5_4BFF_BFE3_4A3E3D45323D_.wvu.Rows" localSheetId="3" hidden="1">Sheet1!$65537:$1048576,Sheet1!$1:$65536</definedName>
    <definedName name="Z_6B449CA7_43A5_4BFF_BFE3_4A3E3D45323D_.wvu.Rows" localSheetId="1" hidden="1">'કપાટ પત્રક પેહલા ભરવુ '!$988:$1048561,'કપાટ પત્રક પેહલા ભરવુ '!$31:$987</definedName>
    <definedName name="Z_6B449CA7_43A5_4BFF_BFE3_4A3E3D45323D_.wvu.Rows" localSheetId="0" hidden="1">'જૂન સ્લેબ મુજબ (OLD SLAB)'!$348:$1048575,'જૂન સ્લેબ મુજબ (OLD SLAB)'!$61:$347</definedName>
    <definedName name="Z_6B449CA7_43A5_4BFF_BFE3_4A3E3D45323D_.wvu.Rows" localSheetId="2" hidden="1">'નવા સ્લેબ મુજબ (NEW SLAB)'!$350:$1048575,'નવા સ્લેબ મુજબ (NEW SLAB)'!$63:$349</definedName>
    <definedName name="Z_9BFE08BE_8D51_4068_A1B5_89EAA963583E_.wvu.Cols" localSheetId="1">'કપાટ પત્રક પેહલા ભરવુ '!#REF!</definedName>
    <definedName name="Z_9BFE08BE_8D51_4068_A1B5_89EAA963583E_.wvu.Cols" localSheetId="0">'જૂન સ્લેબ મુજબ (OLD SLAB)'!$AH:$AV</definedName>
    <definedName name="Z_9BFE08BE_8D51_4068_A1B5_89EAA963583E_.wvu.Cols" localSheetId="2">'નવા સ્લેબ મુજબ (NEW SLAB)'!$AH:$AV</definedName>
    <definedName name="Z_9BFE08BE_8D51_4068_A1B5_89EAA963583E_.wvu.PrintArea" localSheetId="1">'કપાટ પત્રક પેહલા ભરવુ '!$C$2:$N$30</definedName>
    <definedName name="Z_9BFE08BE_8D51_4068_A1B5_89EAA963583E_.wvu.PrintArea" localSheetId="0">'જૂન સ્લેબ મુજબ (OLD SLAB)'!$D$2:$AE$60</definedName>
    <definedName name="Z_9BFE08BE_8D51_4068_A1B5_89EAA963583E_.wvu.PrintArea" localSheetId="2">'નવા સ્લેબ મુજબ (NEW SLAB)'!$D$2:$AE$62</definedName>
    <definedName name="Z_9BFE08BE_8D51_4068_A1B5_89EAA963583E_.wvu.Rows" localSheetId="1">'કપાટ પત્રક પેહલા ભરવુ '!$31:$65521</definedName>
    <definedName name="Z_A48CBC34_AC71_47BF_B3CE_1D639913420B_.wvu.Cols" localSheetId="1" hidden="1">'કપાટ પત્રક પેહલા ભરવુ '!#REF!</definedName>
    <definedName name="Z_A48CBC34_AC71_47BF_B3CE_1D639913420B_.wvu.Cols" localSheetId="0" hidden="1">'જૂન સ્લેબ મુજબ (OLD SLAB)'!#REF!</definedName>
    <definedName name="Z_A48CBC34_AC71_47BF_B3CE_1D639913420B_.wvu.Cols" localSheetId="2" hidden="1">'નવા સ્લેબ મુજબ (NEW SLAB)'!#REF!</definedName>
    <definedName name="Z_A48CBC34_AC71_47BF_B3CE_1D639913420B_.wvu.PrintArea" localSheetId="1" hidden="1">'કપાટ પત્રક પેહલા ભરવુ '!$B$2:$O$30</definedName>
    <definedName name="Z_A48CBC34_AC71_47BF_B3CE_1D639913420B_.wvu.PrintArea" localSheetId="0" hidden="1">'જૂન સ્લેબ મુજબ (OLD SLAB)'!$B$2:$AF$60</definedName>
    <definedName name="Z_A48CBC34_AC71_47BF_B3CE_1D639913420B_.wvu.PrintArea" localSheetId="2" hidden="1">'નવા સ્લેબ મુજબ (NEW SLAB)'!$B$2:$AF$62</definedName>
    <definedName name="Z_A48CBC34_AC71_47BF_B3CE_1D639913420B_.wvu.Rows" localSheetId="1" hidden="1">'કપાટ પત્રક પેહલા ભરવુ '!$988:$65521,'કપાટ પત્રક પેહલા ભરવુ '!$31:$987</definedName>
    <definedName name="Z_A48CBC34_AC71_47BF_B3CE_1D639913420B_.wvu.Rows" localSheetId="0" hidden="1">'જૂન સ્લેબ મુજબ (OLD SLAB)'!$348:$65535,'જૂન સ્લેબ મુજબ (OLD SLAB)'!$61:$347</definedName>
    <definedName name="Z_A48CBC34_AC71_47BF_B3CE_1D639913420B_.wvu.Rows" localSheetId="2" hidden="1">'નવા સ્લેબ મુજબ (NEW SLAB)'!$350:$65537,'નવા સ્લેબ મુજબ (NEW SLAB)'!$63:$349</definedName>
    <definedName name="Z_C5CE1123_89F0_46AC_9AFE_8C60DE39CD0D_.wvu.Cols" localSheetId="1" hidden="1">'કપાટ પત્રક પેહલા ભરવુ '!$Q:$IV</definedName>
    <definedName name="Z_C5CE1123_89F0_46AC_9AFE_8C60DE39CD0D_.wvu.Cols" localSheetId="0" hidden="1">'જૂન સ્લેબ મુજબ (OLD SLAB)'!$AH:$IV</definedName>
    <definedName name="Z_C5CE1123_89F0_46AC_9AFE_8C60DE39CD0D_.wvu.Cols" localSheetId="2" hidden="1">'નવા સ્લેબ મુજબ (NEW SLAB)'!$AH:$IV</definedName>
    <definedName name="Z_C5CE1123_89F0_46AC_9AFE_8C60DE39CD0D_.wvu.PrintArea" localSheetId="1" hidden="1">'કપાટ પત્રક પેહલા ભરવુ '!$B$2:$O$30</definedName>
    <definedName name="Z_C5CE1123_89F0_46AC_9AFE_8C60DE39CD0D_.wvu.PrintArea" localSheetId="0" hidden="1">'જૂન સ્લેબ મુજબ (OLD SLAB)'!$B$2:$AF$60</definedName>
    <definedName name="Z_C5CE1123_89F0_46AC_9AFE_8C60DE39CD0D_.wvu.PrintArea" localSheetId="2" hidden="1">'નવા સ્લેબ મુજબ (NEW SLAB)'!$B$2:$AF$62</definedName>
    <definedName name="Z_C5CE1123_89F0_46AC_9AFE_8C60DE39CD0D_.wvu.Rows" localSheetId="1" hidden="1">'કપાટ પત્રક પેહલા ભરવુ '!$989:$65521,'કપાટ પત્રક પેહલા ભરવુ '!$31:$988</definedName>
    <definedName name="Z_C5CE1123_89F0_46AC_9AFE_8C60DE39CD0D_.wvu.Rows" localSheetId="0" hidden="1">'જૂન સ્લેબ મુજબ (OLD SLAB)'!$348:$65535,'જૂન સ્લેબ મુજબ (OLD SLAB)'!$61:$347</definedName>
    <definedName name="Z_C5CE1123_89F0_46AC_9AFE_8C60DE39CD0D_.wvu.Rows" localSheetId="2" hidden="1">'નવા સ્લેબ મુજબ (NEW SLAB)'!$350:$65537,'નવા સ્લેબ મુજબ (NEW SLAB)'!$63:$349</definedName>
    <definedName name="Z_F2483404_FCA0_49C4_AD03_D891E3061572_.wvu.Cols" localSheetId="3" hidden="1">Sheet1!$1:$1048576</definedName>
    <definedName name="Z_F2483404_FCA0_49C4_AD03_D891E3061572_.wvu.Cols" localSheetId="1" hidden="1">'કપાટ પત્રક પેહલા ભરવુ '!$Q:$AC</definedName>
    <definedName name="Z_F2483404_FCA0_49C4_AD03_D891E3061572_.wvu.Cols" localSheetId="0" hidden="1">'જૂન સ્લેબ મુજબ (OLD SLAB)'!$AH:$CG</definedName>
    <definedName name="Z_F2483404_FCA0_49C4_AD03_D891E3061572_.wvu.Cols" localSheetId="2" hidden="1">'નવા સ્લેબ મુજબ (NEW SLAB)'!$AH:$CG</definedName>
    <definedName name="Z_F2483404_FCA0_49C4_AD03_D891E3061572_.wvu.PrintArea" localSheetId="1" hidden="1">'કપાટ પત્રક પેહલા ભરવુ '!$B$2:$O$30</definedName>
    <definedName name="Z_F2483404_FCA0_49C4_AD03_D891E3061572_.wvu.PrintArea" localSheetId="0" hidden="1">'જૂન સ્લેબ મુજબ (OLD SLAB)'!$B$2:$AF$60</definedName>
    <definedName name="Z_F2483404_FCA0_49C4_AD03_D891E3061572_.wvu.PrintArea" localSheetId="2" hidden="1">'નવા સ્લેબ મુજબ (NEW SLAB)'!$B$2:$AF$62</definedName>
    <definedName name="Z_F2483404_FCA0_49C4_AD03_D891E3061572_.wvu.Rows" localSheetId="3" hidden="1">Sheet1!$169:$65536,Sheet1!$1:$168</definedName>
    <definedName name="Z_F2483404_FCA0_49C4_AD03_D891E3061572_.wvu.Rows" localSheetId="1" hidden="1">'કપાટ પત્રક પેહલા ભરવુ '!$993:$65521,'કપાટ પત્રક પેહલા ભરવુ '!$31:$992</definedName>
    <definedName name="Z_F2483404_FCA0_49C4_AD03_D891E3061572_.wvu.Rows" localSheetId="0" hidden="1">'જૂન સ્લેબ મુજબ (OLD SLAB)'!$348:$65535,'જૂન સ્લેબ મુજબ (OLD SLAB)'!$61:$347</definedName>
    <definedName name="Z_F2483404_FCA0_49C4_AD03_D891E3061572_.wvu.Rows" localSheetId="2" hidden="1">'નવા સ્લેબ મુજબ (NEW SLAB)'!$350:$65537,'નવા સ્લેબ મુજબ (NEW SLAB)'!$63:$349</definedName>
  </definedNames>
  <calcPr calcId="144525"/>
  <customWorkbookViews>
    <customWorkbookView name="RAEES - Personal View" guid="{0E659955-9737-492F-945A-95AC3E0C4088}" personalView="1" maximized="1" xWindow="-11" yWindow="-11" windowWidth="1942" windowHeight="1042" activeSheetId="1"/>
    <customWorkbookView name="admin - Personal View" guid="{6B449CA7-43A5-4BFF-BFE3-4A3E3D45323D}" personalView="1" maximized="1" xWindow="1" yWindow="1" windowWidth="1366" windowHeight="541" activeSheetId="1" showFormulaBar="0"/>
  </customWorkbookViews>
</workbook>
</file>

<file path=xl/comments1.xml><?xml version="1.0" encoding="utf-8"?>
<comments xmlns="http://schemas.openxmlformats.org/spreadsheetml/2006/main">
  <authors>
    <author>RAEES PATEL</author>
  </authors>
  <commentList>
    <comment ref="F4" authorId="0">
      <text>
        <r>
          <rPr>
            <sz val="9"/>
            <color rgb="FF000000"/>
            <rFont val="Tahoma"/>
            <charset val="134"/>
          </rPr>
          <t xml:space="preserve">દરેક વિગતો અહિયા લખશો એટલે બધી જગ્યાએ આવી જશે. </t>
        </r>
      </text>
    </comment>
  </commentList>
</comments>
</file>

<file path=xl/comments2.xml><?xml version="1.0" encoding="utf-8"?>
<comments xmlns="http://schemas.openxmlformats.org/spreadsheetml/2006/main">
  <authors>
    <author>RAEES PATEL</author>
  </authors>
  <commentList>
    <comment ref="C31" authorId="0">
      <text>
        <r>
          <rPr>
            <b/>
            <sz val="9"/>
            <color rgb="FF000000"/>
            <rFont val="Tahoma"/>
            <charset val="134"/>
          </rPr>
          <t>આ સુચનાઓ જુના સ્લેબ માટેજ લાગુ પડશે.</t>
        </r>
      </text>
    </comment>
  </commentList>
</comments>
</file>

<file path=xl/comments3.xml><?xml version="1.0" encoding="utf-8"?>
<comments xmlns="http://schemas.openxmlformats.org/spreadsheetml/2006/main">
  <authors>
    <author>RAEES PATEL</author>
  </authors>
  <commentList>
    <comment ref="A1" authorId="0">
      <text>
        <r>
          <rPr>
            <b/>
            <sz val="9"/>
            <color rgb="FF000000"/>
            <rFont val="Tahoma"/>
            <charset val="134"/>
          </rPr>
          <t>સી.પી.એફ ખાતામાં જમા થયેલી રકમ બાદ મલવા પાત્ર છે 100%</t>
        </r>
      </text>
    </comment>
    <comment ref="E35" authorId="0">
      <text>
        <r>
          <rPr>
            <b/>
            <sz val="9"/>
            <color rgb="FF000000"/>
            <rFont val="Tahoma"/>
            <charset val="134"/>
          </rPr>
          <t>અલગથી રોકાણ કરવુ પડે.</t>
        </r>
      </text>
    </comment>
  </commentList>
</comments>
</file>

<file path=xl/sharedStrings.xml><?xml version="1.0" encoding="utf-8"?>
<sst xmlns="http://schemas.openxmlformats.org/spreadsheetml/2006/main" count="691" uniqueCount="356">
  <si>
    <t xml:space="preserve">NPS માં રોકાણ બતાવવાનું છે ? &gt;&gt;&gt; </t>
  </si>
  <si>
    <t>ના</t>
  </si>
  <si>
    <t>સી.પી.એફ. કે જી.પી.એફ. છો ? સીલેક્ટ કરો --&gt;&gt;&gt;</t>
  </si>
  <si>
    <t>G.P.F.</t>
  </si>
  <si>
    <r>
      <rPr>
        <b/>
        <sz val="14"/>
        <color indexed="8"/>
        <rFont val="SHREE_GUJ_OTF_0768"/>
        <charset val="1"/>
      </rPr>
      <t xml:space="preserve">ઈન્કમટેક્ષ ગણતરી દર્શાવતુ પત્રક નાંણાકીય વર્ષ :  ૨૦૨૩-૨૦૨૪ - </t>
    </r>
    <r>
      <rPr>
        <b/>
        <u/>
        <sz val="14"/>
        <color indexed="8"/>
        <rFont val="SHREE_GUJ_OTF_0768"/>
        <charset val="1"/>
      </rPr>
      <t>OLD REGIME</t>
    </r>
  </si>
  <si>
    <t>C.P.F.</t>
  </si>
  <si>
    <t>નાંણાકીય વર્ષ ૨૦૨૩-૨૪</t>
  </si>
  <si>
    <t xml:space="preserve">                આકારણી વર્ષ ૨૦૨૪-૨૫</t>
  </si>
  <si>
    <t>Mobile No</t>
  </si>
  <si>
    <t>Pan No.</t>
  </si>
  <si>
    <t>A</t>
  </si>
  <si>
    <t>M</t>
  </si>
  <si>
    <t>T</t>
  </si>
  <si>
    <t>P</t>
  </si>
  <si>
    <t>G</t>
  </si>
  <si>
    <t>Adhar No.</t>
  </si>
  <si>
    <t>Date of Birth</t>
  </si>
  <si>
    <t xml:space="preserve">(૧) કર્મચારીનું પુરૂ નામ. </t>
  </si>
  <si>
    <t xml:space="preserve">PARMAR SUBHASHCHANDRA RAMESHBHAI </t>
  </si>
  <si>
    <t>હોદ્દો</t>
  </si>
  <si>
    <t>PRINCIPAL</t>
  </si>
  <si>
    <t>(૨) ઓફીસ/પે.કેન્દ્રનું નામ.</t>
  </si>
  <si>
    <t>JUNADADAPOR P.S</t>
  </si>
  <si>
    <t>બેંક ખાતા નંબર</t>
  </si>
  <si>
    <t>16710100005591</t>
  </si>
  <si>
    <t xml:space="preserve">(૩) બેંકનું નામ. </t>
  </si>
  <si>
    <t>BANK OF BARODA</t>
  </si>
  <si>
    <t>શાખા.</t>
  </si>
  <si>
    <t>AMOD</t>
  </si>
  <si>
    <t>બેંક IFSC Code:</t>
  </si>
  <si>
    <t>BARB0AMODXX</t>
  </si>
  <si>
    <t>(૧).</t>
  </si>
  <si>
    <t>આવક (વાર્ષિક પગાર સાથે) :</t>
  </si>
  <si>
    <t>રૂ!</t>
  </si>
  <si>
    <t>(૨).</t>
  </si>
  <si>
    <t xml:space="preserve">બાદ (-) </t>
  </si>
  <si>
    <t>(A)</t>
  </si>
  <si>
    <t>સ્ટાન્ડર્ડ ડીડક્શન ( કલમ ૧૬ )</t>
  </si>
  <si>
    <t>(B)</t>
  </si>
  <si>
    <t xml:space="preserve">વ્યવસાય વેરો </t>
  </si>
  <si>
    <t>(C)</t>
  </si>
  <si>
    <t xml:space="preserve">મકાન લોનનું વ્યાજ ( ૨,૦૦,૦૦૦ સુધી) </t>
  </si>
  <si>
    <t>(D)</t>
  </si>
  <si>
    <t>અન્ય</t>
  </si>
  <si>
    <t>(E)</t>
  </si>
  <si>
    <t xml:space="preserve">અન્ય </t>
  </si>
  <si>
    <t>(A+B+C+D+E)</t>
  </si>
  <si>
    <t>(૩).</t>
  </si>
  <si>
    <t xml:space="preserve">કોલમ (૧) બાદ કોલમ (૨) </t>
  </si>
  <si>
    <t xml:space="preserve"> </t>
  </si>
  <si>
    <t>(૪).</t>
  </si>
  <si>
    <t xml:space="preserve">બાદ કપાતો ( કલમ ૮૦ સી મુજબ ) </t>
  </si>
  <si>
    <t>જી.પી.એફ.</t>
  </si>
  <si>
    <t>(H)</t>
  </si>
  <si>
    <r>
      <rPr>
        <sz val="10"/>
        <color indexed="8"/>
        <rFont val="SHREE_GUJ_OTF_0768"/>
        <charset val="1"/>
      </rPr>
      <t xml:space="preserve">શિક્ષણ ફી </t>
    </r>
    <r>
      <rPr>
        <sz val="9"/>
        <color indexed="8"/>
        <rFont val="SHREE_GUJ_OTF_0768"/>
        <charset val="1"/>
      </rPr>
      <t xml:space="preserve">(ભારતીય સંસ્થા) </t>
    </r>
  </si>
  <si>
    <t>સી.પી.એફ.</t>
  </si>
  <si>
    <t>(I)</t>
  </si>
  <si>
    <t xml:space="preserve">પી.પી.એફ. </t>
  </si>
  <si>
    <t xml:space="preserve">જુથ વિમો </t>
  </si>
  <si>
    <t>(J)</t>
  </si>
  <si>
    <t xml:space="preserve">એન.એસ.સી. </t>
  </si>
  <si>
    <r>
      <rPr>
        <sz val="10"/>
        <color indexed="8"/>
        <rFont val="SHREE_GUJ_OTF_0768"/>
        <charset val="1"/>
      </rPr>
      <t>એલ.આઈ.સી.</t>
    </r>
    <r>
      <rPr>
        <sz val="8"/>
        <color indexed="8"/>
        <rFont val="SHREE_GUJ_OTF_0768"/>
        <charset val="1"/>
      </rPr>
      <t xml:space="preserve">(પગારથી કપાત) </t>
    </r>
  </si>
  <si>
    <t>(K)</t>
  </si>
  <si>
    <r>
      <rPr>
        <sz val="10"/>
        <color indexed="8"/>
        <rFont val="SHREE_GUJ_OTF_0768"/>
        <charset val="1"/>
      </rPr>
      <t xml:space="preserve">બેંક એફ. ડી. </t>
    </r>
    <r>
      <rPr>
        <sz val="8"/>
        <color indexed="8"/>
        <rFont val="SHREE_GUJ_OTF_0768"/>
        <charset val="1"/>
      </rPr>
      <t xml:space="preserve">(૫ વર્ષની જ) </t>
    </r>
  </si>
  <si>
    <r>
      <rPr>
        <sz val="10"/>
        <color indexed="8"/>
        <rFont val="SHREE_GUJ_OTF_0768"/>
        <charset val="1"/>
      </rPr>
      <t xml:space="preserve">એલ.આઈ.સી.ડાયરેક્ટ </t>
    </r>
    <r>
      <rPr>
        <sz val="8"/>
        <color indexed="8"/>
        <rFont val="SHREE_GUJ_OTF_0768"/>
        <charset val="1"/>
      </rPr>
      <t xml:space="preserve"> </t>
    </r>
  </si>
  <si>
    <t>(L)</t>
  </si>
  <si>
    <t xml:space="preserve">સુકન્યા સમૃધી યોજના </t>
  </si>
  <si>
    <t>(F)</t>
  </si>
  <si>
    <t xml:space="preserve">મકાનલોન મુદ્દલ </t>
  </si>
  <si>
    <t>(M)</t>
  </si>
  <si>
    <t xml:space="preserve">ટેક્ષ સેવર મ્યુચુઅલ ફંડ </t>
  </si>
  <si>
    <t>(G)</t>
  </si>
  <si>
    <t xml:space="preserve">પી.એલ.આઈ. </t>
  </si>
  <si>
    <t>(N)</t>
  </si>
  <si>
    <t xml:space="preserve">( A to N ) કુલ સરવાળો દોઢ લાખ સુધી </t>
  </si>
  <si>
    <t>(O)</t>
  </si>
  <si>
    <t>કલમ ૮૦ ડી મેડીક્લેઈમ ( ૨૫૦૦૦ સુધી )</t>
  </si>
  <si>
    <t>(P)</t>
  </si>
  <si>
    <t xml:space="preserve">કલમ ૮૦ ડી.ડી.અપંગ આશ્રિત </t>
  </si>
  <si>
    <t>(Q)</t>
  </si>
  <si>
    <t xml:space="preserve">કલમ ૮૦ ડીડીબી ગંભીર રોગ </t>
  </si>
  <si>
    <t>(R)</t>
  </si>
  <si>
    <t>કલમ ૮૦ સીસીડી ૧ (બી) એન.પી.એસ.( રૂ. 50000/- સુધી)</t>
  </si>
  <si>
    <t>(S)</t>
  </si>
  <si>
    <t xml:space="preserve">કલમ ૮૦ ઈ ઉચ્ચ શિક્ષણ લોન વ્યાજ </t>
  </si>
  <si>
    <t>(T)</t>
  </si>
  <si>
    <t xml:space="preserve">કલમ ૮૦ જી દાન (પાછળ સુચના ૫ પ્રમાણે) </t>
  </si>
  <si>
    <t>(U)</t>
  </si>
  <si>
    <t xml:space="preserve">કલમ ૮૦ જીજીસી રાજકીય પાર્ટીને દાન </t>
  </si>
  <si>
    <t>(V)</t>
  </si>
  <si>
    <t xml:space="preserve">કલમ ૮૦ યુ અપંગ વ્યક્તિ </t>
  </si>
  <si>
    <t>(W)</t>
  </si>
  <si>
    <t xml:space="preserve">(A to W) કુલ સરવાળો </t>
  </si>
  <si>
    <t>(૫).</t>
  </si>
  <si>
    <t xml:space="preserve"> કોલમ ૩  બાદ કોલમ ૪ </t>
  </si>
  <si>
    <t xml:space="preserve">            (ઈન્કમટેક્ષ પાત્ર રકમ ) </t>
  </si>
  <si>
    <t>(૬).</t>
  </si>
  <si>
    <t xml:space="preserve"> ભરવા પાત્ર ઈન્કમટેક્ષ </t>
  </si>
  <si>
    <t xml:space="preserve">રૂ! </t>
  </si>
  <si>
    <t>૨,૫૦,૦૦૦</t>
  </si>
  <si>
    <t>સુધી</t>
  </si>
  <si>
    <t>NIL</t>
  </si>
  <si>
    <t xml:space="preserve">રૂ!  </t>
  </si>
  <si>
    <t>૨,૫૦,૦૦૧</t>
  </si>
  <si>
    <t>થી</t>
  </si>
  <si>
    <t xml:space="preserve">૫,૦૦,૦૦૦ સુધી     ૫ ટકા </t>
  </si>
  <si>
    <t>૫,૦૦,૦૦૧</t>
  </si>
  <si>
    <t xml:space="preserve">૧૦,૦૦,૦૦૦ સુધી ૨૦ ટકા </t>
  </si>
  <si>
    <t>૧૦,૦૦,૦૦૧</t>
  </si>
  <si>
    <t xml:space="preserve">વધુ....................૩૦ ટકા </t>
  </si>
  <si>
    <t>૧ થી ૪ કુલ આવકવેરા (ઈન્કમટેક્ષ)</t>
  </si>
  <si>
    <t>(૭).</t>
  </si>
  <si>
    <r>
      <rPr>
        <sz val="10"/>
        <color indexed="8"/>
        <rFont val="SHREE_GUJ_OTF_0768"/>
        <charset val="1"/>
      </rPr>
      <t xml:space="preserve">બાદ : રીબેટ કલમ 87A કોલમ ૫ મુજબ  (ઇન્કમટેક્ષ પાત્ર રકમ) રૂ!. </t>
    </r>
    <r>
      <rPr>
        <b/>
        <sz val="10"/>
        <color indexed="8"/>
        <rFont val="SHREE_GUJ_OTF_0768"/>
        <charset val="1"/>
      </rPr>
      <t>૫,૦૦,૦૦૦</t>
    </r>
    <r>
      <rPr>
        <sz val="10"/>
        <color indexed="8"/>
        <rFont val="SHREE_GUJ_OTF_0768"/>
        <charset val="1"/>
      </rPr>
      <t xml:space="preserve"> થી ઓછી હોય </t>
    </r>
  </si>
  <si>
    <r>
      <rPr>
        <sz val="10"/>
        <color indexed="8"/>
        <rFont val="SHREE_GUJ_OTF_0768"/>
        <charset val="1"/>
      </rPr>
      <t xml:space="preserve"> તેમને મહત્તમ રૂ!</t>
    </r>
    <r>
      <rPr>
        <b/>
        <sz val="10"/>
        <color indexed="8"/>
        <rFont val="SHREE_GUJ_OTF_0768"/>
        <charset val="1"/>
      </rPr>
      <t xml:space="preserve"> ૧૨૫૦૦/-</t>
    </r>
    <r>
      <rPr>
        <sz val="10"/>
        <color indexed="8"/>
        <rFont val="SHREE_GUJ_OTF_0768"/>
        <charset val="1"/>
      </rPr>
      <t xml:space="preserve"> સુધી રીબેટ બાદ મળશે. </t>
    </r>
  </si>
  <si>
    <t>(૮).</t>
  </si>
  <si>
    <t xml:space="preserve"> કોલમ ( ૬ ) બાદ - કોલમ ( ૭ ) ભરવાપાત્ર ઈન્કમટેક્ષ.</t>
  </si>
  <si>
    <t>(૯).</t>
  </si>
  <si>
    <r>
      <rPr>
        <sz val="10"/>
        <color indexed="8"/>
        <rFont val="SHREE_GUJ_OTF_0768"/>
        <charset val="1"/>
      </rPr>
      <t xml:space="preserve"> કોલમ ( ૮ ) ભરવાપાત્ર ઈન્કમટેક્ષ ઉપર </t>
    </r>
    <r>
      <rPr>
        <sz val="12"/>
        <color indexed="8"/>
        <rFont val="SHREE_GUJ_OTF_0768"/>
        <charset val="1"/>
      </rPr>
      <t>૪</t>
    </r>
    <r>
      <rPr>
        <sz val="10"/>
        <color indexed="8"/>
        <rFont val="SHREE_GUJ_OTF_0768"/>
        <charset val="1"/>
      </rPr>
      <t xml:space="preserve"> ટકા શિક્ષણ ઉપકર </t>
    </r>
  </si>
  <si>
    <t>(૧૦).</t>
  </si>
  <si>
    <t xml:space="preserve"> કોલમ ( ૮ ) + કોલમ ( ૯ ) કુલ ભરવાપાત્ર ઈન્કમટેક્ષ) </t>
  </si>
  <si>
    <t>(૧૧).</t>
  </si>
  <si>
    <t xml:space="preserve"> ફોર્મ ૧૦ ઈ  મુજબ રાહત કલમ ૮૯ (૧) મુજબ ................</t>
  </si>
  <si>
    <t>(૧૨).</t>
  </si>
  <si>
    <t xml:space="preserve"> કોલમ (૧૦) બાદ કોલમ (૧૧) ચોખ્ખો ભરવાપાત્ર ઈન્કમટેક્ષ</t>
  </si>
  <si>
    <t>(૧૩).</t>
  </si>
  <si>
    <t xml:space="preserve"> તારીખ. ૦૧-૦૪-૨૦૨૩ થી જાન્યુઆરી ૨૦૨૪ સુધી કપાયેલ ઈન્કમટેક્ષ </t>
  </si>
  <si>
    <t>(૧૪).</t>
  </si>
  <si>
    <t xml:space="preserve"> ફેબ્રુઆરી- ૨૦૨૪ ના પગાર માંથી કપાતપાત્ર ઈન્કમટેક્ષ.......</t>
  </si>
  <si>
    <t>(૧૫).</t>
  </si>
  <si>
    <t xml:space="preserve"> કુલ કપાયેલ ઈન્કમટેક્ષ (૧૩+૧૪) </t>
  </si>
  <si>
    <t>(૧૬).</t>
  </si>
  <si>
    <t xml:space="preserve"> રીફંડ પાત્ર રકમ કોલમ (૧૫) બાદ કોલમ (૧૨) </t>
  </si>
  <si>
    <t>કર્મચારી ની સહી X ________________________</t>
  </si>
  <si>
    <t>આપની ઈન્કમટેક્ષ પાત્ર રકમ -&gt;&gt;&gt;&gt;</t>
  </si>
  <si>
    <t>old</t>
  </si>
  <si>
    <t>દ1</t>
  </si>
  <si>
    <t>કર્મ ચારીનું નામ :-</t>
  </si>
  <si>
    <t xml:space="preserve">શાળાનું નામ :- </t>
  </si>
  <si>
    <t xml:space="preserve">માસ </t>
  </si>
  <si>
    <t>ગ્રોસ પગાર</t>
  </si>
  <si>
    <t>વ્યવસાય વેરો રૂl.</t>
  </si>
  <si>
    <r>
      <rPr>
        <b/>
        <sz val="12"/>
        <color indexed="8"/>
        <rFont val="SHREE_GUJ_OTF_0768"/>
        <charset val="1"/>
      </rPr>
      <t>G.P.F</t>
    </r>
    <r>
      <rPr>
        <sz val="10"/>
        <color indexed="8"/>
        <rFont val="SHREE_GUJ_OTF_0768"/>
        <charset val="1"/>
      </rPr>
      <t xml:space="preserve"> રૂપિયા </t>
    </r>
  </si>
  <si>
    <r>
      <rPr>
        <b/>
        <sz val="12"/>
        <color indexed="8"/>
        <rFont val="SHREE_GUJ_OTF_0768"/>
        <charset val="1"/>
      </rPr>
      <t>C.P.F</t>
    </r>
    <r>
      <rPr>
        <sz val="12"/>
        <color indexed="8"/>
        <rFont val="SHREE_GUJ_OTF_0768"/>
        <charset val="1"/>
      </rPr>
      <t xml:space="preserve"> </t>
    </r>
    <r>
      <rPr>
        <sz val="10"/>
        <color indexed="8"/>
        <rFont val="SHREE_GUJ_OTF_0768"/>
        <charset val="1"/>
      </rPr>
      <t>રૂપિયા</t>
    </r>
  </si>
  <si>
    <t xml:space="preserve">જૂથ વિમો રૂl. </t>
  </si>
  <si>
    <r>
      <rPr>
        <sz val="10"/>
        <color indexed="8"/>
        <rFont val="SHREE_GUJ_OTF_0768"/>
        <charset val="1"/>
      </rPr>
      <t xml:space="preserve">પગારમાંથી </t>
    </r>
    <r>
      <rPr>
        <b/>
        <sz val="10"/>
        <color indexed="8"/>
        <rFont val="SHREE_GUJ_OTF_0768"/>
        <charset val="1"/>
      </rPr>
      <t xml:space="preserve">TDS INCOME-TAX </t>
    </r>
  </si>
  <si>
    <t>એલ.આઈ.સી પગારમાંથી રૂl.</t>
  </si>
  <si>
    <t>મકાન લોન વ્યાજ રૂl.</t>
  </si>
  <si>
    <t>મકાન લોન મુદલ રૂl.</t>
  </si>
  <si>
    <t>P.L.I.</t>
  </si>
  <si>
    <t>માર્ચ-૨૩</t>
  </si>
  <si>
    <t>new</t>
  </si>
  <si>
    <t>એપ્રિલ-૨૩</t>
  </si>
  <si>
    <t>મે-૨૩</t>
  </si>
  <si>
    <t>જુન-૨૩</t>
  </si>
  <si>
    <t>જુલાઈ-૨૩</t>
  </si>
  <si>
    <t>ઓગષ્ટ-૨૩</t>
  </si>
  <si>
    <t>સપ્ટે-૨૩</t>
  </si>
  <si>
    <t>ઓક્ટોબર-૨૩</t>
  </si>
  <si>
    <t>નવેમ્બર-૨૩</t>
  </si>
  <si>
    <t>ડીસેમ્બર-૨૩</t>
  </si>
  <si>
    <t>જાન્યુઆરી-૨૪</t>
  </si>
  <si>
    <t>ફેબ્રુઆરી-૨૪</t>
  </si>
  <si>
    <t>(A) કુલ રૂl.</t>
  </si>
  <si>
    <t>( B )</t>
  </si>
  <si>
    <t>રૂl.</t>
  </si>
  <si>
    <t>એરીયર્સ</t>
  </si>
  <si>
    <t xml:space="preserve">( C ) </t>
  </si>
  <si>
    <t>( D )</t>
  </si>
  <si>
    <t>મોંઘવારી</t>
  </si>
  <si>
    <t>( E )</t>
  </si>
  <si>
    <t>નોંધ:</t>
  </si>
  <si>
    <t xml:space="preserve">A થી E નો કુલ સરવાળો કુલ વાર્ષિક આવક </t>
  </si>
  <si>
    <t>આ ફોર્મમાં દર્શાવેલ તમામ માહિતી સાચી અને રેકર્ડ ઉપરથી ચકાસીને રજુ કરેલ છે. આ માહિતી ખોટી પુરવાર થશે, તે બાબતે પુર્તતા કરવાની જવાબદારી મારી રહેશે.</t>
  </si>
  <si>
    <t>X</t>
  </si>
  <si>
    <t xml:space="preserve">કર્મચારીની સહી </t>
  </si>
  <si>
    <t xml:space="preserve">ઉપરોક્ત કર્મચારીને નાણાંકીય વર્ષ </t>
  </si>
  <si>
    <t>2023 / 2024</t>
  </si>
  <si>
    <t xml:space="preserve">તારીખ: </t>
  </si>
  <si>
    <r>
      <rPr>
        <b/>
        <sz val="11"/>
        <color rgb="FFFFFF00"/>
        <rFont val="Arial"/>
        <charset val="134"/>
      </rPr>
      <t xml:space="preserve">C.P.F. ખાતુ હોયતો </t>
    </r>
    <r>
      <rPr>
        <b/>
        <sz val="12"/>
        <color rgb="FFFFFF00"/>
        <rFont val="Arial"/>
        <charset val="134"/>
      </rPr>
      <t>હા</t>
    </r>
    <r>
      <rPr>
        <b/>
        <sz val="11"/>
        <color rgb="FFFFFF00"/>
        <rFont val="Arial"/>
        <charset val="134"/>
      </rPr>
      <t xml:space="preserve"> સિલેક્ટ કરો </t>
    </r>
  </si>
  <si>
    <t>હા</t>
  </si>
  <si>
    <r>
      <rPr>
        <b/>
        <sz val="14"/>
        <color theme="1"/>
        <rFont val="Arial"/>
        <charset val="134"/>
      </rPr>
      <t xml:space="preserve">ઈન્કમટેક્ષ ગણતરી દર્શાવતુ પત્રક નાંણાકીય વર્ષ :  2023-2024 - </t>
    </r>
    <r>
      <rPr>
        <b/>
        <u/>
        <sz val="14"/>
        <color theme="1"/>
        <rFont val="Arial"/>
        <charset val="134"/>
      </rPr>
      <t>NEW REGIME</t>
    </r>
  </si>
  <si>
    <t>નાંણાકીય વર્ષ 2023-24</t>
  </si>
  <si>
    <t xml:space="preserve">                આકારણી વર્ષ 2024-25</t>
  </si>
  <si>
    <t xml:space="preserve">(1) કર્મચારીનું પુરૂ નામ. </t>
  </si>
  <si>
    <t>(2) ઓફીસ/પે.કેન્દ્રનું નામ.</t>
  </si>
  <si>
    <t xml:space="preserve">(3) બેંકનું નામ. </t>
  </si>
  <si>
    <t>(1).</t>
  </si>
  <si>
    <t>(2).</t>
  </si>
  <si>
    <t>(3).</t>
  </si>
  <si>
    <t>(4).</t>
  </si>
  <si>
    <r>
      <rPr>
        <sz val="10"/>
        <color theme="1"/>
        <rFont val="Arial"/>
        <charset val="134"/>
      </rPr>
      <t xml:space="preserve">શિક્ષણ ફી </t>
    </r>
    <r>
      <rPr>
        <sz val="9"/>
        <color theme="1"/>
        <rFont val="Arial"/>
        <charset val="134"/>
      </rPr>
      <t xml:space="preserve">(ભારતીય સંસ્થા) </t>
    </r>
  </si>
  <si>
    <r>
      <rPr>
        <sz val="10"/>
        <color theme="1"/>
        <rFont val="Arial"/>
        <charset val="134"/>
      </rPr>
      <t>એલ.આઈ.સી.</t>
    </r>
    <r>
      <rPr>
        <sz val="8"/>
        <color theme="1"/>
        <rFont val="Arial"/>
        <charset val="134"/>
      </rPr>
      <t xml:space="preserve">(પગારથી કપાત) </t>
    </r>
  </si>
  <si>
    <r>
      <rPr>
        <sz val="10"/>
        <color theme="1"/>
        <rFont val="Arial"/>
        <charset val="134"/>
      </rPr>
      <t xml:space="preserve">બેંક એફ. ડી. </t>
    </r>
    <r>
      <rPr>
        <sz val="8"/>
        <color theme="1"/>
        <rFont val="Arial"/>
        <charset val="134"/>
      </rPr>
      <t xml:space="preserve">(૫ વર્ષની જ) </t>
    </r>
  </si>
  <si>
    <r>
      <rPr>
        <sz val="10"/>
        <color theme="1"/>
        <rFont val="Arial"/>
        <charset val="134"/>
      </rPr>
      <t xml:space="preserve">એલ.આઈ.સી.ડાયરેક્ટ </t>
    </r>
    <r>
      <rPr>
        <sz val="8"/>
        <color theme="1"/>
        <rFont val="Arial"/>
        <charset val="134"/>
      </rPr>
      <t xml:space="preserve"> </t>
    </r>
  </si>
  <si>
    <t xml:space="preserve">કલમ ૮૦ ડી.ડી.બી. ગંભીર રોગ </t>
  </si>
  <si>
    <t>કલમ ૮૦ સી.સી.ડી. (2) એન.પી.એસ.(પગારના 10% )</t>
  </si>
  <si>
    <t xml:space="preserve">કલમ ૮૦ જી.જી.સી. રાજકીય પાર્ટીને દાન </t>
  </si>
  <si>
    <t>(5).</t>
  </si>
  <si>
    <t xml:space="preserve"> કોલમ 3  બાદ કોલમ 4 </t>
  </si>
  <si>
    <t>(6).</t>
  </si>
  <si>
    <t>3,00,000</t>
  </si>
  <si>
    <t xml:space="preserve">સુધી ...................... </t>
  </si>
  <si>
    <t>%</t>
  </si>
  <si>
    <t>nil</t>
  </si>
  <si>
    <t xml:space="preserve"> 6,00,000 સુધી      5 %</t>
  </si>
  <si>
    <t>6,00,000</t>
  </si>
  <si>
    <t xml:space="preserve"> 9,00,000 સુધી     10 %</t>
  </si>
  <si>
    <t>9,00,000</t>
  </si>
  <si>
    <t xml:space="preserve">12,00,000 સુધી     15 % </t>
  </si>
  <si>
    <t>12,00,000</t>
  </si>
  <si>
    <t xml:space="preserve">15,00,000 સુધી     20 % </t>
  </si>
  <si>
    <t>15,00,000</t>
  </si>
  <si>
    <t xml:space="preserve"> વધુ......................30 % </t>
  </si>
  <si>
    <t>1 થી 6 કુલ આવકવેરા (ઈન્કમટેક્ષ)</t>
  </si>
  <si>
    <t>(7).</t>
  </si>
  <si>
    <r>
      <rPr>
        <sz val="10"/>
        <color theme="1"/>
        <rFont val="Arial"/>
        <charset val="134"/>
      </rPr>
      <t xml:space="preserve">આવક રૂ!. </t>
    </r>
    <r>
      <rPr>
        <b/>
        <sz val="10"/>
        <color theme="1"/>
        <rFont val="Arial"/>
        <charset val="134"/>
      </rPr>
      <t>7,00,000</t>
    </r>
    <r>
      <rPr>
        <sz val="10"/>
        <color theme="1"/>
        <rFont val="Arial"/>
        <charset val="134"/>
      </rPr>
      <t xml:space="preserve"> થી ઓછી હોય તો રીબેટ કલમ ( 87 - A ) ( કોલમ- 5 )  મુજબ </t>
    </r>
    <r>
      <rPr>
        <b/>
        <sz val="10"/>
        <color theme="1"/>
        <rFont val="Arial"/>
        <charset val="134"/>
      </rPr>
      <t>25,000</t>
    </r>
    <r>
      <rPr>
        <sz val="10"/>
        <color theme="1"/>
        <rFont val="Arial"/>
        <charset val="134"/>
      </rPr>
      <t xml:space="preserve"> /- રૂ!.સુધી</t>
    </r>
  </si>
  <si>
    <t>(8).</t>
  </si>
  <si>
    <t xml:space="preserve">ઈન્કમટેક્ષ પાત્ર રકમ રૂ!. કોલમ (6) બાદ (7) </t>
  </si>
  <si>
    <t>(9).</t>
  </si>
  <si>
    <r>
      <rPr>
        <sz val="10"/>
        <color theme="1"/>
        <rFont val="Arial"/>
        <charset val="134"/>
      </rPr>
      <t xml:space="preserve">કોલમ ( 8 ) ભરવાપાત્ર ઈન્કમટેક્ષ ઉપર </t>
    </r>
    <r>
      <rPr>
        <b/>
        <sz val="10"/>
        <color theme="1"/>
        <rFont val="Arial"/>
        <charset val="134"/>
      </rPr>
      <t xml:space="preserve">4 % </t>
    </r>
    <r>
      <rPr>
        <sz val="10"/>
        <color theme="1"/>
        <rFont val="Arial"/>
        <charset val="134"/>
      </rPr>
      <t xml:space="preserve"> શિક્ષણ ઉપકર </t>
    </r>
  </si>
  <si>
    <t>(10).</t>
  </si>
  <si>
    <t>કોલમ  ( 8 ) + ( 9 ) કુલ ભરવાપાત્ર ઈન્કમટેક્ષ..</t>
  </si>
  <si>
    <t>(11).</t>
  </si>
  <si>
    <t xml:space="preserve">ફોર્મ 10- E મુજબ રાહત કલમ 89 (1) મુજબ </t>
  </si>
  <si>
    <t>(12).</t>
  </si>
  <si>
    <t>કોલમ (10) બાદ કોલમ (11) ભરવાપાત્ર ઈન્કમટેક્ષ</t>
  </si>
  <si>
    <t>(13).</t>
  </si>
  <si>
    <r>
      <rPr>
        <sz val="10"/>
        <color theme="1"/>
        <rFont val="Arial"/>
        <charset val="134"/>
      </rPr>
      <t xml:space="preserve">માર્જિનલ રીલીફ, </t>
    </r>
    <r>
      <rPr>
        <sz val="9"/>
        <color theme="1"/>
        <rFont val="Arial"/>
        <charset val="134"/>
      </rPr>
      <t>ભરવાપાત્ર ઈન્કમટેક્ષ કોલમ-</t>
    </r>
    <r>
      <rPr>
        <sz val="10"/>
        <color rgb="FFFF0000"/>
        <rFont val="Arial"/>
        <charset val="134"/>
      </rPr>
      <t>૧૨</t>
    </r>
    <r>
      <rPr>
        <sz val="9"/>
        <color theme="1"/>
        <rFont val="Arial"/>
        <charset val="134"/>
      </rPr>
      <t xml:space="preserve">-બાદ ઈન્કમટેક્ષ પાત્ર રકમ કોલમ- </t>
    </r>
    <r>
      <rPr>
        <sz val="10"/>
        <color rgb="FFFF0000"/>
        <rFont val="Arial"/>
        <charset val="134"/>
      </rPr>
      <t>૫</t>
    </r>
    <r>
      <rPr>
        <sz val="9"/>
        <color theme="1"/>
        <rFont val="Arial"/>
        <charset val="134"/>
      </rPr>
      <t xml:space="preserve"> મુજબ( રૂ. </t>
    </r>
    <r>
      <rPr>
        <sz val="10"/>
        <color rgb="FFFF0000"/>
        <rFont val="Arial"/>
        <charset val="134"/>
      </rPr>
      <t>૭</t>
    </r>
    <r>
      <rPr>
        <sz val="9"/>
        <color theme="1"/>
        <rFont val="Arial"/>
        <charset val="134"/>
      </rPr>
      <t xml:space="preserve"> લાખ ઉપરની રકમ)</t>
    </r>
  </si>
  <si>
    <t>(14).</t>
  </si>
  <si>
    <t>કોલમ (12) બાદ કોલમ (13) ચોખ્ખો ભરવાપાત્ર ઈન્કમટેક્ષ</t>
  </si>
  <si>
    <t>(15).</t>
  </si>
  <si>
    <t xml:space="preserve">તારીખ. 01-04-2023 થી જાન્યુઆરી- 2024 સુધી કપાયેલ ઈન્કમટેક્ષ </t>
  </si>
  <si>
    <t>(16).</t>
  </si>
  <si>
    <t>ફેબ્રુઆરી- 2024 ના પગાર માંથી કપાતપાત્ર ઈન્કમટેક્ષ</t>
  </si>
  <si>
    <t>(17).</t>
  </si>
  <si>
    <t xml:space="preserve">કુલ કપાયેલ ઈન્કમટેક્ષ (15+16) </t>
  </si>
  <si>
    <t>(18).</t>
  </si>
  <si>
    <t xml:space="preserve">રીફંડ પાત્ર રકમ કોલમ (17) બાદ કોલમ (14) </t>
  </si>
  <si>
    <t>એક</t>
  </si>
  <si>
    <t>બે</t>
  </si>
  <si>
    <t>બ</t>
  </si>
  <si>
    <t>ત્રણ</t>
  </si>
  <si>
    <t>ચાર</t>
  </si>
  <si>
    <t xml:space="preserve">પાંચ </t>
  </si>
  <si>
    <t>છ</t>
  </si>
  <si>
    <t>સાત</t>
  </si>
  <si>
    <t>આઠ</t>
  </si>
  <si>
    <t>નવ</t>
  </si>
  <si>
    <t>દસ</t>
  </si>
  <si>
    <t>અગિયાર</t>
  </si>
  <si>
    <t>બાર</t>
  </si>
  <si>
    <t>તેર</t>
  </si>
  <si>
    <t>ચૌદ</t>
  </si>
  <si>
    <t>પંદર</t>
  </si>
  <si>
    <t>સોળ</t>
  </si>
  <si>
    <t>સત્તર</t>
  </si>
  <si>
    <t>અઢાર</t>
  </si>
  <si>
    <t>ઓગણિસ</t>
  </si>
  <si>
    <t>વીસ</t>
  </si>
  <si>
    <t>એકવીસ</t>
  </si>
  <si>
    <t>બાવીસ</t>
  </si>
  <si>
    <t>ત્રેવીસ</t>
  </si>
  <si>
    <t>ચોવીસ</t>
  </si>
  <si>
    <t>પચ્ચીસ</t>
  </si>
  <si>
    <t>છવ્વીસ</t>
  </si>
  <si>
    <t>સત્યાવીસ</t>
  </si>
  <si>
    <t>અઠ્યાવીસ</t>
  </si>
  <si>
    <t>ઓગણત્રીસ</t>
  </si>
  <si>
    <t>ત્રીસ</t>
  </si>
  <si>
    <t>એકત્રીસ</t>
  </si>
  <si>
    <t>બત્રીસ</t>
  </si>
  <si>
    <t>તેત્રીસ</t>
  </si>
  <si>
    <t>ચોત્રીસ</t>
  </si>
  <si>
    <t>પાંત્રીસ</t>
  </si>
  <si>
    <t>છત્રીસ</t>
  </si>
  <si>
    <t>સાડત્રીસ</t>
  </si>
  <si>
    <t>આડત્રીસ</t>
  </si>
  <si>
    <t>ઓગણચાલીસ</t>
  </si>
  <si>
    <t>ચાલીસ</t>
  </si>
  <si>
    <t>એકતાલીસ</t>
  </si>
  <si>
    <t>બેતાલીસ</t>
  </si>
  <si>
    <t>તેંતાલીસ</t>
  </si>
  <si>
    <t>ચુંમાલીસ</t>
  </si>
  <si>
    <t>પિસ્તાલીસ</t>
  </si>
  <si>
    <t>છેંતાલીસ</t>
  </si>
  <si>
    <t>સુડતાલીસ</t>
  </si>
  <si>
    <t>અડતાલીસ</t>
  </si>
  <si>
    <t>ઓગણપચાસ</t>
  </si>
  <si>
    <t>પચાસ</t>
  </si>
  <si>
    <t>એકાવન</t>
  </si>
  <si>
    <t>બાવન</t>
  </si>
  <si>
    <t>ત્રેપન</t>
  </si>
  <si>
    <t>ચોપન</t>
  </si>
  <si>
    <t>પંચાવન</t>
  </si>
  <si>
    <t>છપ્પન</t>
  </si>
  <si>
    <t>સત્તાવન</t>
  </si>
  <si>
    <t>અઠ્ઠાવન</t>
  </si>
  <si>
    <t>ઓગણસાઈઠ</t>
  </si>
  <si>
    <t xml:space="preserve">સાઈઠ </t>
  </si>
  <si>
    <t>એકસઠ</t>
  </si>
  <si>
    <t>બાસઠ</t>
  </si>
  <si>
    <t>ત્રેસઠ</t>
  </si>
  <si>
    <t>ચોસઠ</t>
  </si>
  <si>
    <t>પાંસઠ</t>
  </si>
  <si>
    <t>છાસઠ</t>
  </si>
  <si>
    <t>સડસઠ</t>
  </si>
  <si>
    <t>અડસઠ</t>
  </si>
  <si>
    <t>ઓગણસીત્તેર</t>
  </si>
  <si>
    <t>સીત્તેર</t>
  </si>
  <si>
    <t>ઈકોતેર</t>
  </si>
  <si>
    <t>બોતેર</t>
  </si>
  <si>
    <t>તોતેર</t>
  </si>
  <si>
    <t>ચુંમોતેર</t>
  </si>
  <si>
    <t>પંચોતેર</t>
  </si>
  <si>
    <t>છોતેર</t>
  </si>
  <si>
    <t>સિત્યોતેર</t>
  </si>
  <si>
    <t>ઈઠ્ઠોતેર</t>
  </si>
  <si>
    <t>ઓગણએંશી</t>
  </si>
  <si>
    <t>એંશી</t>
  </si>
  <si>
    <t>એક્યાશી</t>
  </si>
  <si>
    <t>બ્યાશી</t>
  </si>
  <si>
    <t>ત્યાશી</t>
  </si>
  <si>
    <t>ચોર્યાશી</t>
  </si>
  <si>
    <t>પંચ્ચાશી</t>
  </si>
  <si>
    <t>છ્યાશી</t>
  </si>
  <si>
    <t>સત્યાશી</t>
  </si>
  <si>
    <t>અઠ્યાશી</t>
  </si>
  <si>
    <t>નેવ્યાશી</t>
  </si>
  <si>
    <t>નેવું</t>
  </si>
  <si>
    <t>એકાણું</t>
  </si>
  <si>
    <t>બાણું</t>
  </si>
  <si>
    <t>ત્રાંણુ</t>
  </si>
  <si>
    <t>ચોરાણું</t>
  </si>
  <si>
    <t>પંચાણું</t>
  </si>
  <si>
    <t>છન્નું</t>
  </si>
  <si>
    <t>સત્તાણું</t>
  </si>
  <si>
    <t>અઠાણું</t>
  </si>
  <si>
    <t>નવ્વાણું</t>
  </si>
  <si>
    <r>
      <rPr>
        <b/>
        <sz val="35"/>
        <rFont val="SHREE_GUJ_OTF_0768"/>
        <charset val="1"/>
      </rPr>
      <t xml:space="preserve">  </t>
    </r>
    <r>
      <rPr>
        <b/>
        <u/>
        <sz val="35"/>
        <rFont val="SHREE_GUJ_OTF_0768"/>
        <charset val="1"/>
      </rPr>
      <t xml:space="preserve">તાલુકા પંચાયત શિક્ષણ શાખા જંબુસર </t>
    </r>
  </si>
  <si>
    <t>સૂચના મુજબ ફોર્મ ભરવુ</t>
  </si>
  <si>
    <t xml:space="preserve">૧. આ ફોર્મ  સાથે આપેલ ગુજરાતી ફૉન્ટસ  ઇન્સ્ટોલ કરવા. </t>
  </si>
  <si>
    <t xml:space="preserve">૨. સો પ્રથમ ફોર્મ ની શરૂઆત કપાત પત્રક કૉલમ થી ચાલુ કરવી જેમકે પગાર,એરિયર્સ,રોકાણ,ટેક્સ,વગેરે ની માહિતી ભરવી. </t>
  </si>
  <si>
    <t xml:space="preserve">૩. પર્સનલ માહિતી જેમકે નામ,પાનકાર્ડ નંબર,આધાર કાર્ડ નંબર,મોબાઈલ નંબર,બેન્ક માહિતી વગેરે ની માહિતી જાતે ભરવાની રહેશે. </t>
  </si>
  <si>
    <t xml:space="preserve">૪. C.P.F. ત્થા G.P.F.ત્થા NPS રોકાણ હોય તો તેના ઓપ્શન  ફિલ કરવાની રહેશે. </t>
  </si>
  <si>
    <t xml:space="preserve">૫. નવા સ્લેબ મુજબ સ્ટાન્ડર્ડ ડિડક્શન ૫૦૦૦૦/- સિવાય અન્ય  કોઈપણ રોકાણ બાદ મળશે નહિ. </t>
  </si>
  <si>
    <t>૬. કપાત પત્રક કૉલમ માં વિગત ભરવાથી નવા ત્થા જૂન સ્લેબ ની ગણતરી ઓટો ફિલ થઈ જશે.</t>
  </si>
  <si>
    <t xml:space="preserve">૭. બેન્ક વ્યાજ ત્થા ફિક્સ ડિપોજીત ના વ્યાજ ની રકમ આ ફોર્મ માં દર્શાવાની નથી ઇન્કમટેક્સ રિટર્ન ફાઇલ ના સમયે બતાવવાની રહેશે. </t>
  </si>
  <si>
    <t xml:space="preserve">ફોર્મ સાથે જરૂરી ડોક્યુમેન્ટ </t>
  </si>
  <si>
    <t>૧. પાન કાર્ડ ઝેરોક્ષ, આધારકાર્ડ ઝેરોક્ષ , બેન્ક પાસબુક ઝેરોક્ષ</t>
  </si>
  <si>
    <t xml:space="preserve">૨. તમામ રોકાણની ઝેરોક્ષ કોપી ફરજીયાત જોડવી(૦૧/૦૪/૨૦૨૩ થી ૩૧/૦૩/૨૦૨૪) </t>
  </si>
  <si>
    <t xml:space="preserve">૩. મકાન લોન વ્યાજ નું સર્ટીફિકેટ ફરજિયાત જોડવાનુ રહેશે (૦૧/૦૪/૨૦૨૩ થી ૩૧/૦૩/૨૦૨૪) </t>
  </si>
  <si>
    <t xml:space="preserve">૪. શારીરીક ખોડ ખાપણ ૪૦% થી વધુ અને ૮૦% થી ઓછી હોય તો રૂ.૭૫૦૦૦ બાદ મળશે. </t>
  </si>
  <si>
    <t>અને ૮૦% થી વધુ અપંગતા હોય તો રૂ.૧,૨૫,૦૦૦ બાદ મળશે.</t>
  </si>
  <si>
    <t xml:space="preserve">શબ્બીરભાઈ. એસ.  સાપા </t>
  </si>
  <si>
    <t xml:space="preserve">ટી. પી.ઈ . ઑ </t>
  </si>
  <si>
    <t>આમોદ</t>
  </si>
</sst>
</file>

<file path=xl/styles.xml><?xml version="1.0" encoding="utf-8"?>
<styleSheet xmlns="http://schemas.openxmlformats.org/spreadsheetml/2006/main" xmlns:xr9="http://schemas.microsoft.com/office/spreadsheetml/2016/revision9">
  <numFmts count="25">
    <numFmt numFmtId="176" formatCode="_(* #,##0.00_);_(* \(#,##0.00\);_(* &quot;-&quot;??_);_(@_)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_);\(&quot;$&quot;#,##0\)"/>
    <numFmt numFmtId="181" formatCode="&quot;$&quot;#,##0.00;[Red]\-&quot;$&quot;#,##0.00"/>
    <numFmt numFmtId="182" formatCode="_ * #,##0.00_ ;_ * \-#,##0.00_ ;_ * &quot;-&quot;??_ ;_ @_ "/>
    <numFmt numFmtId="183" formatCode="_-* #,##0.00\ &quot;€&quot;_-;\-* #,##0.00\ &quot;€&quot;_-;_-* &quot;-&quot;??\ &quot;€&quot;_-;_-@_-"/>
    <numFmt numFmtId="184" formatCode="_-* #,##0\ _F_-;\-* #,##0\ _F_-;_-* &quot;-&quot;\ _F_-;_-@_-"/>
    <numFmt numFmtId="185" formatCode="_-* #,##0.00\ _F_-;\-* #,##0.00\ _F_-;_-* &quot;-&quot;??\ _F_-;_-@_-"/>
    <numFmt numFmtId="186" formatCode="#,##0.00000000;[Red]\-#,##0.00000000"/>
    <numFmt numFmtId="187" formatCode="_ &quot;Fr.&quot;\ * #,##0_ ;_ &quot;Fr.&quot;\ * \-#,##0_ ;_ &quot;Fr.&quot;\ * &quot;-&quot;_ ;_ @_ "/>
    <numFmt numFmtId="188" formatCode="_ &quot;Fr.&quot;\ * #,##0.00_ ;_ &quot;Fr.&quot;\ * \-#,##0.00_ ;_ &quot;Fr.&quot;\ * &quot;-&quot;??_ ;_ @_ "/>
    <numFmt numFmtId="189" formatCode="_-&quot;$&quot;* #,##0_-;\-&quot;$&quot;* #,##0_-;_-&quot;$&quot;* &quot;-&quot;_-;_-@_-"/>
    <numFmt numFmtId="190" formatCode="_-&quot;$&quot;* #,##0.00_-;\-&quot;$&quot;* #,##0.00_-;_-&quot;$&quot;* &quot;-&quot;??_-;_-@_-"/>
    <numFmt numFmtId="191" formatCode="&quot;\&quot;#,##0.00;[Red]&quot;\&quot;\-#,##0.00"/>
    <numFmt numFmtId="192" formatCode="&quot;\&quot;#,##0;[Red]&quot;\&quot;\-#,##0"/>
    <numFmt numFmtId="193" formatCode="[$-7000447]0"/>
    <numFmt numFmtId="194" formatCode="_(* #,##0_);_(* \(#,##0\);_(* &quot;-&quot;??_);_(@_)"/>
    <numFmt numFmtId="195" formatCode="0.00;[Red]0.00"/>
    <numFmt numFmtId="196" formatCode="0;[Red]0"/>
    <numFmt numFmtId="197" formatCode="[$-409]mmm/yy;@"/>
    <numFmt numFmtId="198" formatCode="B1mmm/yy"/>
    <numFmt numFmtId="199" formatCode="[$-409]mmmm/yy"/>
    <numFmt numFmtId="200" formatCode="dd/mm/yyyy"/>
  </numFmts>
  <fonts count="118">
    <font>
      <sz val="10"/>
      <name val="Arial"/>
      <charset val="134"/>
    </font>
    <font>
      <sz val="10"/>
      <name val="SHREE_GUJ_OTF_0768"/>
      <charset val="1"/>
    </font>
    <font>
      <b/>
      <u/>
      <sz val="35"/>
      <name val="SHREE_GUJ_OTF_0768"/>
      <charset val="1"/>
    </font>
    <font>
      <b/>
      <u/>
      <sz val="14"/>
      <name val="SHREE_GUJ_OTF_0768"/>
      <charset val="1"/>
    </font>
    <font>
      <sz val="14"/>
      <name val="SHREE_GUJ_OTF_0768"/>
      <charset val="1"/>
    </font>
    <font>
      <sz val="12"/>
      <name val="SHREE_GUJ_OTF_0768"/>
      <charset val="1"/>
    </font>
    <font>
      <sz val="1"/>
      <color theme="0"/>
      <name val="Arial"/>
      <charset val="134"/>
    </font>
    <font>
      <sz val="1"/>
      <color theme="0"/>
      <name val="Calibri"/>
      <charset val="134"/>
    </font>
    <font>
      <sz val="10"/>
      <color theme="0"/>
      <name val="Arial"/>
      <charset val="134"/>
    </font>
    <font>
      <sz val="10"/>
      <color theme="1"/>
      <name val="Arial"/>
      <charset val="134"/>
    </font>
    <font>
      <i/>
      <sz val="1"/>
      <color theme="0"/>
      <name val="Arial"/>
      <charset val="134"/>
    </font>
    <font>
      <sz val="8"/>
      <color rgb="FFFF0000"/>
      <name val="Arial"/>
      <charset val="134"/>
    </font>
    <font>
      <sz val="9"/>
      <color theme="1"/>
      <name val="Arial"/>
      <charset val="134"/>
    </font>
    <font>
      <sz val="1"/>
      <color theme="1"/>
      <name val="Arial"/>
      <charset val="134"/>
    </font>
    <font>
      <sz val="9"/>
      <color rgb="FFFF0000"/>
      <name val="Arial"/>
      <charset val="134"/>
    </font>
    <font>
      <b/>
      <sz val="11"/>
      <color rgb="FFFFFF00"/>
      <name val="Arial"/>
      <charset val="134"/>
    </font>
    <font>
      <i/>
      <sz val="10"/>
      <color theme="1"/>
      <name val="Arial"/>
      <charset val="134"/>
    </font>
    <font>
      <b/>
      <sz val="14"/>
      <color theme="1"/>
      <name val="Arial"/>
      <charset val="134"/>
    </font>
    <font>
      <b/>
      <sz val="11"/>
      <color theme="1"/>
      <name val="Arial"/>
      <charset val="134"/>
    </font>
    <font>
      <u/>
      <sz val="10"/>
      <color theme="1"/>
      <name val="Arial"/>
      <charset val="134"/>
    </font>
    <font>
      <sz val="10"/>
      <color indexed="8"/>
      <name val="Arial"/>
      <charset val="134"/>
    </font>
    <font>
      <b/>
      <sz val="10"/>
      <color theme="1"/>
      <name val="Arial"/>
      <charset val="134"/>
    </font>
    <font>
      <i/>
      <sz val="1"/>
      <name val="Arial"/>
      <charset val="134"/>
    </font>
    <font>
      <sz val="1"/>
      <name val="Arial"/>
      <charset val="134"/>
    </font>
    <font>
      <b/>
      <sz val="12"/>
      <color theme="1"/>
      <name val="Arial"/>
      <charset val="134"/>
    </font>
    <font>
      <b/>
      <i/>
      <sz val="12"/>
      <color rgb="FFFFFF00"/>
      <name val="Arial"/>
      <charset val="134"/>
    </font>
    <font>
      <b/>
      <sz val="1"/>
      <name val="Arial"/>
      <charset val="134"/>
    </font>
    <font>
      <sz val="8"/>
      <color theme="1"/>
      <name val="Arial"/>
      <charset val="134"/>
    </font>
    <font>
      <b/>
      <sz val="11"/>
      <color rgb="FFFF0000"/>
      <name val="Arial"/>
      <charset val="134"/>
    </font>
    <font>
      <sz val="11"/>
      <color theme="1"/>
      <name val="Arial"/>
      <charset val="134"/>
    </font>
    <font>
      <sz val="9"/>
      <color theme="0"/>
      <name val="Arial"/>
      <charset val="134"/>
    </font>
    <font>
      <sz val="9"/>
      <color rgb="FFFF0000"/>
      <name val="Arial Unicode MS"/>
      <charset val="134"/>
    </font>
    <font>
      <sz val="9"/>
      <color rgb="FFFF0000"/>
      <name val="Cambria"/>
      <charset val="134"/>
      <scheme val="major"/>
    </font>
    <font>
      <sz val="9"/>
      <color rgb="FFFF0000"/>
      <name val="Calibri"/>
      <charset val="134"/>
      <scheme val="minor"/>
    </font>
    <font>
      <sz val="12"/>
      <color theme="1"/>
      <name val="Cambria"/>
      <charset val="134"/>
      <scheme val="major"/>
    </font>
    <font>
      <sz val="8"/>
      <name val="Arial"/>
      <charset val="134"/>
    </font>
    <font>
      <sz val="9"/>
      <name val="Arial"/>
      <charset val="134"/>
    </font>
    <font>
      <sz val="10"/>
      <color indexed="9"/>
      <name val="SHREE_GUJ_OTF_0768"/>
      <charset val="1"/>
    </font>
    <font>
      <b/>
      <sz val="12"/>
      <color indexed="8"/>
      <name val="SHREE_GUJ_OTF_0768"/>
      <charset val="1"/>
    </font>
    <font>
      <sz val="10"/>
      <color indexed="8"/>
      <name val="SHREE_GUJ_OTF_0768"/>
      <charset val="1"/>
    </font>
    <font>
      <b/>
      <sz val="11"/>
      <color indexed="10"/>
      <name val="SHREE_GUJ_OTF_0768"/>
      <charset val="1"/>
    </font>
    <font>
      <sz val="11"/>
      <color indexed="8"/>
      <name val="SHREE_GUJ_OTF_0768"/>
      <charset val="1"/>
    </font>
    <font>
      <sz val="1"/>
      <color theme="0"/>
      <name val="SHREE_GUJ_OTF_0768"/>
      <charset val="1"/>
    </font>
    <font>
      <sz val="10"/>
      <name val="SHREE_GUJ_OTF_0768"/>
      <charset val="1"/>
    </font>
    <font>
      <b/>
      <sz val="11"/>
      <color indexed="9"/>
      <name val="SHREE_GUJ_OTF_0768"/>
      <charset val="1"/>
    </font>
    <font>
      <sz val="12"/>
      <color theme="1"/>
      <name val="SHREE_GUJ_OTF_0768"/>
      <charset val="1"/>
    </font>
    <font>
      <sz val="11"/>
      <color theme="1"/>
      <name val="SHREE_GUJ_OTF_0768"/>
      <charset val="1"/>
    </font>
    <font>
      <b/>
      <sz val="14"/>
      <color indexed="8"/>
      <name val="SHREE_GUJ_OTF_0768"/>
      <charset val="1"/>
    </font>
    <font>
      <b/>
      <sz val="11"/>
      <color indexed="8"/>
      <name val="SHREE_GUJ_OTF_0768"/>
      <charset val="1"/>
    </font>
    <font>
      <b/>
      <sz val="11"/>
      <color rgb="FF0070C0"/>
      <name val="SHREE_GUJ_OTF_0768"/>
      <charset val="1"/>
    </font>
    <font>
      <b/>
      <sz val="10"/>
      <color indexed="8"/>
      <name val="SHREE_GUJ_OTF_0768"/>
      <charset val="1"/>
    </font>
    <font>
      <b/>
      <sz val="14"/>
      <color indexed="10"/>
      <name val="SHREE_GUJ_OTF_0768"/>
      <charset val="1"/>
    </font>
    <font>
      <sz val="11"/>
      <color rgb="FF000000"/>
      <name val="SHREE_GUJ_OTF_0768"/>
      <charset val="134"/>
    </font>
    <font>
      <b/>
      <u/>
      <sz val="12"/>
      <color rgb="FF000000"/>
      <name val="SHREE_GUJ_OTF_0768"/>
      <charset val="134"/>
    </font>
    <font>
      <sz val="8"/>
      <color indexed="8"/>
      <name val="SHREE_GUJ_OTF_0768"/>
      <charset val="1"/>
    </font>
    <font>
      <sz val="9"/>
      <color indexed="8"/>
      <name val="SHREE_GUJ_OTF_0768"/>
      <charset val="1"/>
    </font>
    <font>
      <b/>
      <sz val="1"/>
      <color theme="0"/>
      <name val="SHREE_GUJ_OTF_0768"/>
      <charset val="1"/>
    </font>
    <font>
      <sz val="1"/>
      <color rgb="FFFFFFFF"/>
      <name val="SHREE_GUJ_OTF_0768"/>
      <charset val="134"/>
    </font>
    <font>
      <i/>
      <sz val="1"/>
      <color theme="0"/>
      <name val="SHREE_GUJ_OTF_0768"/>
      <charset val="1"/>
    </font>
    <font>
      <sz val="8"/>
      <color indexed="9"/>
      <name val="SHREE_GUJ_OTF_0768"/>
      <charset val="1"/>
    </font>
    <font>
      <sz val="1"/>
      <color indexed="9"/>
      <name val="SHREE_GUJ_OTF_0768"/>
      <charset val="1"/>
    </font>
    <font>
      <sz val="10"/>
      <color theme="1"/>
      <name val="SHREE_GUJ_OTF_0768"/>
      <charset val="134"/>
    </font>
    <font>
      <b/>
      <i/>
      <sz val="11"/>
      <color rgb="FFFFFFFF"/>
      <name val="SHREE_GUJ_OTF_0768"/>
      <charset val="134"/>
    </font>
    <font>
      <i/>
      <sz val="10"/>
      <color indexed="8"/>
      <name val="SHREE_GUJ_OTF_0768"/>
      <charset val="1"/>
    </font>
    <font>
      <sz val="10"/>
      <color rgb="FF000000"/>
      <name val="SHREE_GUJ_OTF_0768"/>
      <charset val="134"/>
    </font>
    <font>
      <u/>
      <sz val="10"/>
      <color indexed="8"/>
      <name val="SHREE_GUJ_OTF_0768"/>
      <charset val="1"/>
    </font>
    <font>
      <b/>
      <sz val="12"/>
      <color rgb="FF000000"/>
      <name val="SHREE_GUJ_OTF_0768"/>
      <charset val="134"/>
    </font>
    <font>
      <sz val="10"/>
      <color rgb="FFFFFFFF"/>
      <name val="SHREE_GUJ_OTF_0768"/>
      <charset val="134"/>
    </font>
    <font>
      <b/>
      <i/>
      <sz val="12"/>
      <color rgb="FFFFFFFF"/>
      <name val="SHREE_GUJ_OTF_0768"/>
      <charset val="134"/>
    </font>
    <font>
      <b/>
      <sz val="10"/>
      <color indexed="10"/>
      <name val="SHREE_GUJ_OTF_0768"/>
      <charset val="1"/>
    </font>
    <font>
      <sz val="10"/>
      <color theme="1"/>
      <name val="SHREE_GUJ_OTF_0768"/>
      <charset val="1"/>
    </font>
    <font>
      <sz val="1"/>
      <color theme="1"/>
      <name val="SHREE_GUJ_OTF_0768"/>
      <charset val="134"/>
    </font>
    <font>
      <sz val="8"/>
      <color theme="1"/>
      <name val="SHREE_GUJ_OTF_0768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‚l‚r ‚oƒSƒVƒbƒN"/>
      <charset val="128"/>
    </font>
    <font>
      <sz val="11"/>
      <color indexed="8"/>
      <name val="Calibri"/>
      <charset val="134"/>
    </font>
    <font>
      <sz val="12"/>
      <name val="¹UAAA¼"/>
      <charset val="129"/>
    </font>
    <font>
      <sz val="7"/>
      <name val="Helv"/>
      <charset val="134"/>
    </font>
    <font>
      <b/>
      <sz val="10"/>
      <name val="MS Sans Serif"/>
      <charset val="134"/>
    </font>
    <font>
      <u/>
      <sz val="10"/>
      <color indexed="12"/>
      <name val="Arial"/>
      <charset val="134"/>
    </font>
    <font>
      <u/>
      <sz val="11"/>
      <color indexed="12"/>
      <name val="Calibri"/>
      <charset val="134"/>
    </font>
    <font>
      <sz val="10"/>
      <name val="Courier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1"/>
      <color indexed="8"/>
      <name val="Arial"/>
      <charset val="134"/>
    </font>
    <font>
      <sz val="7"/>
      <color indexed="10"/>
      <name val="Helv"/>
      <charset val="134"/>
    </font>
    <font>
      <sz val="8"/>
      <color indexed="8"/>
      <name val="DevLys 010"/>
      <charset val="134"/>
    </font>
    <font>
      <sz val="14"/>
      <name val="뼻뮝"/>
      <charset val="129"/>
    </font>
    <font>
      <sz val="12"/>
      <name val="뼻뮝"/>
      <charset val="129"/>
    </font>
    <font>
      <sz val="12"/>
      <name val="바탕체"/>
      <charset val="129"/>
    </font>
    <font>
      <sz val="10"/>
      <name val="굴림체"/>
      <charset val="129"/>
    </font>
    <font>
      <b/>
      <sz val="35"/>
      <name val="SHREE_GUJ_OTF_0768"/>
      <charset val="1"/>
    </font>
    <font>
      <b/>
      <sz val="12"/>
      <color rgb="FFFFFF00"/>
      <name val="Arial"/>
      <charset val="134"/>
    </font>
    <font>
      <b/>
      <u/>
      <sz val="14"/>
      <color theme="1"/>
      <name val="Arial"/>
      <charset val="134"/>
    </font>
    <font>
      <sz val="10"/>
      <color rgb="FFFF0000"/>
      <name val="Arial"/>
      <charset val="134"/>
    </font>
    <font>
      <sz val="12"/>
      <color indexed="8"/>
      <name val="SHREE_GUJ_OTF_0768"/>
      <charset val="1"/>
    </font>
    <font>
      <b/>
      <u/>
      <sz val="14"/>
      <color indexed="8"/>
      <name val="SHREE_GUJ_OTF_0768"/>
      <charset val="1"/>
    </font>
    <font>
      <sz val="9"/>
      <color rgb="FF000000"/>
      <name val="Tahoma"/>
      <charset val="134"/>
    </font>
    <font>
      <b/>
      <sz val="9"/>
      <color rgb="FF000000"/>
      <name val="Tahoma"/>
      <charset val="134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540696432386"/>
        <bgColor indexed="64"/>
      </patternFill>
    </fill>
    <fill>
      <patternFill patternType="solid">
        <fgColor theme="0" tint="-0.04953154087954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B05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 style="thin">
        <color auto="1"/>
      </left>
      <right/>
      <top/>
      <bottom style="medium">
        <color rgb="FF00B05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medium">
        <color rgb="FF00B050"/>
      </right>
      <top/>
      <bottom/>
      <diagonal/>
    </border>
    <border>
      <left/>
      <right style="medium">
        <color rgb="FF00B050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</borders>
  <cellStyleXfs count="316">
    <xf numFmtId="0" fontId="0" fillId="0" borderId="0">
      <alignment vertical="center"/>
    </xf>
    <xf numFmtId="176" fontId="0" fillId="0" borderId="0">
      <protection locked="0"/>
    </xf>
    <xf numFmtId="177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178" fontId="73" fillId="0" borderId="0" applyFont="0" applyFill="0" applyBorder="0" applyAlignment="0" applyProtection="0">
      <alignment vertical="center"/>
    </xf>
    <xf numFmtId="179" fontId="73" fillId="0" borderId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3" fillId="10" borderId="30" applyNumberFormat="0" applyFon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31" applyNumberFormat="0" applyFill="0" applyAlignment="0" applyProtection="0">
      <alignment vertical="center"/>
    </xf>
    <xf numFmtId="0" fontId="80" fillId="0" borderId="31" applyNumberFormat="0" applyFill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11" borderId="33" applyNumberFormat="0" applyAlignment="0" applyProtection="0">
      <alignment vertical="center"/>
    </xf>
    <xf numFmtId="0" fontId="83" fillId="12" borderId="34" applyNumberFormat="0" applyAlignment="0" applyProtection="0">
      <alignment vertical="center"/>
    </xf>
    <xf numFmtId="0" fontId="84" fillId="12" borderId="33" applyNumberFormat="0" applyAlignment="0" applyProtection="0">
      <alignment vertical="center"/>
    </xf>
    <xf numFmtId="0" fontId="85" fillId="13" borderId="35" applyNumberFormat="0" applyAlignment="0" applyProtection="0">
      <alignment vertical="center"/>
    </xf>
    <xf numFmtId="0" fontId="86" fillId="0" borderId="36" applyNumberFormat="0" applyFill="0" applyAlignment="0" applyProtection="0">
      <alignment vertical="center"/>
    </xf>
    <xf numFmtId="0" fontId="87" fillId="0" borderId="37" applyNumberFormat="0" applyFill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1" fillId="17" borderId="0" applyNumberFormat="0" applyBorder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92" fillId="22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92" fillId="26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92" fillId="30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1" fillId="33" borderId="0" applyNumberFormat="0" applyBorder="0" applyAlignment="0" applyProtection="0">
      <alignment vertical="center"/>
    </xf>
    <xf numFmtId="0" fontId="92" fillId="34" borderId="0" applyNumberFormat="0" applyBorder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92" fillId="38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1" fillId="40" borderId="0" applyNumberFormat="0" applyBorder="0" applyAlignment="0" applyProtection="0">
      <alignment vertical="center"/>
    </xf>
    <xf numFmtId="0" fontId="0" fillId="0" borderId="0"/>
    <xf numFmtId="0" fontId="93" fillId="0" borderId="0"/>
    <xf numFmtId="0" fontId="94" fillId="41" borderId="0" applyNumberFormat="0" applyBorder="0" applyAlignment="0" applyProtection="0"/>
    <xf numFmtId="0" fontId="94" fillId="41" borderId="0" applyNumberFormat="0" applyBorder="0" applyAlignment="0" applyProtection="0"/>
    <xf numFmtId="0" fontId="94" fillId="41" borderId="0" applyNumberFormat="0" applyBorder="0" applyAlignment="0" applyProtection="0"/>
    <xf numFmtId="0" fontId="94" fillId="41" borderId="0" applyNumberFormat="0" applyBorder="0" applyAlignment="0" applyProtection="0"/>
    <xf numFmtId="0" fontId="94" fillId="41" borderId="0" applyNumberFormat="0" applyBorder="0" applyAlignment="0" applyProtection="0"/>
    <xf numFmtId="0" fontId="94" fillId="42" borderId="0" applyNumberFormat="0" applyBorder="0" applyAlignment="0" applyProtection="0"/>
    <xf numFmtId="0" fontId="94" fillId="42" borderId="0" applyNumberFormat="0" applyBorder="0" applyAlignment="0" applyProtection="0"/>
    <xf numFmtId="0" fontId="94" fillId="42" borderId="0" applyNumberFormat="0" applyBorder="0" applyAlignment="0" applyProtection="0"/>
    <xf numFmtId="0" fontId="94" fillId="42" borderId="0" applyNumberFormat="0" applyBorder="0" applyAlignment="0" applyProtection="0"/>
    <xf numFmtId="0" fontId="94" fillId="42" borderId="0" applyNumberFormat="0" applyBorder="0" applyAlignment="0" applyProtection="0"/>
    <xf numFmtId="0" fontId="94" fillId="43" borderId="0" applyNumberFormat="0" applyBorder="0" applyAlignment="0" applyProtection="0"/>
    <xf numFmtId="0" fontId="94" fillId="43" borderId="0" applyNumberFormat="0" applyBorder="0" applyAlignment="0" applyProtection="0"/>
    <xf numFmtId="0" fontId="94" fillId="43" borderId="0" applyNumberFormat="0" applyBorder="0" applyAlignment="0" applyProtection="0"/>
    <xf numFmtId="0" fontId="94" fillId="43" borderId="0" applyNumberFormat="0" applyBorder="0" applyAlignment="0" applyProtection="0"/>
    <xf numFmtId="0" fontId="94" fillId="43" borderId="0" applyNumberFormat="0" applyBorder="0" applyAlignment="0" applyProtection="0"/>
    <xf numFmtId="0" fontId="94" fillId="44" borderId="0" applyNumberFormat="0" applyBorder="0" applyAlignment="0" applyProtection="0"/>
    <xf numFmtId="0" fontId="94" fillId="44" borderId="0" applyNumberFormat="0" applyBorder="0" applyAlignment="0" applyProtection="0"/>
    <xf numFmtId="0" fontId="94" fillId="44" borderId="0" applyNumberFormat="0" applyBorder="0" applyAlignment="0" applyProtection="0"/>
    <xf numFmtId="0" fontId="94" fillId="44" borderId="0" applyNumberFormat="0" applyBorder="0" applyAlignment="0" applyProtection="0"/>
    <xf numFmtId="0" fontId="94" fillId="44" borderId="0" applyNumberFormat="0" applyBorder="0" applyAlignment="0" applyProtection="0"/>
    <xf numFmtId="0" fontId="94" fillId="45" borderId="0" applyNumberFormat="0" applyBorder="0" applyAlignment="0" applyProtection="0"/>
    <xf numFmtId="0" fontId="94" fillId="45" borderId="0" applyNumberFormat="0" applyBorder="0" applyAlignment="0" applyProtection="0"/>
    <xf numFmtId="0" fontId="94" fillId="45" borderId="0" applyNumberFormat="0" applyBorder="0" applyAlignment="0" applyProtection="0"/>
    <xf numFmtId="0" fontId="94" fillId="45" borderId="0" applyNumberFormat="0" applyBorder="0" applyAlignment="0" applyProtection="0"/>
    <xf numFmtId="0" fontId="94" fillId="45" borderId="0" applyNumberFormat="0" applyBorder="0" applyAlignment="0" applyProtection="0"/>
    <xf numFmtId="0" fontId="94" fillId="46" borderId="0" applyNumberFormat="0" applyBorder="0" applyAlignment="0" applyProtection="0"/>
    <xf numFmtId="0" fontId="94" fillId="46" borderId="0" applyNumberFormat="0" applyBorder="0" applyAlignment="0" applyProtection="0"/>
    <xf numFmtId="0" fontId="94" fillId="46" borderId="0" applyNumberFormat="0" applyBorder="0" applyAlignment="0" applyProtection="0"/>
    <xf numFmtId="0" fontId="94" fillId="46" borderId="0" applyNumberFormat="0" applyBorder="0" applyAlignment="0" applyProtection="0"/>
    <xf numFmtId="0" fontId="94" fillId="46" borderId="0" applyNumberFormat="0" applyBorder="0" applyAlignment="0" applyProtection="0"/>
    <xf numFmtId="0" fontId="94" fillId="47" borderId="0" applyNumberFormat="0" applyBorder="0" applyAlignment="0" applyProtection="0"/>
    <xf numFmtId="0" fontId="94" fillId="47" borderId="0" applyNumberFormat="0" applyBorder="0" applyAlignment="0" applyProtection="0"/>
    <xf numFmtId="0" fontId="94" fillId="47" borderId="0" applyNumberFormat="0" applyBorder="0" applyAlignment="0" applyProtection="0"/>
    <xf numFmtId="0" fontId="94" fillId="47" borderId="0" applyNumberFormat="0" applyBorder="0" applyAlignment="0" applyProtection="0"/>
    <xf numFmtId="0" fontId="94" fillId="47" borderId="0" applyNumberFormat="0" applyBorder="0" applyAlignment="0" applyProtection="0"/>
    <xf numFmtId="0" fontId="94" fillId="48" borderId="0" applyNumberFormat="0" applyBorder="0" applyAlignment="0" applyProtection="0"/>
    <xf numFmtId="0" fontId="94" fillId="48" borderId="0" applyNumberFormat="0" applyBorder="0" applyAlignment="0" applyProtection="0"/>
    <xf numFmtId="0" fontId="94" fillId="48" borderId="0" applyNumberFormat="0" applyBorder="0" applyAlignment="0" applyProtection="0"/>
    <xf numFmtId="0" fontId="94" fillId="48" borderId="0" applyNumberFormat="0" applyBorder="0" applyAlignment="0" applyProtection="0"/>
    <xf numFmtId="0" fontId="94" fillId="48" borderId="0" applyNumberFormat="0" applyBorder="0" applyAlignment="0" applyProtection="0"/>
    <xf numFmtId="0" fontId="94" fillId="49" borderId="0" applyNumberFormat="0" applyBorder="0" applyAlignment="0" applyProtection="0"/>
    <xf numFmtId="0" fontId="94" fillId="49" borderId="0" applyNumberFormat="0" applyBorder="0" applyAlignment="0" applyProtection="0"/>
    <xf numFmtId="0" fontId="94" fillId="49" borderId="0" applyNumberFormat="0" applyBorder="0" applyAlignment="0" applyProtection="0"/>
    <xf numFmtId="0" fontId="94" fillId="49" borderId="0" applyNumberFormat="0" applyBorder="0" applyAlignment="0" applyProtection="0"/>
    <xf numFmtId="0" fontId="94" fillId="49" borderId="0" applyNumberFormat="0" applyBorder="0" applyAlignment="0" applyProtection="0"/>
    <xf numFmtId="0" fontId="94" fillId="50" borderId="0" applyNumberFormat="0" applyBorder="0" applyAlignment="0" applyProtection="0"/>
    <xf numFmtId="0" fontId="94" fillId="50" borderId="0" applyNumberFormat="0" applyBorder="0" applyAlignment="0" applyProtection="0"/>
    <xf numFmtId="0" fontId="94" fillId="50" borderId="0" applyNumberFormat="0" applyBorder="0" applyAlignment="0" applyProtection="0"/>
    <xf numFmtId="0" fontId="94" fillId="50" borderId="0" applyNumberFormat="0" applyBorder="0" applyAlignment="0" applyProtection="0"/>
    <xf numFmtId="0" fontId="94" fillId="50" borderId="0" applyNumberFormat="0" applyBorder="0" applyAlignment="0" applyProtection="0"/>
    <xf numFmtId="0" fontId="94" fillId="51" borderId="0" applyNumberFormat="0" applyBorder="0" applyAlignment="0" applyProtection="0"/>
    <xf numFmtId="0" fontId="94" fillId="51" borderId="0" applyNumberFormat="0" applyBorder="0" applyAlignment="0" applyProtection="0"/>
    <xf numFmtId="0" fontId="94" fillId="51" borderId="0" applyNumberFormat="0" applyBorder="0" applyAlignment="0" applyProtection="0"/>
    <xf numFmtId="0" fontId="94" fillId="51" borderId="0" applyNumberFormat="0" applyBorder="0" applyAlignment="0" applyProtection="0"/>
    <xf numFmtId="0" fontId="94" fillId="51" borderId="0" applyNumberFormat="0" applyBorder="0" applyAlignment="0" applyProtection="0"/>
    <xf numFmtId="0" fontId="94" fillId="52" borderId="0" applyNumberFormat="0" applyBorder="0" applyAlignment="0" applyProtection="0"/>
    <xf numFmtId="0" fontId="94" fillId="52" borderId="0" applyNumberFormat="0" applyBorder="0" applyAlignment="0" applyProtection="0"/>
    <xf numFmtId="0" fontId="94" fillId="52" borderId="0" applyNumberFormat="0" applyBorder="0" applyAlignment="0" applyProtection="0"/>
    <xf numFmtId="0" fontId="94" fillId="52" borderId="0" applyNumberFormat="0" applyBorder="0" applyAlignment="0" applyProtection="0"/>
    <xf numFmtId="0" fontId="94" fillId="52" borderId="0" applyNumberFormat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3" fontId="96" fillId="0" borderId="0"/>
    <xf numFmtId="180" fontId="97" fillId="0" borderId="38" applyAlignment="0" applyProtection="0"/>
    <xf numFmtId="0" fontId="95" fillId="0" borderId="0"/>
    <xf numFmtId="0" fontId="95" fillId="0" borderId="0"/>
    <xf numFmtId="176" fontId="0" fillId="0" borderId="0">
      <protection locked="0"/>
    </xf>
    <xf numFmtId="176" fontId="0" fillId="0" borderId="0">
      <protection locked="0"/>
    </xf>
    <xf numFmtId="176" fontId="0" fillId="0" borderId="0">
      <protection locked="0"/>
    </xf>
    <xf numFmtId="176" fontId="0" fillId="0" borderId="0">
      <protection locked="0"/>
    </xf>
    <xf numFmtId="176" fontId="0" fillId="0" borderId="0">
      <protection locked="0"/>
    </xf>
    <xf numFmtId="176" fontId="0" fillId="0" borderId="0">
      <protection locked="0"/>
    </xf>
    <xf numFmtId="176" fontId="0" fillId="0" borderId="0">
      <protection locked="0"/>
    </xf>
    <xf numFmtId="176" fontId="0" fillId="0" borderId="0">
      <protection locked="0"/>
    </xf>
    <xf numFmtId="176" fontId="0" fillId="0" borderId="0">
      <protection locked="0"/>
    </xf>
    <xf numFmtId="176" fontId="0" fillId="0" borderId="0">
      <protection locked="0"/>
    </xf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94" fillId="0" borderId="0" applyFont="0" applyFill="0" applyBorder="0" applyAlignment="0" applyProtection="0"/>
    <xf numFmtId="176" fontId="0" fillId="0" borderId="0">
      <protection locked="0"/>
    </xf>
    <xf numFmtId="176" fontId="0" fillId="0" borderId="0">
      <protection locked="0"/>
    </xf>
    <xf numFmtId="176" fontId="0" fillId="0" borderId="0">
      <protection locked="0"/>
    </xf>
    <xf numFmtId="176" fontId="0" fillId="0" borderId="0">
      <protection locked="0"/>
    </xf>
    <xf numFmtId="3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2" fontId="0" fillId="0" borderId="0" applyFont="0" applyFill="0" applyBorder="0" applyAlignment="0" applyProtection="0"/>
    <xf numFmtId="0" fontId="35" fillId="53" borderId="0" applyNumberFormat="0" applyBorder="0" applyAlignment="0" applyProtection="0"/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98" fillId="0" borderId="0">
      <protection locked="0"/>
    </xf>
    <xf numFmtId="0" fontId="35" fillId="54" borderId="20" applyNumberFormat="0" applyBorder="0" applyAlignment="0" applyProtection="0"/>
    <xf numFmtId="184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0" fontId="100" fillId="0" borderId="0"/>
    <xf numFmtId="186" fontId="0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0" fillId="0" borderId="0">
      <alignment vertical="center"/>
    </xf>
    <xf numFmtId="0" fontId="0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94" fillId="0" borderId="0"/>
    <xf numFmtId="0" fontId="94" fillId="0" borderId="0"/>
    <xf numFmtId="0" fontId="94" fillId="0" borderId="0"/>
    <xf numFmtId="0" fontId="94" fillId="0" borderId="0">
      <protection locked="0"/>
    </xf>
    <xf numFmtId="0" fontId="94" fillId="0" borderId="0">
      <protection locked="0"/>
    </xf>
    <xf numFmtId="0" fontId="94" fillId="0" borderId="0"/>
    <xf numFmtId="0" fontId="94" fillId="0" borderId="0"/>
    <xf numFmtId="0" fontId="9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0" fillId="0" borderId="0"/>
    <xf numFmtId="0" fontId="0" fillId="0" borderId="0"/>
    <xf numFmtId="0" fontId="101" fillId="0" borderId="0">
      <protection locked="0"/>
    </xf>
    <xf numFmtId="0" fontId="101" fillId="0" borderId="0">
      <protection locked="0"/>
    </xf>
    <xf numFmtId="0" fontId="0" fillId="0" borderId="0"/>
    <xf numFmtId="0" fontId="0" fillId="0" borderId="0"/>
    <xf numFmtId="0" fontId="0" fillId="0" borderId="0"/>
    <xf numFmtId="0" fontId="0" fillId="0" borderId="0"/>
    <xf numFmtId="0" fontId="101" fillId="0" borderId="0">
      <protection locked="0"/>
    </xf>
    <xf numFmtId="0" fontId="101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>
      <protection locked="0"/>
    </xf>
    <xf numFmtId="0" fontId="94" fillId="0" borderId="0">
      <protection locked="0"/>
    </xf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0" fillId="0" borderId="0">
      <protection locked="0"/>
    </xf>
    <xf numFmtId="0" fontId="0" fillId="0" borderId="0">
      <protection locked="0"/>
    </xf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10" fontId="0" fillId="0" borderId="0" applyFont="0" applyFill="0" applyBorder="0" applyAlignment="0" applyProtection="0"/>
    <xf numFmtId="3" fontId="104" fillId="0" borderId="0"/>
    <xf numFmtId="0" fontId="105" fillId="0" borderId="20">
      <protection locked="0"/>
    </xf>
    <xf numFmtId="187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40" fontId="106" fillId="0" borderId="0" applyFont="0" applyFill="0" applyBorder="0" applyAlignment="0" applyProtection="0"/>
    <xf numFmtId="38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6" fillId="0" borderId="0" applyFont="0" applyFill="0" applyBorder="0" applyAlignment="0" applyProtection="0"/>
    <xf numFmtId="10" fontId="0" fillId="0" borderId="0" applyFont="0" applyFill="0" applyBorder="0" applyAlignment="0" applyProtection="0"/>
    <xf numFmtId="0" fontId="107" fillId="0" borderId="0"/>
    <xf numFmtId="189" fontId="0" fillId="0" borderId="0" applyFont="0" applyFill="0" applyBorder="0" applyAlignment="0" applyProtection="0"/>
    <xf numFmtId="190" fontId="0" fillId="0" borderId="0" applyFont="0" applyFill="0" applyBorder="0" applyAlignment="0" applyProtection="0"/>
    <xf numFmtId="191" fontId="108" fillId="0" borderId="0" applyFont="0" applyFill="0" applyBorder="0" applyAlignment="0" applyProtection="0"/>
    <xf numFmtId="192" fontId="108" fillId="0" borderId="0" applyFont="0" applyFill="0" applyBorder="0" applyAlignment="0" applyProtection="0"/>
    <xf numFmtId="0" fontId="109" fillId="0" borderId="0"/>
  </cellStyleXfs>
  <cellXfs count="37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Protection="1">
      <alignment vertical="center"/>
      <protection locked="0"/>
    </xf>
    <xf numFmtId="0" fontId="5" fillId="0" borderId="0" xfId="0" applyFont="1">
      <alignment vertical="center"/>
    </xf>
    <xf numFmtId="0" fontId="1" fillId="0" borderId="0" xfId="0" applyFont="1" applyProtection="1">
      <alignment vertical="center"/>
      <protection locked="0"/>
    </xf>
    <xf numFmtId="0" fontId="4" fillId="0" borderId="0" xfId="0" applyFont="1">
      <alignment vertical="center"/>
    </xf>
    <xf numFmtId="0" fontId="6" fillId="2" borderId="0" xfId="0" applyFont="1" applyFill="1" applyProtection="1">
      <alignment vertical="center"/>
      <protection hidden="1"/>
    </xf>
    <xf numFmtId="0" fontId="6" fillId="2" borderId="0" xfId="0" applyFont="1" applyFill="1">
      <alignment vertical="center"/>
    </xf>
    <xf numFmtId="0" fontId="6" fillId="2" borderId="0" xfId="236" applyFont="1" applyFill="1" applyAlignment="1" applyProtection="1">
      <alignment vertical="center"/>
      <protection hidden="1"/>
    </xf>
    <xf numFmtId="0" fontId="6" fillId="2" borderId="0" xfId="208" applyFont="1" applyFill="1" applyProtection="1">
      <protection hidden="1"/>
    </xf>
    <xf numFmtId="0" fontId="6" fillId="2" borderId="0" xfId="236" applyFont="1" applyFill="1" applyAlignment="1" applyProtection="1">
      <alignment horizontal="center" vertical="center"/>
      <protection hidden="1"/>
    </xf>
    <xf numFmtId="2" fontId="6" fillId="2" borderId="0" xfId="208" applyNumberFormat="1" applyFont="1" applyFill="1" applyProtection="1">
      <protection hidden="1"/>
    </xf>
    <xf numFmtId="0" fontId="6" fillId="2" borderId="0" xfId="236" applyFont="1" applyFill="1" applyAlignment="1" applyProtection="1">
      <alignment horizontal="left" vertical="center" wrapText="1"/>
      <protection hidden="1"/>
    </xf>
    <xf numFmtId="0" fontId="7" fillId="2" borderId="0" xfId="208" applyFont="1" applyFill="1" applyProtection="1">
      <protection hidden="1"/>
    </xf>
    <xf numFmtId="0" fontId="6" fillId="2" borderId="0" xfId="236" applyFont="1" applyFill="1" applyAlignment="1" applyProtection="1">
      <alignment horizontal="left"/>
      <protection hidden="1"/>
    </xf>
    <xf numFmtId="0" fontId="6" fillId="2" borderId="0" xfId="236" applyFont="1" applyFill="1" applyAlignment="1" applyProtection="1">
      <alignment horizontal="left" vertical="center"/>
      <protection hidden="1"/>
    </xf>
    <xf numFmtId="49" fontId="6" fillId="2" borderId="0" xfId="236" applyNumberFormat="1" applyFont="1" applyFill="1" applyAlignment="1" applyProtection="1">
      <alignment horizontal="left"/>
      <protection hidden="1"/>
    </xf>
    <xf numFmtId="0" fontId="8" fillId="3" borderId="0" xfId="0" applyFont="1" applyFill="1" applyProtection="1">
      <alignment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10" fillId="2" borderId="0" xfId="0" applyFont="1" applyFill="1" applyProtection="1">
      <alignment vertical="center"/>
      <protection hidden="1"/>
    </xf>
    <xf numFmtId="0" fontId="11" fillId="2" borderId="0" xfId="0" applyFont="1" applyFill="1" applyProtection="1">
      <alignment vertical="center"/>
      <protection hidden="1"/>
    </xf>
    <xf numFmtId="0" fontId="12" fillId="2" borderId="0" xfId="0" applyFont="1" applyFill="1" applyProtection="1">
      <alignment vertical="center"/>
      <protection hidden="1"/>
    </xf>
    <xf numFmtId="0" fontId="13" fillId="2" borderId="0" xfId="0" applyFont="1" applyFill="1" applyProtection="1">
      <alignment vertical="center"/>
      <protection hidden="1"/>
    </xf>
    <xf numFmtId="0" fontId="0" fillId="3" borderId="0" xfId="0" applyFill="1" applyProtection="1">
      <alignment vertical="center"/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14" fillId="2" borderId="0" xfId="0" applyFont="1" applyFill="1" applyProtection="1">
      <alignment vertical="center"/>
      <protection hidden="1"/>
    </xf>
    <xf numFmtId="0" fontId="9" fillId="2" borderId="0" xfId="0" applyFont="1" applyFill="1" applyProtection="1">
      <alignment vertical="center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0" fontId="9" fillId="3" borderId="0" xfId="0" applyFont="1" applyFill="1" applyProtection="1">
      <alignment vertical="center"/>
      <protection hidden="1"/>
    </xf>
    <xf numFmtId="0" fontId="16" fillId="2" borderId="1" xfId="0" applyFont="1" applyFill="1" applyBorder="1" applyProtection="1">
      <alignment vertical="center"/>
      <protection hidden="1"/>
    </xf>
    <xf numFmtId="0" fontId="17" fillId="2" borderId="2" xfId="0" applyFont="1" applyFill="1" applyBorder="1" applyAlignment="1" applyProtection="1">
      <alignment horizontal="center" vertical="center"/>
      <protection hidden="1"/>
    </xf>
    <xf numFmtId="0" fontId="16" fillId="2" borderId="3" xfId="0" applyFont="1" applyFill="1" applyBorder="1" applyProtection="1">
      <alignment vertical="center"/>
      <protection hidden="1"/>
    </xf>
    <xf numFmtId="0" fontId="18" fillId="2" borderId="0" xfId="0" applyFont="1" applyFill="1" applyAlignment="1" applyProtection="1">
      <alignment horizontal="left" vertical="center"/>
      <protection hidden="1"/>
    </xf>
    <xf numFmtId="0" fontId="9" fillId="3" borderId="0" xfId="0" applyFont="1" applyFill="1" applyAlignment="1" applyProtection="1">
      <alignment horizontal="center" vertical="center"/>
      <protection hidden="1"/>
    </xf>
    <xf numFmtId="0" fontId="9" fillId="2" borderId="3" xfId="0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9" fillId="2" borderId="4" xfId="0" applyFont="1" applyFill="1" applyBorder="1" applyAlignment="1" applyProtection="1">
      <alignment horizontal="center" vertical="center"/>
      <protection hidden="1"/>
    </xf>
    <xf numFmtId="0" fontId="9" fillId="2" borderId="3" xfId="0" applyFont="1" applyFill="1" applyBorder="1" applyProtection="1">
      <alignment vertical="center"/>
      <protection hidden="1"/>
    </xf>
    <xf numFmtId="0" fontId="9" fillId="2" borderId="0" xfId="0" applyFont="1" applyFill="1" applyAlignment="1" applyProtection="1">
      <alignment horizontal="left" vertical="center" readingOrder="1"/>
      <protection hidden="1"/>
    </xf>
    <xf numFmtId="0" fontId="9" fillId="2" borderId="5" xfId="0" applyFont="1" applyFill="1" applyBorder="1" applyProtection="1">
      <alignment vertical="center"/>
      <protection hidden="1"/>
    </xf>
    <xf numFmtId="0" fontId="9" fillId="2" borderId="6" xfId="0" applyFont="1" applyFill="1" applyBorder="1" applyAlignment="1" applyProtection="1">
      <alignment horizontal="center" vertical="center"/>
      <protection hidden="1"/>
    </xf>
    <xf numFmtId="0" fontId="19" fillId="2" borderId="6" xfId="0" applyFont="1" applyFill="1" applyBorder="1" applyAlignment="1" applyProtection="1">
      <alignment horizontal="left" vertical="center" wrapText="1"/>
      <protection hidden="1"/>
    </xf>
    <xf numFmtId="0" fontId="9" fillId="2" borderId="6" xfId="0" applyFont="1" applyFill="1" applyBorder="1" applyAlignment="1" applyProtection="1">
      <alignment horizontal="left" vertical="center" wrapText="1"/>
      <protection hidden="1"/>
    </xf>
    <xf numFmtId="0" fontId="19" fillId="2" borderId="0" xfId="0" applyFont="1" applyFill="1" applyAlignment="1" applyProtection="1">
      <alignment horizontal="left" vertical="center" wrapText="1"/>
      <protection hidden="1"/>
    </xf>
    <xf numFmtId="0" fontId="9" fillId="2" borderId="0" xfId="0" applyFont="1" applyFill="1" applyAlignment="1" applyProtection="1">
      <alignment horizontal="left" vertical="center" wrapText="1"/>
      <protection hidden="1"/>
    </xf>
    <xf numFmtId="193" fontId="9" fillId="2" borderId="0" xfId="0" applyNumberFormat="1" applyFont="1" applyFill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right" vertical="center"/>
      <protection hidden="1"/>
    </xf>
    <xf numFmtId="0" fontId="20" fillId="2" borderId="0" xfId="212" applyFont="1" applyFill="1" applyAlignment="1" applyProtection="1">
      <alignment horizontal="left" vertical="center"/>
      <protection hidden="1"/>
    </xf>
    <xf numFmtId="0" fontId="21" fillId="2" borderId="0" xfId="0" applyFont="1" applyFill="1" applyAlignment="1" applyProtection="1">
      <alignment horizontal="right" vertical="center"/>
      <protection hidden="1"/>
    </xf>
    <xf numFmtId="0" fontId="21" fillId="2" borderId="0" xfId="0" applyFont="1" applyFill="1" applyProtection="1">
      <alignment vertical="center"/>
      <protection hidden="1"/>
    </xf>
    <xf numFmtId="0" fontId="21" fillId="2" borderId="0" xfId="0" applyFont="1" applyFill="1" applyAlignment="1" applyProtection="1">
      <alignment horizontal="left" vertical="center"/>
      <protection hidden="1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7" xfId="0" applyFont="1" applyFill="1" applyBorder="1" applyProtection="1">
      <alignment vertical="center"/>
      <protection hidden="1"/>
    </xf>
    <xf numFmtId="0" fontId="9" fillId="2" borderId="8" xfId="0" applyFont="1" applyFill="1" applyBorder="1" applyAlignment="1" applyProtection="1">
      <alignment horizontal="left" vertical="center"/>
      <protection hidden="1"/>
    </xf>
    <xf numFmtId="0" fontId="9" fillId="2" borderId="8" xfId="0" applyFont="1" applyFill="1" applyBorder="1" applyProtection="1">
      <alignment vertical="center"/>
      <protection hidden="1"/>
    </xf>
    <xf numFmtId="0" fontId="22" fillId="3" borderId="0" xfId="0" applyFont="1" applyFill="1" applyProtection="1">
      <alignment vertical="center"/>
      <protection hidden="1"/>
    </xf>
    <xf numFmtId="0" fontId="23" fillId="3" borderId="0" xfId="0" applyFont="1" applyFill="1" applyAlignment="1" applyProtection="1">
      <alignment horizontal="left" vertical="center" readingOrder="1"/>
      <protection hidden="1"/>
    </xf>
    <xf numFmtId="0" fontId="23" fillId="3" borderId="0" xfId="0" applyFont="1" applyFill="1" applyAlignment="1" applyProtection="1">
      <alignment horizontal="left" vertical="center"/>
      <protection hidden="1"/>
    </xf>
    <xf numFmtId="0" fontId="23" fillId="3" borderId="0" xfId="0" applyFont="1" applyFill="1" applyProtection="1">
      <alignment vertical="center"/>
      <protection hidden="1"/>
    </xf>
    <xf numFmtId="0" fontId="24" fillId="4" borderId="9" xfId="0" applyFont="1" applyFill="1" applyBorder="1" applyAlignment="1" applyProtection="1">
      <alignment horizontal="center" vertical="center"/>
      <protection locked="0"/>
    </xf>
    <xf numFmtId="0" fontId="24" fillId="4" borderId="8" xfId="0" applyFont="1" applyFill="1" applyBorder="1" applyAlignment="1" applyProtection="1">
      <alignment horizontal="center" vertical="center"/>
      <protection locked="0"/>
    </xf>
    <xf numFmtId="193" fontId="24" fillId="3" borderId="8" xfId="0" applyNumberFormat="1" applyFont="1" applyFill="1" applyBorder="1" applyAlignment="1" applyProtection="1">
      <alignment horizontal="center" vertical="center" wrapText="1"/>
      <protection hidden="1"/>
    </xf>
    <xf numFmtId="0" fontId="25" fillId="3" borderId="8" xfId="0" applyFont="1" applyFill="1" applyBorder="1" applyAlignment="1" applyProtection="1">
      <alignment horizontal="center" vertical="center" wrapText="1"/>
      <protection hidden="1"/>
    </xf>
    <xf numFmtId="0" fontId="9" fillId="2" borderId="6" xfId="0" applyFont="1" applyFill="1" applyBorder="1" applyAlignment="1" applyProtection="1">
      <alignment horizontal="left" vertical="center" readingOrder="1"/>
      <protection hidden="1"/>
    </xf>
    <xf numFmtId="0" fontId="9" fillId="2" borderId="10" xfId="0" applyFont="1" applyFill="1" applyBorder="1" applyAlignment="1" applyProtection="1">
      <alignment horizontal="left" vertical="center"/>
      <protection hidden="1"/>
    </xf>
    <xf numFmtId="0" fontId="9" fillId="2" borderId="10" xfId="0" applyFont="1" applyFill="1" applyBorder="1" applyAlignment="1" applyProtection="1">
      <alignment horizontal="left" vertical="center" readingOrder="1"/>
      <protection hidden="1"/>
    </xf>
    <xf numFmtId="0" fontId="9" fillId="2" borderId="0" xfId="0" applyFont="1" applyFill="1" applyAlignment="1" applyProtection="1">
      <alignment horizontal="center" vertical="center" readingOrder="1"/>
      <protection hidden="1"/>
    </xf>
    <xf numFmtId="194" fontId="9" fillId="2" borderId="6" xfId="0" applyNumberFormat="1" applyFont="1" applyFill="1" applyBorder="1" applyAlignment="1" applyProtection="1">
      <alignment horizontal="right" vertical="center"/>
      <protection hidden="1"/>
    </xf>
    <xf numFmtId="194" fontId="9" fillId="2" borderId="11" xfId="0" applyNumberFormat="1" applyFont="1" applyFill="1" applyBorder="1" applyAlignment="1" applyProtection="1">
      <alignment horizontal="right" vertical="center"/>
      <protection hidden="1"/>
    </xf>
    <xf numFmtId="0" fontId="9" fillId="2" borderId="12" xfId="0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Protection="1">
      <alignment vertical="center"/>
      <protection hidden="1"/>
    </xf>
    <xf numFmtId="0" fontId="18" fillId="2" borderId="10" xfId="0" applyFont="1" applyFill="1" applyBorder="1" applyAlignment="1" applyProtection="1">
      <alignment horizontal="right" vertical="center"/>
      <protection hidden="1"/>
    </xf>
    <xf numFmtId="0" fontId="9" fillId="2" borderId="10" xfId="0" applyFont="1" applyFill="1" applyBorder="1" applyAlignment="1" applyProtection="1">
      <alignment horizontal="center" vertical="center" readingOrder="1"/>
      <protection hidden="1"/>
    </xf>
    <xf numFmtId="0" fontId="9" fillId="2" borderId="6" xfId="0" applyFont="1" applyFill="1" applyBorder="1" applyAlignment="1" applyProtection="1">
      <alignment horizontal="right" vertical="center" wrapText="1"/>
      <protection hidden="1"/>
    </xf>
    <xf numFmtId="0" fontId="9" fillId="2" borderId="0" xfId="0" applyFont="1" applyFill="1" applyAlignment="1" applyProtection="1">
      <alignment horizontal="right" vertical="center" wrapText="1"/>
      <protection hidden="1"/>
    </xf>
    <xf numFmtId="194" fontId="9" fillId="2" borderId="10" xfId="1" applyNumberFormat="1" applyFont="1" applyFill="1" applyBorder="1" applyAlignment="1" applyProtection="1">
      <alignment horizontal="right" vertical="center"/>
      <protection hidden="1"/>
    </xf>
    <xf numFmtId="194" fontId="9" fillId="4" borderId="10" xfId="1" applyNumberFormat="1" applyFont="1" applyFill="1" applyBorder="1" applyAlignment="1">
      <alignment horizontal="right" vertical="center"/>
      <protection locked="0"/>
    </xf>
    <xf numFmtId="0" fontId="27" fillId="2" borderId="0" xfId="0" applyFont="1" applyFill="1" applyAlignment="1" applyProtection="1">
      <alignment horizontal="right" vertical="center"/>
      <protection hidden="1"/>
    </xf>
    <xf numFmtId="194" fontId="28" fillId="2" borderId="13" xfId="0" applyNumberFormat="1" applyFont="1" applyFill="1" applyBorder="1" applyAlignment="1" applyProtection="1">
      <alignment horizontal="center" vertical="center"/>
      <protection hidden="1"/>
    </xf>
    <xf numFmtId="194" fontId="28" fillId="2" borderId="14" xfId="0" applyNumberFormat="1" applyFont="1" applyFill="1" applyBorder="1" applyAlignment="1" applyProtection="1">
      <alignment horizontal="center" vertical="center"/>
      <protection hidden="1"/>
    </xf>
    <xf numFmtId="195" fontId="9" fillId="2" borderId="0" xfId="1" applyNumberFormat="1" applyFont="1" applyFill="1" applyAlignment="1" applyProtection="1">
      <alignment horizontal="right" vertical="center"/>
      <protection hidden="1"/>
    </xf>
    <xf numFmtId="194" fontId="9" fillId="2" borderId="10" xfId="0" applyNumberFormat="1" applyFont="1" applyFill="1" applyBorder="1" applyAlignment="1" applyProtection="1">
      <alignment horizontal="right" vertical="center"/>
      <protection hidden="1"/>
    </xf>
    <xf numFmtId="194" fontId="9" fillId="4" borderId="10" xfId="0" applyNumberFormat="1" applyFont="1" applyFill="1" applyBorder="1" applyAlignment="1" applyProtection="1">
      <alignment horizontal="right" vertical="center"/>
      <protection locked="0"/>
    </xf>
    <xf numFmtId="0" fontId="12" fillId="2" borderId="0" xfId="0" applyFont="1" applyFill="1" applyAlignment="1" applyProtection="1">
      <alignment horizontal="center" vertical="center"/>
      <protection hidden="1"/>
    </xf>
    <xf numFmtId="176" fontId="9" fillId="2" borderId="10" xfId="1" applyFont="1" applyFill="1" applyBorder="1" applyAlignment="1" applyProtection="1">
      <alignment horizontal="right" vertical="center"/>
      <protection hidden="1"/>
    </xf>
    <xf numFmtId="0" fontId="9" fillId="3" borderId="0" xfId="0" applyFont="1" applyFill="1" applyAlignment="1" applyProtection="1">
      <alignment vertical="center" wrapText="1"/>
      <protection hidden="1"/>
    </xf>
    <xf numFmtId="0" fontId="9" fillId="2" borderId="15" xfId="0" applyFont="1" applyFill="1" applyBorder="1" applyAlignment="1" applyProtection="1">
      <alignment vertical="center" wrapText="1"/>
      <protection hidden="1"/>
    </xf>
    <xf numFmtId="0" fontId="9" fillId="2" borderId="16" xfId="0" applyFont="1" applyFill="1" applyBorder="1" applyAlignment="1" applyProtection="1">
      <alignment vertical="center" wrapText="1"/>
      <protection hidden="1"/>
    </xf>
    <xf numFmtId="0" fontId="9" fillId="2" borderId="16" xfId="0" applyFont="1" applyFill="1" applyBorder="1" applyAlignment="1" applyProtection="1">
      <alignment horizontal="center" vertical="center"/>
      <protection hidden="1"/>
    </xf>
    <xf numFmtId="0" fontId="9" fillId="2" borderId="16" xfId="0" applyFont="1" applyFill="1" applyBorder="1" applyProtection="1">
      <alignment vertical="center"/>
      <protection hidden="1"/>
    </xf>
    <xf numFmtId="0" fontId="9" fillId="2" borderId="17" xfId="0" applyFont="1" applyFill="1" applyBorder="1" applyProtection="1">
      <alignment vertical="center"/>
      <protection hidden="1"/>
    </xf>
    <xf numFmtId="194" fontId="28" fillId="2" borderId="10" xfId="1" applyNumberFormat="1" applyFont="1" applyFill="1" applyBorder="1" applyAlignment="1" applyProtection="1">
      <alignment horizontal="right" vertical="center"/>
      <protection hidden="1"/>
    </xf>
    <xf numFmtId="194" fontId="21" fillId="2" borderId="10" xfId="1" applyNumberFormat="1" applyFont="1" applyFill="1" applyBorder="1" applyAlignment="1" applyProtection="1">
      <alignment horizontal="right" vertical="center"/>
      <protection hidden="1"/>
    </xf>
    <xf numFmtId="196" fontId="9" fillId="2" borderId="0" xfId="1" applyNumberFormat="1" applyFont="1" applyFill="1" applyAlignment="1" applyProtection="1">
      <alignment horizontal="right" vertical="center"/>
      <protection hidden="1"/>
    </xf>
    <xf numFmtId="194" fontId="28" fillId="2" borderId="6" xfId="1" applyNumberFormat="1" applyFont="1" applyFill="1" applyBorder="1" applyAlignment="1" applyProtection="1">
      <alignment horizontal="right" vertical="center"/>
      <protection hidden="1"/>
    </xf>
    <xf numFmtId="194" fontId="28" fillId="2" borderId="12" xfId="1" applyNumberFormat="1" applyFont="1" applyFill="1" applyBorder="1" applyAlignment="1" applyProtection="1">
      <alignment horizontal="right" vertical="center"/>
      <protection hidden="1"/>
    </xf>
    <xf numFmtId="194" fontId="28" fillId="2" borderId="13" xfId="1" applyNumberFormat="1" applyFont="1" applyFill="1" applyBorder="1" applyAlignment="1" applyProtection="1">
      <alignment horizontal="right" vertical="center"/>
      <protection hidden="1"/>
    </xf>
    <xf numFmtId="194" fontId="28" fillId="2" borderId="14" xfId="1" applyNumberFormat="1" applyFont="1" applyFill="1" applyBorder="1" applyAlignment="1" applyProtection="1">
      <alignment horizontal="right" vertical="center"/>
      <protection hidden="1"/>
    </xf>
    <xf numFmtId="194" fontId="28" fillId="2" borderId="6" xfId="147" applyNumberFormat="1" applyFont="1" applyFill="1" applyBorder="1" applyAlignment="1" applyProtection="1">
      <alignment horizontal="right" vertical="center"/>
      <protection hidden="1"/>
    </xf>
    <xf numFmtId="194" fontId="9" fillId="2" borderId="11" xfId="141" applyNumberFormat="1" applyFont="1" applyFill="1" applyBorder="1" applyAlignment="1" applyProtection="1">
      <alignment horizontal="right" vertical="center"/>
      <protection hidden="1"/>
    </xf>
    <xf numFmtId="194" fontId="9" fillId="2" borderId="11" xfId="217" applyNumberFormat="1" applyFont="1" applyFill="1" applyBorder="1" applyAlignment="1" applyProtection="1">
      <alignment horizontal="right" vertical="center"/>
      <protection hidden="1"/>
    </xf>
    <xf numFmtId="194" fontId="9" fillId="2" borderId="18" xfId="153" applyNumberFormat="1" applyFont="1" applyFill="1" applyBorder="1" applyAlignment="1" applyProtection="1">
      <alignment horizontal="right" vertical="center"/>
      <protection hidden="1"/>
    </xf>
    <xf numFmtId="194" fontId="29" fillId="4" borderId="10" xfId="1" applyNumberFormat="1" applyFont="1" applyFill="1" applyBorder="1" applyAlignment="1">
      <alignment horizontal="right" vertical="center"/>
      <protection locked="0"/>
    </xf>
    <xf numFmtId="194" fontId="9" fillId="2" borderId="18" xfId="159" applyNumberFormat="1" applyFont="1" applyFill="1" applyBorder="1" applyAlignment="1" applyProtection="1">
      <alignment horizontal="right" vertical="center"/>
      <protection hidden="1"/>
    </xf>
    <xf numFmtId="0" fontId="9" fillId="2" borderId="8" xfId="0" applyFont="1" applyFill="1" applyBorder="1" applyAlignment="1" applyProtection="1">
      <alignment horizontal="right" vertical="center"/>
      <protection hidden="1"/>
    </xf>
    <xf numFmtId="0" fontId="9" fillId="2" borderId="19" xfId="0" applyFont="1" applyFill="1" applyBorder="1" applyProtection="1">
      <alignment vertical="center"/>
      <protection hidden="1"/>
    </xf>
    <xf numFmtId="0" fontId="30" fillId="3" borderId="0" xfId="0" applyFont="1" applyFill="1" applyProtection="1">
      <alignment vertical="center"/>
      <protection hidden="1"/>
    </xf>
    <xf numFmtId="0" fontId="14" fillId="2" borderId="0" xfId="0" applyFont="1" applyFill="1" applyAlignment="1" applyProtection="1">
      <alignment horizontal="center" vertical="center"/>
      <protection hidden="1"/>
    </xf>
    <xf numFmtId="194" fontId="14" fillId="2" borderId="0" xfId="212" applyNumberFormat="1" applyFont="1" applyFill="1" applyProtection="1">
      <alignment vertical="center"/>
      <protection hidden="1"/>
    </xf>
    <xf numFmtId="194" fontId="14" fillId="2" borderId="0" xfId="0" applyNumberFormat="1" applyFont="1" applyFill="1" applyProtection="1">
      <alignment vertical="center"/>
      <protection hidden="1"/>
    </xf>
    <xf numFmtId="0" fontId="14" fillId="2" borderId="0" xfId="213" applyFont="1" applyFill="1" applyProtection="1">
      <alignment vertical="center"/>
      <protection hidden="1"/>
    </xf>
    <xf numFmtId="194" fontId="9" fillId="3" borderId="0" xfId="0" applyNumberFormat="1" applyFont="1" applyFill="1" applyProtection="1">
      <alignment vertical="center"/>
      <protection hidden="1"/>
    </xf>
    <xf numFmtId="0" fontId="31" fillId="2" borderId="20" xfId="0" applyFont="1" applyFill="1" applyBorder="1" applyAlignment="1" applyProtection="1">
      <alignment vertical="center" wrapText="1"/>
      <protection hidden="1"/>
    </xf>
    <xf numFmtId="0" fontId="14" fillId="2" borderId="0" xfId="0" applyFont="1" applyFill="1" applyAlignment="1" applyProtection="1">
      <alignment horizontal="right" vertical="center"/>
      <protection hidden="1"/>
    </xf>
    <xf numFmtId="1" fontId="32" fillId="2" borderId="20" xfId="0" applyNumberFormat="1" applyFont="1" applyFill="1" applyBorder="1" applyAlignment="1" applyProtection="1">
      <alignment horizontal="right" vertical="center" wrapText="1"/>
      <protection hidden="1"/>
    </xf>
    <xf numFmtId="0" fontId="33" fillId="2" borderId="0" xfId="0" applyFont="1" applyFill="1" applyAlignment="1" applyProtection="1">
      <alignment horizontal="right"/>
      <protection hidden="1"/>
    </xf>
    <xf numFmtId="0" fontId="14" fillId="2" borderId="0" xfId="0" applyFont="1" applyFill="1" applyAlignment="1" applyProtection="1">
      <alignment horizontal="left" vertical="center"/>
      <protection hidden="1"/>
    </xf>
    <xf numFmtId="194" fontId="14" fillId="2" borderId="21" xfId="146" applyNumberFormat="1" applyFont="1" applyFill="1" applyBorder="1" applyAlignment="1" applyProtection="1">
      <alignment vertical="center"/>
      <protection hidden="1"/>
    </xf>
    <xf numFmtId="1" fontId="32" fillId="2" borderId="20" xfId="218" applyNumberFormat="1" applyFont="1" applyFill="1" applyBorder="1" applyAlignment="1" applyProtection="1">
      <alignment horizontal="right" vertical="center" wrapText="1"/>
      <protection hidden="1"/>
    </xf>
    <xf numFmtId="1" fontId="34" fillId="3" borderId="20" xfId="216" applyNumberFormat="1" applyFont="1" applyFill="1" applyBorder="1" applyAlignment="1" applyProtection="1">
      <alignment horizontal="right" vertical="center" wrapText="1"/>
      <protection hidden="1"/>
    </xf>
    <xf numFmtId="1" fontId="32" fillId="2" borderId="20" xfId="219" applyNumberFormat="1" applyFont="1" applyFill="1" applyBorder="1" applyAlignment="1" applyProtection="1">
      <alignment horizontal="right" vertical="center" wrapText="1"/>
      <protection hidden="1"/>
    </xf>
    <xf numFmtId="194" fontId="14" fillId="2" borderId="6" xfId="146" applyNumberFormat="1" applyFont="1" applyFill="1" applyBorder="1" applyAlignment="1" applyProtection="1">
      <alignment vertical="center"/>
      <protection hidden="1"/>
    </xf>
    <xf numFmtId="0" fontId="6" fillId="3" borderId="0" xfId="0" applyFont="1" applyFill="1" applyProtection="1">
      <alignment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23" fillId="3" borderId="0" xfId="0" applyFont="1" applyFill="1" applyAlignment="1" applyProtection="1">
      <alignment horizontal="center" vertical="center"/>
      <protection hidden="1"/>
    </xf>
    <xf numFmtId="193" fontId="23" fillId="3" borderId="0" xfId="0" applyNumberFormat="1" applyFont="1" applyFill="1" applyProtection="1">
      <alignment vertical="center"/>
      <protection hidden="1"/>
    </xf>
    <xf numFmtId="0" fontId="23" fillId="3" borderId="0" xfId="237" applyFont="1" applyFill="1" applyAlignment="1" applyProtection="1">
      <alignment horizontal="center" vertical="center"/>
      <protection hidden="1"/>
    </xf>
    <xf numFmtId="9" fontId="23" fillId="3" borderId="0" xfId="237" applyNumberFormat="1" applyFont="1" applyFill="1" applyAlignment="1" applyProtection="1">
      <alignment horizontal="center" vertical="center"/>
      <protection hidden="1"/>
    </xf>
    <xf numFmtId="0" fontId="23" fillId="3" borderId="0" xfId="0" applyFont="1" applyFill="1" applyAlignment="1" applyProtection="1">
      <alignment horizontal="right" vertical="center"/>
      <protection hidden="1"/>
    </xf>
    <xf numFmtId="193" fontId="23" fillId="3" borderId="0" xfId="0" applyNumberFormat="1" applyFont="1" applyFill="1" applyAlignment="1" applyProtection="1">
      <alignment horizontal="left" vertical="center"/>
      <protection hidden="1"/>
    </xf>
    <xf numFmtId="9" fontId="23" fillId="3" borderId="0" xfId="0" applyNumberFormat="1" applyFont="1" applyFill="1" applyAlignment="1" applyProtection="1">
      <alignment horizontal="left" vertical="center"/>
      <protection hidden="1"/>
    </xf>
    <xf numFmtId="9" fontId="23" fillId="3" borderId="0" xfId="0" applyNumberFormat="1" applyFont="1" applyFill="1" applyProtection="1">
      <alignment vertical="center"/>
      <protection hidden="1"/>
    </xf>
    <xf numFmtId="195" fontId="23" fillId="3" borderId="0" xfId="0" applyNumberFormat="1" applyFont="1" applyFill="1" applyProtection="1">
      <alignment vertical="center"/>
      <protection hidden="1"/>
    </xf>
    <xf numFmtId="194" fontId="23" fillId="3" borderId="0" xfId="129" applyNumberFormat="1" applyFont="1" applyFill="1" applyBorder="1" applyAlignment="1" applyProtection="1">
      <alignment vertical="center"/>
      <protection hidden="1"/>
    </xf>
    <xf numFmtId="1" fontId="23" fillId="3" borderId="0" xfId="0" applyNumberFormat="1" applyFont="1" applyFill="1" applyAlignment="1" applyProtection="1">
      <alignment horizontal="center" vertical="center"/>
      <protection hidden="1"/>
    </xf>
    <xf numFmtId="0" fontId="23" fillId="3" borderId="0" xfId="0" applyFont="1" applyFill="1" applyAlignment="1" applyProtection="1">
      <alignment vertical="center" wrapText="1"/>
      <protection hidden="1"/>
    </xf>
    <xf numFmtId="1" fontId="23" fillId="3" borderId="0" xfId="0" applyNumberFormat="1" applyFont="1" applyFill="1" applyProtection="1">
      <alignment vertical="center"/>
      <protection hidden="1"/>
    </xf>
    <xf numFmtId="0" fontId="23" fillId="3" borderId="0" xfId="0" applyFont="1" applyFill="1" applyAlignment="1" applyProtection="1">
      <alignment horizontal="right" vertical="center" wrapText="1"/>
      <protection hidden="1"/>
    </xf>
    <xf numFmtId="0" fontId="35" fillId="3" borderId="0" xfId="0" applyFont="1" applyFill="1" applyProtection="1">
      <alignment vertical="center"/>
      <protection hidden="1"/>
    </xf>
    <xf numFmtId="0" fontId="35" fillId="3" borderId="0" xfId="0" applyFont="1" applyFill="1" applyAlignment="1" applyProtection="1">
      <alignment horizontal="center" vertical="center"/>
      <protection hidden="1"/>
    </xf>
    <xf numFmtId="0" fontId="36" fillId="3" borderId="0" xfId="0" applyFont="1" applyFill="1" applyProtection="1">
      <alignment vertical="center"/>
      <protection hidden="1"/>
    </xf>
    <xf numFmtId="0" fontId="36" fillId="3" borderId="0" xfId="0" applyFont="1" applyFill="1" applyAlignment="1" applyProtection="1">
      <alignment horizontal="center" vertical="center"/>
      <protection hidden="1"/>
    </xf>
    <xf numFmtId="0" fontId="35" fillId="3" borderId="0" xfId="0" applyFont="1" applyFill="1" applyAlignment="1" applyProtection="1">
      <alignment horizontal="right" vertical="center"/>
      <protection hidden="1"/>
    </xf>
    <xf numFmtId="0" fontId="36" fillId="3" borderId="0" xfId="0" applyFont="1" applyFill="1" applyAlignment="1" applyProtection="1">
      <alignment horizontal="right" vertical="center"/>
      <protection hidden="1"/>
    </xf>
    <xf numFmtId="0" fontId="37" fillId="3" borderId="0" xfId="0" applyFont="1" applyFill="1" applyProtection="1">
      <alignment vertical="center"/>
      <protection hidden="1"/>
    </xf>
    <xf numFmtId="0" fontId="38" fillId="5" borderId="0" xfId="0" applyFont="1" applyFill="1" applyProtection="1">
      <alignment vertical="center"/>
      <protection hidden="1"/>
    </xf>
    <xf numFmtId="0" fontId="39" fillId="5" borderId="0" xfId="0" applyFont="1" applyFill="1" applyProtection="1">
      <alignment vertical="center"/>
      <protection hidden="1"/>
    </xf>
    <xf numFmtId="0" fontId="40" fillId="5" borderId="0" xfId="0" applyFont="1" applyFill="1" applyProtection="1">
      <alignment vertical="center"/>
      <protection hidden="1"/>
    </xf>
    <xf numFmtId="0" fontId="41" fillId="5" borderId="0" xfId="0" applyFont="1" applyFill="1" applyAlignment="1" applyProtection="1">
      <alignment vertical="top"/>
      <protection hidden="1"/>
    </xf>
    <xf numFmtId="0" fontId="39" fillId="3" borderId="0" xfId="0" applyFont="1" applyFill="1" applyProtection="1">
      <alignment vertical="center"/>
      <protection hidden="1"/>
    </xf>
    <xf numFmtId="0" fontId="42" fillId="2" borderId="0" xfId="0" applyFont="1" applyFill="1" applyProtection="1">
      <alignment vertical="center"/>
      <protection hidden="1"/>
    </xf>
    <xf numFmtId="0" fontId="43" fillId="0" borderId="0" xfId="0" applyFont="1" applyProtection="1">
      <alignment vertical="center"/>
      <protection hidden="1"/>
    </xf>
    <xf numFmtId="0" fontId="44" fillId="3" borderId="0" xfId="0" applyFont="1" applyFill="1" applyAlignment="1" applyProtection="1">
      <alignment horizontal="right" vertical="center"/>
      <protection hidden="1"/>
    </xf>
    <xf numFmtId="0" fontId="45" fillId="4" borderId="0" xfId="0" applyFont="1" applyFill="1" applyAlignment="1" applyProtection="1">
      <alignment horizontal="center" vertical="center"/>
      <protection locked="0"/>
    </xf>
    <xf numFmtId="0" fontId="46" fillId="6" borderId="22" xfId="0" applyFont="1" applyFill="1" applyBorder="1" applyAlignment="1" applyProtection="1">
      <alignment horizontal="center" vertical="center"/>
      <protection hidden="1"/>
    </xf>
    <xf numFmtId="0" fontId="39" fillId="5" borderId="23" xfId="0" applyFont="1" applyFill="1" applyBorder="1" applyProtection="1">
      <alignment vertical="center"/>
      <protection hidden="1"/>
    </xf>
    <xf numFmtId="0" fontId="47" fillId="5" borderId="24" xfId="0" applyFont="1" applyFill="1" applyBorder="1" applyAlignment="1" applyProtection="1">
      <alignment horizontal="left" vertical="top"/>
      <protection hidden="1"/>
    </xf>
    <xf numFmtId="0" fontId="38" fillId="3" borderId="0" xfId="0" applyFont="1" applyFill="1" applyProtection="1">
      <alignment vertical="center"/>
      <protection hidden="1"/>
    </xf>
    <xf numFmtId="0" fontId="38" fillId="5" borderId="25" xfId="0" applyFont="1" applyFill="1" applyBorder="1" applyProtection="1">
      <alignment vertical="center"/>
      <protection hidden="1"/>
    </xf>
    <xf numFmtId="0" fontId="38" fillId="5" borderId="0" xfId="0" applyFont="1" applyFill="1" applyAlignment="1" applyProtection="1">
      <alignment horizontal="right" vertical="center"/>
      <protection hidden="1"/>
    </xf>
    <xf numFmtId="0" fontId="41" fillId="5" borderId="6" xfId="0" applyFont="1" applyFill="1" applyBorder="1" applyAlignment="1" applyProtection="1">
      <alignment horizontal="center" vertical="center"/>
      <protection hidden="1"/>
    </xf>
    <xf numFmtId="0" fontId="39" fillId="5" borderId="25" xfId="0" applyFont="1" applyFill="1" applyBorder="1" applyProtection="1">
      <alignment vertical="center"/>
      <protection hidden="1"/>
    </xf>
    <xf numFmtId="0" fontId="48" fillId="5" borderId="0" xfId="0" applyFont="1" applyFill="1" applyAlignment="1" applyProtection="1">
      <alignment vertical="top"/>
      <protection hidden="1"/>
    </xf>
    <xf numFmtId="0" fontId="47" fillId="5" borderId="6" xfId="0" applyFont="1" applyFill="1" applyBorder="1" applyAlignment="1" applyProtection="1">
      <alignment vertical="top"/>
      <protection hidden="1"/>
    </xf>
    <xf numFmtId="0" fontId="39" fillId="5" borderId="20" xfId="0" applyFont="1" applyFill="1" applyBorder="1" applyAlignment="1" applyProtection="1">
      <alignment horizontal="center" vertical="center" wrapText="1"/>
      <protection hidden="1"/>
    </xf>
    <xf numFmtId="0" fontId="39" fillId="5" borderId="20" xfId="0" applyFont="1" applyFill="1" applyBorder="1" applyAlignment="1" applyProtection="1">
      <protection hidden="1"/>
    </xf>
    <xf numFmtId="0" fontId="41" fillId="3" borderId="0" xfId="0" applyFont="1" applyFill="1" applyProtection="1">
      <alignment vertical="center"/>
      <protection hidden="1"/>
    </xf>
    <xf numFmtId="0" fontId="41" fillId="5" borderId="25" xfId="0" applyFont="1" applyFill="1" applyBorder="1" applyProtection="1">
      <alignment vertical="center"/>
      <protection hidden="1"/>
    </xf>
    <xf numFmtId="197" fontId="41" fillId="5" borderId="26" xfId="0" applyNumberFormat="1" applyFont="1" applyFill="1" applyBorder="1" applyAlignment="1" applyProtection="1">
      <alignment horizontal="left" vertical="center"/>
      <protection hidden="1"/>
    </xf>
    <xf numFmtId="197" fontId="41" fillId="5" borderId="27" xfId="0" applyNumberFormat="1" applyFont="1" applyFill="1" applyBorder="1" applyAlignment="1" applyProtection="1">
      <alignment horizontal="left" vertical="center"/>
      <protection hidden="1"/>
    </xf>
    <xf numFmtId="0" fontId="46" fillId="7" borderId="20" xfId="0" applyFont="1" applyFill="1" applyBorder="1" applyProtection="1">
      <alignment vertical="center"/>
      <protection locked="0"/>
    </xf>
    <xf numFmtId="198" fontId="41" fillId="5" borderId="26" xfId="258" applyNumberFormat="1" applyFont="1" applyFill="1" applyBorder="1" applyAlignment="1" applyProtection="1">
      <alignment horizontal="left" vertical="center"/>
      <protection hidden="1"/>
    </xf>
    <xf numFmtId="198" fontId="41" fillId="5" borderId="27" xfId="258" applyNumberFormat="1" applyFont="1" applyFill="1" applyBorder="1" applyAlignment="1" applyProtection="1">
      <alignment horizontal="left" vertical="center"/>
      <protection hidden="1"/>
    </xf>
    <xf numFmtId="0" fontId="40" fillId="3" borderId="0" xfId="0" applyFont="1" applyFill="1" applyAlignment="1" applyProtection="1">
      <alignment vertical="center" shrinkToFit="1"/>
      <protection hidden="1"/>
    </xf>
    <xf numFmtId="0" fontId="40" fillId="5" borderId="25" xfId="0" applyFont="1" applyFill="1" applyBorder="1" applyAlignment="1" applyProtection="1">
      <alignment vertical="center" shrinkToFit="1"/>
      <protection hidden="1"/>
    </xf>
    <xf numFmtId="199" fontId="40" fillId="5" borderId="20" xfId="0" applyNumberFormat="1" applyFont="1" applyFill="1" applyBorder="1" applyAlignment="1" applyProtection="1">
      <alignment horizontal="center" vertical="center" shrinkToFit="1"/>
      <protection hidden="1"/>
    </xf>
    <xf numFmtId="0" fontId="40" fillId="5" borderId="20" xfId="0" applyFont="1" applyFill="1" applyBorder="1" applyAlignment="1" applyProtection="1">
      <protection hidden="1"/>
    </xf>
    <xf numFmtId="0" fontId="40" fillId="5" borderId="20" xfId="0" applyFont="1" applyFill="1" applyBorder="1" applyProtection="1">
      <alignment vertical="center"/>
      <protection hidden="1"/>
    </xf>
    <xf numFmtId="199" fontId="39" fillId="5" borderId="0" xfId="0" applyNumberFormat="1" applyFont="1" applyFill="1" applyAlignment="1" applyProtection="1">
      <alignment horizontal="left" vertical="center"/>
      <protection hidden="1"/>
    </xf>
    <xf numFmtId="199" fontId="39" fillId="5" borderId="0" xfId="0" applyNumberFormat="1" applyFont="1" applyFill="1" applyAlignment="1" applyProtection="1">
      <alignment horizontal="right" vertical="center"/>
      <protection hidden="1"/>
    </xf>
    <xf numFmtId="0" fontId="39" fillId="5" borderId="0" xfId="0" applyFont="1" applyFill="1" applyAlignment="1" applyProtection="1">
      <alignment horizontal="right" vertical="center" wrapText="1"/>
      <protection hidden="1"/>
    </xf>
    <xf numFmtId="199" fontId="41" fillId="5" borderId="0" xfId="0" applyNumberFormat="1" applyFont="1" applyFill="1" applyAlignment="1" applyProtection="1">
      <alignment horizontal="center" vertical="center"/>
      <protection hidden="1"/>
    </xf>
    <xf numFmtId="196" fontId="49" fillId="8" borderId="6" xfId="0" applyNumberFormat="1" applyFont="1" applyFill="1" applyBorder="1" applyAlignment="1" applyProtection="1">
      <alignment horizontal="right" vertical="center"/>
      <protection locked="0"/>
    </xf>
    <xf numFmtId="0" fontId="41" fillId="5" borderId="0" xfId="0" applyFont="1" applyFill="1" applyAlignment="1" applyProtection="1">
      <alignment horizontal="center" vertical="center"/>
      <protection hidden="1"/>
    </xf>
    <xf numFmtId="0" fontId="41" fillId="5" borderId="0" xfId="0" applyFont="1" applyFill="1" applyAlignment="1" applyProtection="1">
      <alignment horizontal="center"/>
      <protection hidden="1"/>
    </xf>
    <xf numFmtId="0" fontId="39" fillId="8" borderId="6" xfId="0" applyFont="1" applyFill="1" applyBorder="1" applyAlignment="1" applyProtection="1">
      <alignment horizontal="left" vertical="center"/>
      <protection locked="0"/>
    </xf>
    <xf numFmtId="0" fontId="50" fillId="5" borderId="0" xfId="0" applyFont="1" applyFill="1" applyAlignment="1" applyProtection="1">
      <alignment horizontal="right" vertical="center"/>
      <protection hidden="1"/>
    </xf>
    <xf numFmtId="199" fontId="39" fillId="5" borderId="0" xfId="0" applyNumberFormat="1" applyFont="1" applyFill="1" applyAlignment="1" applyProtection="1">
      <alignment horizontal="center" vertical="center"/>
      <protection hidden="1"/>
    </xf>
    <xf numFmtId="0" fontId="39" fillId="5" borderId="0" xfId="0" applyFont="1" applyFill="1" applyAlignment="1" applyProtection="1">
      <alignment horizontal="right" vertical="center"/>
      <protection hidden="1"/>
    </xf>
    <xf numFmtId="0" fontId="39" fillId="5" borderId="0" xfId="0" applyFont="1" applyFill="1" applyAlignment="1" applyProtection="1">
      <alignment horizontal="center" vertical="center"/>
      <protection hidden="1"/>
    </xf>
    <xf numFmtId="199" fontId="38" fillId="5" borderId="0" xfId="0" applyNumberFormat="1" applyFont="1" applyFill="1" applyAlignment="1" applyProtection="1">
      <alignment horizontal="center" vertical="center"/>
      <protection hidden="1"/>
    </xf>
    <xf numFmtId="0" fontId="51" fillId="7" borderId="26" xfId="1" applyNumberFormat="1" applyFont="1" applyFill="1" applyBorder="1" applyAlignment="1" applyProtection="1">
      <alignment horizontal="center" vertical="center"/>
      <protection hidden="1"/>
    </xf>
    <xf numFmtId="0" fontId="51" fillId="7" borderId="27" xfId="1" applyNumberFormat="1" applyFont="1" applyFill="1" applyBorder="1" applyAlignment="1" applyProtection="1">
      <alignment horizontal="center" vertical="center"/>
      <protection hidden="1"/>
    </xf>
    <xf numFmtId="0" fontId="50" fillId="5" borderId="0" xfId="0" applyFont="1" applyFill="1" applyAlignment="1" applyProtection="1">
      <alignment horizontal="center" vertical="center" wrapText="1"/>
      <protection hidden="1"/>
    </xf>
    <xf numFmtId="199" fontId="39" fillId="5" borderId="0" xfId="0" applyNumberFormat="1" applyFont="1" applyFill="1" applyProtection="1">
      <alignment vertical="center"/>
      <protection hidden="1"/>
    </xf>
    <xf numFmtId="176" fontId="50" fillId="5" borderId="0" xfId="0" applyNumberFormat="1" applyFont="1" applyFill="1" applyProtection="1">
      <alignment vertical="center"/>
      <protection hidden="1"/>
    </xf>
    <xf numFmtId="0" fontId="39" fillId="5" borderId="0" xfId="0" applyFont="1" applyFill="1" applyAlignment="1" applyProtection="1">
      <alignment vertical="center" wrapText="1"/>
      <protection hidden="1"/>
    </xf>
    <xf numFmtId="0" fontId="41" fillId="5" borderId="0" xfId="0" applyFont="1" applyFill="1" applyAlignment="1" applyProtection="1">
      <alignment horizontal="left" vertical="center"/>
      <protection hidden="1"/>
    </xf>
    <xf numFmtId="0" fontId="41" fillId="5" borderId="0" xfId="0" applyFont="1" applyFill="1" applyAlignment="1" applyProtection="1">
      <alignment horizontal="right" vertical="center"/>
      <protection hidden="1"/>
    </xf>
    <xf numFmtId="0" fontId="41" fillId="5" borderId="0" xfId="0" applyFont="1" applyFill="1" applyProtection="1">
      <alignment vertical="center"/>
      <protection hidden="1"/>
    </xf>
    <xf numFmtId="0" fontId="52" fillId="9" borderId="0" xfId="0" applyFont="1" applyFill="1">
      <alignment vertical="center"/>
    </xf>
    <xf numFmtId="0" fontId="52" fillId="5" borderId="0" xfId="0" applyFont="1" applyFill="1">
      <alignment vertical="center"/>
    </xf>
    <xf numFmtId="0" fontId="52" fillId="5" borderId="0" xfId="0" applyFont="1" applyFill="1" applyAlignment="1">
      <alignment horizontal="right" vertical="center"/>
    </xf>
    <xf numFmtId="0" fontId="53" fillId="5" borderId="0" xfId="0" applyFont="1" applyFill="1" applyAlignment="1">
      <alignment horizontal="center" vertical="center"/>
    </xf>
    <xf numFmtId="0" fontId="41" fillId="3" borderId="0" xfId="0" applyFont="1" applyFill="1" applyAlignment="1" applyProtection="1">
      <alignment vertical="top"/>
      <protection hidden="1"/>
    </xf>
    <xf numFmtId="0" fontId="41" fillId="5" borderId="25" xfId="0" applyFont="1" applyFill="1" applyBorder="1" applyAlignment="1" applyProtection="1">
      <alignment vertical="top"/>
      <protection hidden="1"/>
    </xf>
    <xf numFmtId="0" fontId="41" fillId="5" borderId="0" xfId="0" applyFont="1" applyFill="1" applyAlignment="1" applyProtection="1">
      <alignment horizontal="left" vertical="top"/>
      <protection hidden="1"/>
    </xf>
    <xf numFmtId="200" fontId="41" fillId="2" borderId="6" xfId="0" applyNumberFormat="1" applyFont="1" applyFill="1" applyBorder="1" applyAlignment="1" applyProtection="1">
      <alignment horizontal="left" vertical="top"/>
      <protection hidden="1"/>
    </xf>
    <xf numFmtId="0" fontId="41" fillId="8" borderId="6" xfId="0" applyFont="1" applyFill="1" applyBorder="1" applyAlignment="1" applyProtection="1">
      <alignment horizontal="left" vertical="top" wrapText="1"/>
      <protection locked="0"/>
    </xf>
    <xf numFmtId="0" fontId="46" fillId="6" borderId="0" xfId="0" applyFont="1" applyFill="1" applyProtection="1">
      <alignment vertical="center"/>
      <protection hidden="1"/>
    </xf>
    <xf numFmtId="0" fontId="46" fillId="3" borderId="0" xfId="0" applyFont="1" applyFill="1" applyProtection="1">
      <alignment vertical="center"/>
      <protection hidden="1"/>
    </xf>
    <xf numFmtId="0" fontId="39" fillId="5" borderId="28" xfId="0" applyFont="1" applyFill="1" applyBorder="1" applyProtection="1">
      <alignment vertical="center"/>
      <protection hidden="1"/>
    </xf>
    <xf numFmtId="0" fontId="38" fillId="5" borderId="29" xfId="0" applyFont="1" applyFill="1" applyBorder="1" applyProtection="1">
      <alignment vertical="center"/>
      <protection hidden="1"/>
    </xf>
    <xf numFmtId="0" fontId="39" fillId="5" borderId="29" xfId="0" applyFont="1" applyFill="1" applyBorder="1" applyProtection="1">
      <alignment vertical="center"/>
      <protection hidden="1"/>
    </xf>
    <xf numFmtId="0" fontId="38" fillId="5" borderId="20" xfId="0" applyFont="1" applyFill="1" applyBorder="1" applyAlignment="1" applyProtection="1">
      <alignment horizontal="center" vertical="center" wrapText="1"/>
      <protection hidden="1"/>
    </xf>
    <xf numFmtId="0" fontId="39" fillId="5" borderId="29" xfId="0" applyFont="1" applyFill="1" applyBorder="1" applyAlignment="1" applyProtection="1">
      <alignment horizontal="center" vertical="center" wrapText="1"/>
      <protection hidden="1"/>
    </xf>
    <xf numFmtId="2" fontId="41" fillId="5" borderId="29" xfId="0" applyNumberFormat="1" applyFont="1" applyFill="1" applyBorder="1" applyAlignment="1" applyProtection="1">
      <alignment horizontal="center" vertical="center"/>
      <protection hidden="1"/>
    </xf>
    <xf numFmtId="1" fontId="41" fillId="3" borderId="0" xfId="0" applyNumberFormat="1" applyFont="1" applyFill="1" applyProtection="1">
      <alignment vertical="center"/>
      <protection hidden="1"/>
    </xf>
    <xf numFmtId="195" fontId="40" fillId="5" borderId="29" xfId="1" applyNumberFormat="1" applyFont="1" applyFill="1" applyBorder="1" applyAlignment="1" applyProtection="1">
      <alignment horizontal="center" vertical="center" shrinkToFit="1"/>
      <protection hidden="1"/>
    </xf>
    <xf numFmtId="0" fontId="54" fillId="5" borderId="29" xfId="0" applyFont="1" applyFill="1" applyBorder="1" applyAlignment="1" applyProtection="1">
      <protection hidden="1"/>
    </xf>
    <xf numFmtId="0" fontId="39" fillId="5" borderId="0" xfId="0" applyFont="1" applyFill="1" applyAlignment="1" applyProtection="1">
      <alignment horizontal="left" vertical="center"/>
      <protection hidden="1"/>
    </xf>
    <xf numFmtId="0" fontId="50" fillId="5" borderId="0" xfId="0" applyFont="1" applyFill="1" applyAlignment="1" applyProtection="1">
      <alignment horizontal="center"/>
      <protection hidden="1"/>
    </xf>
    <xf numFmtId="0" fontId="50" fillId="5" borderId="29" xfId="0" applyFont="1" applyFill="1" applyBorder="1" applyAlignment="1" applyProtection="1">
      <alignment horizontal="center"/>
      <protection hidden="1"/>
    </xf>
    <xf numFmtId="0" fontId="50" fillId="5" borderId="0" xfId="0" applyFont="1" applyFill="1" applyAlignment="1" applyProtection="1">
      <alignment horizontal="center" wrapText="1"/>
      <protection hidden="1"/>
    </xf>
    <xf numFmtId="0" fontId="41" fillId="5" borderId="0" xfId="0" applyFont="1" applyFill="1" applyAlignment="1" applyProtection="1">
      <alignment horizontal="left" vertical="center" wrapText="1"/>
      <protection hidden="1"/>
    </xf>
    <xf numFmtId="0" fontId="41" fillId="5" borderId="0" xfId="0" applyFont="1" applyFill="1" applyAlignment="1" applyProtection="1">
      <protection hidden="1"/>
    </xf>
    <xf numFmtId="0" fontId="55" fillId="5" borderId="29" xfId="0" applyFont="1" applyFill="1" applyBorder="1" applyAlignment="1" applyProtection="1">
      <protection hidden="1"/>
    </xf>
    <xf numFmtId="0" fontId="39" fillId="5" borderId="6" xfId="0" applyFont="1" applyFill="1" applyBorder="1" applyAlignment="1" applyProtection="1">
      <alignment vertical="center" wrapText="1"/>
      <protection hidden="1"/>
    </xf>
    <xf numFmtId="0" fontId="39" fillId="5" borderId="6" xfId="0" applyFont="1" applyFill="1" applyBorder="1" applyAlignment="1" applyProtection="1">
      <protection hidden="1"/>
    </xf>
    <xf numFmtId="0" fontId="39" fillId="5" borderId="29" xfId="0" applyFont="1" applyFill="1" applyBorder="1" applyAlignment="1" applyProtection="1">
      <protection hidden="1"/>
    </xf>
    <xf numFmtId="0" fontId="41" fillId="5" borderId="29" xfId="0" applyFont="1" applyFill="1" applyBorder="1" applyAlignment="1" applyProtection="1">
      <protection hidden="1"/>
    </xf>
    <xf numFmtId="0" fontId="52" fillId="5" borderId="0" xfId="0" applyFont="1" applyFill="1" applyAlignment="1">
      <alignment horizontal="center" vertical="center"/>
    </xf>
    <xf numFmtId="0" fontId="52" fillId="5" borderId="0" xfId="0" applyFont="1" applyFill="1" applyAlignment="1"/>
    <xf numFmtId="0" fontId="39" fillId="5" borderId="6" xfId="0" applyFont="1" applyFill="1" applyBorder="1" applyProtection="1">
      <alignment vertical="center"/>
      <protection hidden="1"/>
    </xf>
    <xf numFmtId="0" fontId="41" fillId="8" borderId="6" xfId="0" applyFont="1" applyFill="1" applyBorder="1" applyAlignment="1" applyProtection="1">
      <alignment horizontal="left" vertical="top"/>
      <protection locked="0"/>
    </xf>
    <xf numFmtId="0" fontId="41" fillId="5" borderId="29" xfId="0" applyFont="1" applyFill="1" applyBorder="1" applyAlignment="1" applyProtection="1">
      <alignment vertical="top"/>
      <protection hidden="1"/>
    </xf>
    <xf numFmtId="0" fontId="42" fillId="3" borderId="0" xfId="0" applyFont="1" applyFill="1" applyProtection="1">
      <alignment vertical="center"/>
      <protection hidden="1"/>
    </xf>
    <xf numFmtId="0" fontId="56" fillId="2" borderId="0" xfId="0" applyFont="1" applyFill="1" applyProtection="1">
      <alignment vertical="center"/>
      <protection hidden="1"/>
    </xf>
    <xf numFmtId="1" fontId="42" fillId="2" borderId="0" xfId="0" applyNumberFormat="1" applyFont="1" applyFill="1" applyProtection="1">
      <alignment vertical="center"/>
      <protection hidden="1"/>
    </xf>
    <xf numFmtId="0" fontId="56" fillId="2" borderId="0" xfId="0" applyFont="1" applyFill="1" applyAlignment="1" applyProtection="1">
      <alignment vertical="center" shrinkToFit="1"/>
      <protection hidden="1"/>
    </xf>
    <xf numFmtId="0" fontId="57" fillId="5" borderId="0" xfId="0" applyFont="1" applyFill="1">
      <alignment vertical="center"/>
    </xf>
    <xf numFmtId="0" fontId="42" fillId="2" borderId="0" xfId="0" applyFont="1" applyFill="1" applyAlignment="1" applyProtection="1">
      <alignment vertical="top"/>
      <protection hidden="1"/>
    </xf>
    <xf numFmtId="0" fontId="37" fillId="9" borderId="0" xfId="212" applyFont="1" applyFill="1" applyProtection="1">
      <alignment vertical="center"/>
      <protection hidden="1"/>
    </xf>
    <xf numFmtId="0" fontId="43" fillId="0" borderId="0" xfId="212" applyFont="1">
      <alignment vertical="center"/>
    </xf>
    <xf numFmtId="0" fontId="39" fillId="5" borderId="0" xfId="212" applyFont="1" applyFill="1" applyAlignment="1" applyProtection="1">
      <alignment horizontal="center" vertical="center"/>
      <protection hidden="1"/>
    </xf>
    <xf numFmtId="0" fontId="58" fillId="2" borderId="0" xfId="212" applyFont="1" applyFill="1" applyProtection="1">
      <alignment vertical="center"/>
      <protection hidden="1"/>
    </xf>
    <xf numFmtId="0" fontId="42" fillId="2" borderId="0" xfId="212" applyFont="1" applyFill="1" applyProtection="1">
      <alignment vertical="center"/>
      <protection hidden="1"/>
    </xf>
    <xf numFmtId="0" fontId="59" fillId="5" borderId="0" xfId="212" applyFont="1" applyFill="1" applyProtection="1">
      <alignment vertical="center"/>
      <protection hidden="1"/>
    </xf>
    <xf numFmtId="0" fontId="60" fillId="5" borderId="0" xfId="212" applyFont="1" applyFill="1" applyProtection="1">
      <alignment vertical="center"/>
      <protection hidden="1"/>
    </xf>
    <xf numFmtId="0" fontId="61" fillId="3" borderId="0" xfId="212" applyFont="1" applyFill="1" applyProtection="1">
      <alignment vertical="center"/>
      <protection hidden="1"/>
    </xf>
    <xf numFmtId="0" fontId="61" fillId="3" borderId="0" xfId="212" applyFont="1" applyFill="1" applyAlignment="1" applyProtection="1">
      <alignment horizontal="center" vertical="center"/>
      <protection hidden="1"/>
    </xf>
    <xf numFmtId="0" fontId="61" fillId="3" borderId="0" xfId="212" applyFont="1" applyFill="1" applyAlignment="1" applyProtection="1">
      <alignment horizontal="right" vertical="center"/>
      <protection hidden="1"/>
    </xf>
    <xf numFmtId="0" fontId="39" fillId="5" borderId="0" xfId="212" applyFont="1" applyFill="1" applyProtection="1">
      <alignment vertical="center"/>
      <protection hidden="1"/>
    </xf>
    <xf numFmtId="0" fontId="62" fillId="9" borderId="0" xfId="0" applyFont="1" applyFill="1" applyAlignment="1">
      <alignment horizontal="center" vertical="center"/>
    </xf>
    <xf numFmtId="0" fontId="39" fillId="3" borderId="0" xfId="212" applyFont="1" applyFill="1" applyProtection="1">
      <alignment vertical="center"/>
      <protection hidden="1"/>
    </xf>
    <xf numFmtId="0" fontId="63" fillId="5" borderId="1" xfId="212" applyFont="1" applyFill="1" applyBorder="1" applyProtection="1">
      <alignment vertical="center"/>
      <protection hidden="1"/>
    </xf>
    <xf numFmtId="0" fontId="47" fillId="5" borderId="2" xfId="212" applyFont="1" applyFill="1" applyBorder="1" applyAlignment="1" applyProtection="1">
      <alignment horizontal="center" vertical="center"/>
      <protection hidden="1"/>
    </xf>
    <xf numFmtId="0" fontId="63" fillId="5" borderId="3" xfId="212" applyFont="1" applyFill="1" applyBorder="1" applyProtection="1">
      <alignment vertical="center"/>
      <protection hidden="1"/>
    </xf>
    <xf numFmtId="0" fontId="48" fillId="5" borderId="0" xfId="212" applyFont="1" applyFill="1" applyAlignment="1" applyProtection="1">
      <alignment horizontal="left" vertical="center"/>
      <protection hidden="1"/>
    </xf>
    <xf numFmtId="0" fontId="64" fillId="9" borderId="0" xfId="0" applyFont="1" applyFill="1" applyAlignment="1">
      <alignment horizontal="center" vertical="center"/>
    </xf>
    <xf numFmtId="0" fontId="64" fillId="5" borderId="3" xfId="0" applyFont="1" applyFill="1" applyBorder="1" applyAlignment="1">
      <alignment horizontal="center" vertical="center"/>
    </xf>
    <xf numFmtId="0" fontId="64" fillId="5" borderId="0" xfId="0" applyFont="1" applyFill="1" applyAlignment="1">
      <alignment horizontal="left" vertical="center"/>
    </xf>
    <xf numFmtId="0" fontId="64" fillId="8" borderId="4" xfId="0" applyFont="1" applyFill="1" applyBorder="1" applyAlignment="1" applyProtection="1">
      <alignment horizontal="center" vertical="center"/>
      <protection locked="0"/>
    </xf>
    <xf numFmtId="0" fontId="64" fillId="9" borderId="0" xfId="0" applyFont="1" applyFill="1">
      <alignment vertical="center"/>
    </xf>
    <xf numFmtId="0" fontId="64" fillId="5" borderId="3" xfId="0" applyFont="1" applyFill="1" applyBorder="1">
      <alignment vertical="center"/>
    </xf>
    <xf numFmtId="0" fontId="64" fillId="5" borderId="0" xfId="0" applyFont="1" applyFill="1">
      <alignment vertical="center"/>
    </xf>
    <xf numFmtId="0" fontId="39" fillId="3" borderId="0" xfId="212" applyFont="1" applyFill="1" applyAlignment="1" applyProtection="1">
      <alignment horizontal="center" vertical="center"/>
      <protection hidden="1"/>
    </xf>
    <xf numFmtId="0" fontId="39" fillId="5" borderId="3" xfId="212" applyFont="1" applyFill="1" applyBorder="1" applyAlignment="1" applyProtection="1">
      <alignment horizontal="center" vertical="center"/>
      <protection hidden="1"/>
    </xf>
    <xf numFmtId="0" fontId="39" fillId="5" borderId="0" xfId="212" applyFont="1" applyFill="1" applyAlignment="1" applyProtection="1">
      <alignment horizontal="left" vertical="center"/>
      <protection hidden="1"/>
    </xf>
    <xf numFmtId="0" fontId="39" fillId="5" borderId="5" xfId="212" applyFont="1" applyFill="1" applyBorder="1" applyProtection="1">
      <alignment vertical="center"/>
      <protection hidden="1"/>
    </xf>
    <xf numFmtId="0" fontId="39" fillId="5" borderId="6" xfId="212" applyFont="1" applyFill="1" applyBorder="1" applyAlignment="1" applyProtection="1">
      <alignment horizontal="center" vertical="center"/>
      <protection hidden="1"/>
    </xf>
    <xf numFmtId="0" fontId="65" fillId="5" borderId="6" xfId="212" applyFont="1" applyFill="1" applyBorder="1" applyAlignment="1" applyProtection="1">
      <alignment horizontal="left" vertical="center" wrapText="1"/>
      <protection hidden="1"/>
    </xf>
    <xf numFmtId="0" fontId="39" fillId="5" borderId="6" xfId="212" applyFont="1" applyFill="1" applyBorder="1" applyAlignment="1" applyProtection="1">
      <alignment horizontal="left" vertical="center" wrapText="1"/>
      <protection hidden="1"/>
    </xf>
    <xf numFmtId="0" fontId="39" fillId="5" borderId="3" xfId="212" applyFont="1" applyFill="1" applyBorder="1" applyProtection="1">
      <alignment vertical="center"/>
      <protection hidden="1"/>
    </xf>
    <xf numFmtId="0" fontId="65" fillId="5" borderId="0" xfId="212" applyFont="1" applyFill="1" applyAlignment="1" applyProtection="1">
      <alignment horizontal="left" vertical="center" wrapText="1"/>
      <protection hidden="1"/>
    </xf>
    <xf numFmtId="0" fontId="39" fillId="5" borderId="0" xfId="212" applyFont="1" applyFill="1" applyAlignment="1" applyProtection="1">
      <alignment horizontal="left" vertical="center" wrapText="1"/>
      <protection hidden="1"/>
    </xf>
    <xf numFmtId="193" fontId="39" fillId="5" borderId="0" xfId="212" applyNumberFormat="1" applyFont="1" applyFill="1" applyAlignment="1" applyProtection="1">
      <alignment horizontal="center" vertical="center"/>
      <protection hidden="1"/>
    </xf>
    <xf numFmtId="0" fontId="43" fillId="3" borderId="0" xfId="212" applyFont="1" applyFill="1">
      <alignment vertical="center"/>
    </xf>
    <xf numFmtId="0" fontId="39" fillId="5" borderId="0" xfId="212" applyFont="1" applyFill="1" applyAlignment="1" applyProtection="1">
      <alignment horizontal="left" vertical="center"/>
      <protection locked="0"/>
    </xf>
    <xf numFmtId="0" fontId="39" fillId="5" borderId="0" xfId="212" applyFont="1" applyFill="1" applyAlignment="1" applyProtection="1">
      <alignment horizontal="right" vertical="center"/>
      <protection hidden="1"/>
    </xf>
    <xf numFmtId="0" fontId="50" fillId="5" borderId="0" xfId="212" applyFont="1" applyFill="1" applyAlignment="1" applyProtection="1">
      <alignment horizontal="right" vertical="center"/>
      <protection hidden="1"/>
    </xf>
    <xf numFmtId="0" fontId="50" fillId="5" borderId="0" xfId="212" applyFont="1" applyFill="1" applyProtection="1">
      <alignment vertical="center"/>
      <protection hidden="1"/>
    </xf>
    <xf numFmtId="0" fontId="50" fillId="5" borderId="0" xfId="212" applyFont="1" applyFill="1" applyAlignment="1" applyProtection="1">
      <alignment horizontal="left" vertical="center"/>
      <protection hidden="1"/>
    </xf>
    <xf numFmtId="0" fontId="39" fillId="5" borderId="7" xfId="212" applyFont="1" applyFill="1" applyBorder="1" applyProtection="1">
      <alignment vertical="center"/>
      <protection hidden="1"/>
    </xf>
    <xf numFmtId="0" fontId="39" fillId="5" borderId="8" xfId="212" applyFont="1" applyFill="1" applyBorder="1" applyAlignment="1" applyProtection="1">
      <alignment horizontal="left" vertical="center"/>
      <protection hidden="1"/>
    </xf>
    <xf numFmtId="0" fontId="39" fillId="5" borderId="8" xfId="212" applyFont="1" applyFill="1" applyBorder="1" applyProtection="1">
      <alignment vertical="center"/>
      <protection hidden="1"/>
    </xf>
    <xf numFmtId="0" fontId="42" fillId="2" borderId="0" xfId="212" applyFont="1" applyFill="1" applyAlignment="1" applyProtection="1">
      <alignment horizontal="left" vertical="center" readingOrder="1"/>
      <protection hidden="1"/>
    </xf>
    <xf numFmtId="0" fontId="42" fillId="2" borderId="0" xfId="212" applyFont="1" applyFill="1" applyAlignment="1" applyProtection="1">
      <alignment horizontal="left" vertical="center"/>
      <protection hidden="1"/>
    </xf>
    <xf numFmtId="0" fontId="66" fillId="4" borderId="9" xfId="0" applyFont="1" applyFill="1" applyBorder="1" applyAlignment="1" applyProtection="1">
      <alignment horizontal="center" vertical="center"/>
      <protection locked="0"/>
    </xf>
    <xf numFmtId="0" fontId="66" fillId="4" borderId="8" xfId="0" applyFont="1" applyFill="1" applyBorder="1" applyAlignment="1" applyProtection="1">
      <alignment horizontal="center" vertical="center"/>
      <protection locked="0"/>
    </xf>
    <xf numFmtId="193" fontId="67" fillId="9" borderId="0" xfId="0" applyNumberFormat="1" applyFont="1" applyFill="1" applyAlignment="1">
      <alignment vertical="center" wrapText="1"/>
    </xf>
    <xf numFmtId="0" fontId="68" fillId="9" borderId="8" xfId="0" applyFont="1" applyFill="1" applyBorder="1" applyAlignment="1">
      <alignment horizontal="right" vertical="center" wrapText="1"/>
    </xf>
    <xf numFmtId="0" fontId="64" fillId="5" borderId="0" xfId="0" applyFont="1" applyFill="1" applyAlignment="1">
      <alignment horizontal="center" vertical="center"/>
    </xf>
    <xf numFmtId="0" fontId="64" fillId="5" borderId="0" xfId="0" applyFont="1" applyFill="1" applyAlignment="1">
      <alignment horizontal="right" vertical="center"/>
    </xf>
    <xf numFmtId="0" fontId="64" fillId="8" borderId="6" xfId="0" applyFont="1" applyFill="1" applyBorder="1" applyAlignment="1" applyProtection="1">
      <alignment horizontal="left" vertical="center"/>
      <protection locked="0"/>
    </xf>
    <xf numFmtId="0" fontId="64" fillId="8" borderId="10" xfId="0" applyFont="1" applyFill="1" applyBorder="1" applyAlignment="1" applyProtection="1">
      <alignment horizontal="left" vertical="center"/>
      <protection locked="0"/>
    </xf>
    <xf numFmtId="194" fontId="39" fillId="5" borderId="6" xfId="212" applyNumberFormat="1" applyFont="1" applyFill="1" applyBorder="1" applyAlignment="1" applyProtection="1">
      <alignment horizontal="right" vertical="center"/>
      <protection hidden="1"/>
    </xf>
    <xf numFmtId="194" fontId="39" fillId="5" borderId="11" xfId="212" applyNumberFormat="1" applyFont="1" applyFill="1" applyBorder="1" applyAlignment="1" applyProtection="1">
      <alignment horizontal="right" vertical="center"/>
      <protection hidden="1"/>
    </xf>
    <xf numFmtId="194" fontId="39" fillId="8" borderId="6" xfId="212" applyNumberFormat="1" applyFont="1" applyFill="1" applyBorder="1" applyAlignment="1" applyProtection="1">
      <alignment horizontal="right" vertical="center"/>
      <protection locked="0"/>
    </xf>
    <xf numFmtId="0" fontId="39" fillId="5" borderId="12" xfId="212" applyFont="1" applyFill="1" applyBorder="1" applyAlignment="1" applyProtection="1">
      <alignment horizontal="center" vertical="center"/>
      <protection hidden="1"/>
    </xf>
    <xf numFmtId="0" fontId="56" fillId="2" borderId="0" xfId="212" applyFont="1" applyFill="1" applyProtection="1">
      <alignment vertical="center"/>
      <protection locked="0"/>
    </xf>
    <xf numFmtId="0" fontId="48" fillId="5" borderId="10" xfId="212" applyFont="1" applyFill="1" applyBorder="1" applyAlignment="1" applyProtection="1">
      <alignment horizontal="right" vertical="center"/>
      <protection hidden="1"/>
    </xf>
    <xf numFmtId="0" fontId="64" fillId="8" borderId="10" xfId="0" applyFont="1" applyFill="1" applyBorder="1" applyAlignment="1" applyProtection="1">
      <alignment horizontal="center" vertical="center"/>
      <protection locked="0"/>
    </xf>
    <xf numFmtId="0" fontId="39" fillId="5" borderId="6" xfId="212" applyFont="1" applyFill="1" applyBorder="1" applyAlignment="1" applyProtection="1">
      <alignment horizontal="right" vertical="center" wrapText="1"/>
      <protection hidden="1"/>
    </xf>
    <xf numFmtId="0" fontId="39" fillId="5" borderId="0" xfId="212" applyFont="1" applyFill="1" applyAlignment="1" applyProtection="1">
      <alignment horizontal="right" vertical="center" wrapText="1"/>
      <protection hidden="1"/>
    </xf>
    <xf numFmtId="194" fontId="39" fillId="5" borderId="10" xfId="1" applyNumberFormat="1" applyFont="1" applyFill="1" applyBorder="1" applyAlignment="1" applyProtection="1">
      <alignment horizontal="right" vertical="center"/>
      <protection hidden="1"/>
    </xf>
    <xf numFmtId="194" fontId="39" fillId="8" borderId="10" xfId="1" applyNumberFormat="1" applyFont="1" applyFill="1" applyBorder="1" applyAlignment="1">
      <alignment horizontal="right" vertical="center"/>
      <protection locked="0"/>
    </xf>
    <xf numFmtId="0" fontId="54" fillId="5" borderId="0" xfId="212" applyFont="1" applyFill="1" applyAlignment="1" applyProtection="1">
      <alignment horizontal="right" vertical="center"/>
      <protection hidden="1"/>
    </xf>
    <xf numFmtId="194" fontId="40" fillId="5" borderId="13" xfId="212" applyNumberFormat="1" applyFont="1" applyFill="1" applyBorder="1" applyAlignment="1" applyProtection="1">
      <alignment horizontal="center" vertical="center"/>
      <protection hidden="1"/>
    </xf>
    <xf numFmtId="194" fontId="40" fillId="5" borderId="14" xfId="212" applyNumberFormat="1" applyFont="1" applyFill="1" applyBorder="1" applyAlignment="1" applyProtection="1">
      <alignment horizontal="center" vertical="center"/>
      <protection hidden="1"/>
    </xf>
    <xf numFmtId="195" fontId="39" fillId="5" borderId="0" xfId="1" applyNumberFormat="1" applyFont="1" applyFill="1" applyAlignment="1" applyProtection="1">
      <alignment horizontal="right" vertical="center"/>
      <protection hidden="1"/>
    </xf>
    <xf numFmtId="194" fontId="39" fillId="8" borderId="10" xfId="212" applyNumberFormat="1" applyFont="1" applyFill="1" applyBorder="1" applyAlignment="1" applyProtection="1">
      <alignment horizontal="right" vertical="center"/>
      <protection locked="0"/>
    </xf>
    <xf numFmtId="194" fontId="39" fillId="0" borderId="10" xfId="212" applyNumberFormat="1" applyFont="1" applyBorder="1" applyAlignment="1" applyProtection="1">
      <alignment horizontal="right" vertical="center"/>
      <protection hidden="1"/>
    </xf>
    <xf numFmtId="0" fontId="55" fillId="5" borderId="0" xfId="212" applyFont="1" applyFill="1" applyAlignment="1" applyProtection="1">
      <alignment horizontal="center" vertical="center"/>
      <protection hidden="1"/>
    </xf>
    <xf numFmtId="176" fontId="39" fillId="5" borderId="10" xfId="1" applyFont="1" applyFill="1" applyBorder="1" applyAlignment="1" applyProtection="1">
      <alignment horizontal="right" vertical="center"/>
      <protection hidden="1"/>
    </xf>
    <xf numFmtId="0" fontId="67" fillId="9" borderId="0" xfId="0" applyFont="1" applyFill="1" applyAlignment="1">
      <alignment vertical="center" wrapText="1"/>
    </xf>
    <xf numFmtId="0" fontId="39" fillId="5" borderId="15" xfId="212" applyFont="1" applyFill="1" applyBorder="1" applyAlignment="1" applyProtection="1">
      <alignment vertical="center" wrapText="1"/>
      <protection hidden="1"/>
    </xf>
    <xf numFmtId="0" fontId="39" fillId="5" borderId="16" xfId="212" applyFont="1" applyFill="1" applyBorder="1" applyAlignment="1" applyProtection="1">
      <alignment vertical="center" wrapText="1"/>
      <protection hidden="1"/>
    </xf>
    <xf numFmtId="0" fontId="64" fillId="5" borderId="16" xfId="0" applyFont="1" applyFill="1" applyBorder="1" applyAlignment="1">
      <alignment horizontal="center" vertical="center"/>
    </xf>
    <xf numFmtId="0" fontId="64" fillId="5" borderId="16" xfId="0" applyFont="1" applyFill="1" applyBorder="1">
      <alignment vertical="center"/>
    </xf>
    <xf numFmtId="0" fontId="39" fillId="5" borderId="16" xfId="212" applyFont="1" applyFill="1" applyBorder="1" applyAlignment="1" applyProtection="1">
      <alignment horizontal="center" vertical="center"/>
      <protection hidden="1"/>
    </xf>
    <xf numFmtId="49" fontId="64" fillId="8" borderId="10" xfId="0" applyNumberFormat="1" applyFont="1" applyFill="1" applyBorder="1" applyAlignment="1" applyProtection="1">
      <alignment horizontal="left" vertical="center"/>
      <protection locked="0"/>
    </xf>
    <xf numFmtId="0" fontId="39" fillId="5" borderId="17" xfId="212" applyFont="1" applyFill="1" applyBorder="1" applyProtection="1">
      <alignment vertical="center"/>
      <protection hidden="1"/>
    </xf>
    <xf numFmtId="0" fontId="39" fillId="5" borderId="16" xfId="212" applyFont="1" applyFill="1" applyBorder="1" applyProtection="1">
      <alignment vertical="center"/>
      <protection hidden="1"/>
    </xf>
    <xf numFmtId="194" fontId="69" fillId="5" borderId="10" xfId="1" applyNumberFormat="1" applyFont="1" applyFill="1" applyBorder="1" applyAlignment="1" applyProtection="1">
      <alignment horizontal="right" vertical="center"/>
      <protection hidden="1"/>
    </xf>
    <xf numFmtId="196" fontId="39" fillId="5" borderId="0" xfId="1" applyNumberFormat="1" applyFont="1" applyFill="1" applyAlignment="1" applyProtection="1">
      <alignment horizontal="right" vertical="center"/>
      <protection hidden="1"/>
    </xf>
    <xf numFmtId="194" fontId="69" fillId="5" borderId="6" xfId="1" applyNumberFormat="1" applyFont="1" applyFill="1" applyBorder="1" applyAlignment="1" applyProtection="1">
      <alignment horizontal="right" vertical="center"/>
      <protection hidden="1"/>
    </xf>
    <xf numFmtId="194" fontId="69" fillId="5" borderId="12" xfId="1" applyNumberFormat="1" applyFont="1" applyFill="1" applyBorder="1" applyAlignment="1" applyProtection="1">
      <alignment horizontal="right" vertical="center"/>
      <protection hidden="1"/>
    </xf>
    <xf numFmtId="194" fontId="69" fillId="5" borderId="13" xfId="1" applyNumberFormat="1" applyFont="1" applyFill="1" applyBorder="1" applyAlignment="1" applyProtection="1">
      <alignment horizontal="right" vertical="center"/>
      <protection hidden="1"/>
    </xf>
    <xf numFmtId="194" fontId="69" fillId="5" borderId="14" xfId="1" applyNumberFormat="1" applyFont="1" applyFill="1" applyBorder="1" applyAlignment="1" applyProtection="1">
      <alignment horizontal="right" vertical="center"/>
      <protection hidden="1"/>
    </xf>
    <xf numFmtId="194" fontId="69" fillId="5" borderId="6" xfId="148" applyNumberFormat="1" applyFont="1" applyFill="1" applyBorder="1" applyAlignment="1" applyProtection="1">
      <alignment horizontal="right" vertical="center"/>
      <protection hidden="1"/>
    </xf>
    <xf numFmtId="194" fontId="39" fillId="5" borderId="0" xfId="212" applyNumberFormat="1" applyFont="1" applyFill="1" applyAlignment="1" applyProtection="1">
      <alignment horizontal="right" vertical="center"/>
      <protection hidden="1"/>
    </xf>
    <xf numFmtId="194" fontId="39" fillId="5" borderId="6" xfId="142" applyNumberFormat="1" applyFont="1" applyFill="1" applyBorder="1" applyAlignment="1" applyProtection="1">
      <alignment horizontal="right" vertical="center"/>
      <protection hidden="1"/>
    </xf>
    <xf numFmtId="194" fontId="39" fillId="5" borderId="18" xfId="154" applyNumberFormat="1" applyFont="1" applyFill="1" applyBorder="1" applyAlignment="1" applyProtection="1">
      <alignment horizontal="right" vertical="center"/>
      <protection hidden="1"/>
    </xf>
    <xf numFmtId="194" fontId="39" fillId="5" borderId="18" xfId="160" applyNumberFormat="1" applyFont="1" applyFill="1" applyBorder="1" applyAlignment="1" applyProtection="1">
      <alignment horizontal="right" vertical="center"/>
      <protection hidden="1"/>
    </xf>
    <xf numFmtId="194" fontId="70" fillId="2" borderId="10" xfId="1" applyNumberFormat="1" applyFont="1" applyFill="1" applyBorder="1" applyAlignment="1" applyProtection="1">
      <alignment horizontal="right" vertical="center"/>
      <protection hidden="1"/>
    </xf>
    <xf numFmtId="0" fontId="39" fillId="5" borderId="8" xfId="212" applyFont="1" applyFill="1" applyBorder="1" applyAlignment="1" applyProtection="1">
      <alignment horizontal="right" vertical="center"/>
      <protection hidden="1"/>
    </xf>
    <xf numFmtId="0" fontId="39" fillId="5" borderId="19" xfId="212" applyFont="1" applyFill="1" applyBorder="1" applyProtection="1">
      <alignment vertical="center"/>
      <protection hidden="1"/>
    </xf>
    <xf numFmtId="0" fontId="39" fillId="9" borderId="0" xfId="212" applyFont="1" applyFill="1" applyProtection="1">
      <alignment vertical="center"/>
      <protection hidden="1"/>
    </xf>
    <xf numFmtId="0" fontId="57" fillId="5" borderId="0" xfId="0" applyFont="1" applyFill="1" applyAlignment="1">
      <alignment horizontal="center" vertical="center"/>
    </xf>
    <xf numFmtId="0" fontId="39" fillId="9" borderId="0" xfId="212" applyFont="1" applyFill="1" applyAlignment="1" applyProtection="1">
      <alignment horizontal="center" vertical="center"/>
      <protection hidden="1"/>
    </xf>
    <xf numFmtId="0" fontId="42" fillId="2" borderId="0" xfId="212" applyFont="1" applyFill="1" applyAlignment="1" applyProtection="1">
      <alignment horizontal="center" vertical="center"/>
      <protection hidden="1"/>
    </xf>
    <xf numFmtId="194" fontId="42" fillId="2" borderId="0" xfId="212" applyNumberFormat="1" applyFont="1" applyFill="1" applyProtection="1">
      <alignment vertical="center"/>
      <protection hidden="1"/>
    </xf>
    <xf numFmtId="0" fontId="42" fillId="2" borderId="0" xfId="213" applyFont="1" applyFill="1" applyProtection="1">
      <alignment vertical="center"/>
      <protection hidden="1"/>
    </xf>
    <xf numFmtId="0" fontId="42" fillId="2" borderId="0" xfId="212" applyFont="1" applyFill="1">
      <alignment vertical="center"/>
    </xf>
    <xf numFmtId="0" fontId="60" fillId="5" borderId="0" xfId="212" applyFont="1" applyFill="1" applyAlignment="1" applyProtection="1">
      <alignment horizontal="center" vertical="center"/>
      <protection hidden="1"/>
    </xf>
    <xf numFmtId="193" fontId="42" fillId="2" borderId="0" xfId="212" applyNumberFormat="1" applyFont="1" applyFill="1" applyProtection="1">
      <alignment vertical="center"/>
      <protection hidden="1"/>
    </xf>
    <xf numFmtId="0" fontId="42" fillId="2" borderId="0" xfId="237" applyFont="1" applyFill="1" applyAlignment="1" applyProtection="1">
      <alignment horizontal="center" vertical="center"/>
      <protection hidden="1"/>
    </xf>
    <xf numFmtId="9" fontId="42" fillId="2" borderId="0" xfId="237" applyNumberFormat="1" applyFont="1" applyFill="1" applyAlignment="1" applyProtection="1">
      <alignment horizontal="center" vertical="center"/>
      <protection hidden="1"/>
    </xf>
    <xf numFmtId="0" fontId="42" fillId="2" borderId="0" xfId="212" applyFont="1" applyFill="1" applyAlignment="1" applyProtection="1">
      <alignment horizontal="right" vertical="center"/>
      <protection hidden="1"/>
    </xf>
    <xf numFmtId="193" fontId="42" fillId="2" borderId="0" xfId="212" applyNumberFormat="1" applyFont="1" applyFill="1" applyAlignment="1" applyProtection="1">
      <alignment horizontal="left" vertical="center"/>
      <protection hidden="1"/>
    </xf>
    <xf numFmtId="9" fontId="42" fillId="2" borderId="0" xfId="212" applyNumberFormat="1" applyFont="1" applyFill="1" applyAlignment="1" applyProtection="1">
      <alignment horizontal="left" vertical="center"/>
      <protection hidden="1"/>
    </xf>
    <xf numFmtId="9" fontId="42" fillId="2" borderId="0" xfId="212" applyNumberFormat="1" applyFont="1" applyFill="1" applyProtection="1">
      <alignment vertical="center"/>
      <protection hidden="1"/>
    </xf>
    <xf numFmtId="0" fontId="71" fillId="3" borderId="0" xfId="212" applyFont="1" applyFill="1" applyProtection="1">
      <alignment vertical="center"/>
      <protection hidden="1"/>
    </xf>
    <xf numFmtId="0" fontId="71" fillId="3" borderId="0" xfId="0" applyFont="1" applyFill="1">
      <alignment vertical="center"/>
    </xf>
    <xf numFmtId="193" fontId="71" fillId="3" borderId="0" xfId="0" applyNumberFormat="1" applyFont="1" applyFill="1" applyAlignment="1">
      <alignment horizontal="right" vertical="center"/>
    </xf>
    <xf numFmtId="0" fontId="71" fillId="3" borderId="0" xfId="212" applyFont="1" applyFill="1" applyAlignment="1" applyProtection="1">
      <alignment horizontal="center" vertical="center"/>
      <protection hidden="1"/>
    </xf>
    <xf numFmtId="195" fontId="42" fillId="2" borderId="0" xfId="212" applyNumberFormat="1" applyFont="1" applyFill="1" applyProtection="1">
      <alignment vertical="center"/>
      <protection hidden="1"/>
    </xf>
    <xf numFmtId="194" fontId="42" fillId="2" borderId="0" xfId="130" applyNumberFormat="1" applyFont="1" applyFill="1" applyBorder="1" applyAlignment="1" applyProtection="1">
      <alignment vertical="center"/>
      <protection hidden="1"/>
    </xf>
    <xf numFmtId="1" fontId="42" fillId="2" borderId="0" xfId="212" applyNumberFormat="1" applyFont="1" applyFill="1" applyAlignment="1" applyProtection="1">
      <alignment horizontal="center" vertical="center"/>
      <protection hidden="1"/>
    </xf>
    <xf numFmtId="0" fontId="42" fillId="2" borderId="0" xfId="212" applyFont="1" applyFill="1" applyAlignment="1" applyProtection="1">
      <alignment vertical="center" wrapText="1"/>
      <protection hidden="1"/>
    </xf>
    <xf numFmtId="0" fontId="71" fillId="3" borderId="0" xfId="0" applyFont="1" applyFill="1" applyAlignment="1">
      <alignment horizontal="right" vertical="center"/>
    </xf>
    <xf numFmtId="0" fontId="71" fillId="3" borderId="0" xfId="212" applyFont="1" applyFill="1" applyAlignment="1" applyProtection="1">
      <alignment horizontal="right" vertical="center"/>
      <protection hidden="1"/>
    </xf>
    <xf numFmtId="1" fontId="42" fillId="2" borderId="0" xfId="212" applyNumberFormat="1" applyFont="1" applyFill="1" applyProtection="1">
      <alignment vertical="center"/>
      <protection hidden="1"/>
    </xf>
    <xf numFmtId="0" fontId="42" fillId="2" borderId="0" xfId="212" applyFont="1" applyFill="1" applyAlignment="1" applyProtection="1">
      <alignment horizontal="right" vertical="center" wrapText="1"/>
      <protection hidden="1"/>
    </xf>
    <xf numFmtId="0" fontId="72" fillId="3" borderId="0" xfId="212" applyFont="1" applyFill="1" applyProtection="1">
      <alignment vertical="center"/>
      <protection hidden="1"/>
    </xf>
    <xf numFmtId="0" fontId="72" fillId="3" borderId="0" xfId="212" applyFont="1" applyFill="1" applyAlignment="1" applyProtection="1">
      <alignment horizontal="center" vertical="center"/>
      <protection hidden="1"/>
    </xf>
    <xf numFmtId="0" fontId="72" fillId="3" borderId="0" xfId="212" applyFont="1" applyFill="1" applyAlignment="1" applyProtection="1">
      <alignment horizontal="right" vertical="center"/>
      <protection hidden="1"/>
    </xf>
  </cellXfs>
  <cellStyles count="31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??                          " xfId="49"/>
    <cellStyle name="•W€_G7ATD" xfId="50"/>
    <cellStyle name="20% - Accent1 2" xfId="51"/>
    <cellStyle name="20% - Accent1 3" xfId="52"/>
    <cellStyle name="20% - Accent1 4" xfId="53"/>
    <cellStyle name="20% - Accent1 5" xfId="54"/>
    <cellStyle name="20% - Accent1 6" xfId="55"/>
    <cellStyle name="20% - Accent2 2" xfId="56"/>
    <cellStyle name="20% - Accent2 3" xfId="57"/>
    <cellStyle name="20% - Accent2 4" xfId="58"/>
    <cellStyle name="20% - Accent2 5" xfId="59"/>
    <cellStyle name="20% - Accent2 6" xfId="60"/>
    <cellStyle name="20% - Accent3 2" xfId="61"/>
    <cellStyle name="20% - Accent3 3" xfId="62"/>
    <cellStyle name="20% - Accent3 4" xfId="63"/>
    <cellStyle name="20% - Accent3 5" xfId="64"/>
    <cellStyle name="20% - Accent3 6" xfId="65"/>
    <cellStyle name="20% - Accent4 2" xfId="66"/>
    <cellStyle name="20% - Accent4 3" xfId="67"/>
    <cellStyle name="20% - Accent4 4" xfId="68"/>
    <cellStyle name="20% - Accent4 5" xfId="69"/>
    <cellStyle name="20% - Accent4 6" xfId="70"/>
    <cellStyle name="20% - Accent5 2" xfId="71"/>
    <cellStyle name="20% - Accent5 3" xfId="72"/>
    <cellStyle name="20% - Accent5 4" xfId="73"/>
    <cellStyle name="20% - Accent5 5" xfId="74"/>
    <cellStyle name="20% - Accent5 6" xfId="75"/>
    <cellStyle name="20% - Accent6 2" xfId="76"/>
    <cellStyle name="20% - Accent6 3" xfId="77"/>
    <cellStyle name="20% - Accent6 4" xfId="78"/>
    <cellStyle name="20% - Accent6 5" xfId="79"/>
    <cellStyle name="20% - Accent6 6" xfId="80"/>
    <cellStyle name="40% - Accent1 2" xfId="81"/>
    <cellStyle name="40% - Accent1 3" xfId="82"/>
    <cellStyle name="40% - Accent1 4" xfId="83"/>
    <cellStyle name="40% - Accent1 5" xfId="84"/>
    <cellStyle name="40% - Accent1 6" xfId="85"/>
    <cellStyle name="40% - Accent2 2" xfId="86"/>
    <cellStyle name="40% - Accent2 3" xfId="87"/>
    <cellStyle name="40% - Accent2 4" xfId="88"/>
    <cellStyle name="40% - Accent2 5" xfId="89"/>
    <cellStyle name="40% - Accent2 6" xfId="90"/>
    <cellStyle name="40% - Accent3 2" xfId="91"/>
    <cellStyle name="40% - Accent3 3" xfId="92"/>
    <cellStyle name="40% - Accent3 4" xfId="93"/>
    <cellStyle name="40% - Accent3 5" xfId="94"/>
    <cellStyle name="40% - Accent3 6" xfId="95"/>
    <cellStyle name="40% - Accent4 2" xfId="96"/>
    <cellStyle name="40% - Accent4 3" xfId="97"/>
    <cellStyle name="40% - Accent4 4" xfId="98"/>
    <cellStyle name="40% - Accent4 5" xfId="99"/>
    <cellStyle name="40% - Accent4 6" xfId="100"/>
    <cellStyle name="40% - Accent5 2" xfId="101"/>
    <cellStyle name="40% - Accent5 3" xfId="102"/>
    <cellStyle name="40% - Accent5 4" xfId="103"/>
    <cellStyle name="40% - Accent5 5" xfId="104"/>
    <cellStyle name="40% - Accent5 6" xfId="105"/>
    <cellStyle name="40% - Accent6 2" xfId="106"/>
    <cellStyle name="40% - Accent6 3" xfId="107"/>
    <cellStyle name="40% - Accent6 4" xfId="108"/>
    <cellStyle name="40% - Accent6 5" xfId="109"/>
    <cellStyle name="40% - Accent6 6" xfId="110"/>
    <cellStyle name="AeE­ [0]_INQUIRY ¿μ¾÷AßAø " xfId="111"/>
    <cellStyle name="AeE­_INQUIRY ¿μ¾÷AßAø " xfId="112"/>
    <cellStyle name="AÞ¸¶ [0]_INQUIRY ¿?¾÷AßAø " xfId="113"/>
    <cellStyle name="AÞ¸¶_INQUIRY ¿?¾÷AßAø " xfId="114"/>
    <cellStyle name="Black" xfId="115"/>
    <cellStyle name="Border" xfId="116"/>
    <cellStyle name="C?AØ_¿?¾÷CoE² " xfId="117"/>
    <cellStyle name="C￥AØ_¿μ¾÷CoE² " xfId="118"/>
    <cellStyle name="Comma 10" xfId="119"/>
    <cellStyle name="Comma 10 2" xfId="120"/>
    <cellStyle name="Comma 11" xfId="121"/>
    <cellStyle name="Comma 11 2" xfId="122"/>
    <cellStyle name="Comma 12" xfId="123"/>
    <cellStyle name="Comma 12 2" xfId="124"/>
    <cellStyle name="Comma 13" xfId="125"/>
    <cellStyle name="Comma 13 2" xfId="126"/>
    <cellStyle name="Comma 14" xfId="127"/>
    <cellStyle name="Comma 14 2" xfId="128"/>
    <cellStyle name="Comma 2" xfId="129"/>
    <cellStyle name="Comma 2 10" xfId="130"/>
    <cellStyle name="Comma 2 11" xfId="131"/>
    <cellStyle name="Comma 2 12" xfId="132"/>
    <cellStyle name="Comma 2 2" xfId="133"/>
    <cellStyle name="Comma 2 3" xfId="134"/>
    <cellStyle name="Comma 2 4" xfId="135"/>
    <cellStyle name="Comma 2 5" xfId="136"/>
    <cellStyle name="Comma 2 6" xfId="137"/>
    <cellStyle name="Comma 2 7" xfId="138"/>
    <cellStyle name="Comma 2 8" xfId="139"/>
    <cellStyle name="Comma 2 9" xfId="140"/>
    <cellStyle name="Comma 3" xfId="141"/>
    <cellStyle name="Comma 3 2" xfId="142"/>
    <cellStyle name="Comma 3 3" xfId="143"/>
    <cellStyle name="Comma 3 4" xfId="144"/>
    <cellStyle name="Comma 3 5" xfId="145"/>
    <cellStyle name="Comma 3 6" xfId="146"/>
    <cellStyle name="Comma 4" xfId="147"/>
    <cellStyle name="Comma 4 2" xfId="148"/>
    <cellStyle name="Comma 4 3" xfId="149"/>
    <cellStyle name="Comma 4 4" xfId="150"/>
    <cellStyle name="Comma 4 5" xfId="151"/>
    <cellStyle name="Comma 4 6" xfId="152"/>
    <cellStyle name="Comma 5" xfId="153"/>
    <cellStyle name="Comma 5 2" xfId="154"/>
    <cellStyle name="Comma 5 3" xfId="155"/>
    <cellStyle name="Comma 5 4" xfId="156"/>
    <cellStyle name="Comma 5 5" xfId="157"/>
    <cellStyle name="Comma 5 6" xfId="158"/>
    <cellStyle name="Comma 6" xfId="159"/>
    <cellStyle name="Comma 6 2" xfId="160"/>
    <cellStyle name="Comma 6 3" xfId="161"/>
    <cellStyle name="Comma 6 4" xfId="162"/>
    <cellStyle name="Comma 6 5" xfId="163"/>
    <cellStyle name="Comma 6 6" xfId="164"/>
    <cellStyle name="Comma 7" xfId="165"/>
    <cellStyle name="Comma 7 2" xfId="166"/>
    <cellStyle name="Comma 7 3" xfId="167"/>
    <cellStyle name="Comma 7 4" xfId="168"/>
    <cellStyle name="Comma 7 5" xfId="169"/>
    <cellStyle name="Comma 7 6" xfId="170"/>
    <cellStyle name="Comma 8" xfId="171"/>
    <cellStyle name="Comma 8 2" xfId="172"/>
    <cellStyle name="Comma 9" xfId="173"/>
    <cellStyle name="Comma 9 2" xfId="174"/>
    <cellStyle name="Comma0" xfId="175"/>
    <cellStyle name="Currency0" xfId="176"/>
    <cellStyle name="Date" xfId="177"/>
    <cellStyle name="Dezimal [0]_laroux" xfId="178"/>
    <cellStyle name="Dezimal_laroux" xfId="179"/>
    <cellStyle name="Euro" xfId="180"/>
    <cellStyle name="Fixed" xfId="181"/>
    <cellStyle name="Grey" xfId="182"/>
    <cellStyle name="Hyperlink 10" xfId="183"/>
    <cellStyle name="Hyperlink 10 2" xfId="184"/>
    <cellStyle name="Hyperlink 11" xfId="185"/>
    <cellStyle name="Hyperlink 11 2" xfId="186"/>
    <cellStyle name="Hyperlink 12" xfId="187"/>
    <cellStyle name="Hyperlink 12 2" xfId="188"/>
    <cellStyle name="Hyperlink 13" xfId="189"/>
    <cellStyle name="Hyperlink 13 2" xfId="190"/>
    <cellStyle name="Hyperlink 14" xfId="191"/>
    <cellStyle name="Hyperlink 14 2" xfId="192"/>
    <cellStyle name="Hyperlink 2" xfId="193"/>
    <cellStyle name="Hyperlink 3" xfId="194"/>
    <cellStyle name="Hyperlink 4" xfId="195"/>
    <cellStyle name="Hyperlink 5" xfId="196"/>
    <cellStyle name="Hyperlink 6" xfId="197"/>
    <cellStyle name="Hyperlink 7" xfId="198"/>
    <cellStyle name="Hyperlink 8" xfId="199"/>
    <cellStyle name="Hyperlink 8 2" xfId="200"/>
    <cellStyle name="Hyperlink 9" xfId="201"/>
    <cellStyle name="Hyperlink 9 2" xfId="202"/>
    <cellStyle name="Input [yellow]" xfId="203"/>
    <cellStyle name="Milliers [0]_laroux" xfId="204"/>
    <cellStyle name="Milliers_laroux" xfId="205"/>
    <cellStyle name="Non défini" xfId="206"/>
    <cellStyle name="Normal - Style1" xfId="207"/>
    <cellStyle name="Normal 10" xfId="208"/>
    <cellStyle name="Normal 10 2" xfId="209"/>
    <cellStyle name="Normal 10 3" xfId="210"/>
    <cellStyle name="Normal 10 4" xfId="211"/>
    <cellStyle name="Normal 11" xfId="212"/>
    <cellStyle name="Normal 12" xfId="213"/>
    <cellStyle name="Normal 13" xfId="214"/>
    <cellStyle name="Normal 13 2" xfId="215"/>
    <cellStyle name="Normal 14" xfId="216"/>
    <cellStyle name="Normal 15" xfId="217"/>
    <cellStyle name="Normal 16" xfId="218"/>
    <cellStyle name="Normal 17" xfId="219"/>
    <cellStyle name="Normal 19" xfId="220"/>
    <cellStyle name="Normal 2" xfId="221"/>
    <cellStyle name="Normal 2 10" xfId="222"/>
    <cellStyle name="Normal 2 11" xfId="223"/>
    <cellStyle name="Normal 2 12" xfId="224"/>
    <cellStyle name="Normal 2 12 2" xfId="225"/>
    <cellStyle name="Normal 2 13" xfId="226"/>
    <cellStyle name="Normal 2 14" xfId="227"/>
    <cellStyle name="Normal 2 15" xfId="228"/>
    <cellStyle name="Normal 2 2" xfId="229"/>
    <cellStyle name="Normal 2 3" xfId="230"/>
    <cellStyle name="Normal 2 4" xfId="231"/>
    <cellStyle name="Normal 2 5" xfId="232"/>
    <cellStyle name="Normal 2 6" xfId="233"/>
    <cellStyle name="Normal 2 7" xfId="234"/>
    <cellStyle name="Normal 2 8" xfId="235"/>
    <cellStyle name="Normal 2 9" xfId="236"/>
    <cellStyle name="Normal 3" xfId="237"/>
    <cellStyle name="Normal 3 10" xfId="238"/>
    <cellStyle name="Normal 3 10 2" xfId="239"/>
    <cellStyle name="Normal 3 11" xfId="240"/>
    <cellStyle name="Normal 3 11 2" xfId="241"/>
    <cellStyle name="Normal 3 12" xfId="242"/>
    <cellStyle name="Normal 3 12 2" xfId="243"/>
    <cellStyle name="Normal 3 13" xfId="244"/>
    <cellStyle name="Normal 3 13 2" xfId="245"/>
    <cellStyle name="Normal 3 14" xfId="246"/>
    <cellStyle name="Normal 3 14 2" xfId="247"/>
    <cellStyle name="Normal 3 15" xfId="248"/>
    <cellStyle name="Normal 3 15 2" xfId="249"/>
    <cellStyle name="Normal 3 2" xfId="250"/>
    <cellStyle name="Normal 3 3" xfId="251"/>
    <cellStyle name="Normal 3 3 2" xfId="252"/>
    <cellStyle name="Normal 3 3 2 2" xfId="253"/>
    <cellStyle name="Normal 3 4" xfId="254"/>
    <cellStyle name="Normal 3 5" xfId="255"/>
    <cellStyle name="Normal 3 6" xfId="256"/>
    <cellStyle name="Normal 3 7" xfId="257"/>
    <cellStyle name="Normal 3 8" xfId="258"/>
    <cellStyle name="Normal 3 8 2" xfId="259"/>
    <cellStyle name="Normal 3 9" xfId="260"/>
    <cellStyle name="Normal 3 9 2" xfId="261"/>
    <cellStyle name="Normal 4" xfId="262"/>
    <cellStyle name="Normal 4 2" xfId="263"/>
    <cellStyle name="Normal 4 3" xfId="264"/>
    <cellStyle name="Normal 4 4" xfId="265"/>
    <cellStyle name="Normal 4 5" xfId="266"/>
    <cellStyle name="Normal 4 6" xfId="267"/>
    <cellStyle name="Normal 5" xfId="268"/>
    <cellStyle name="Normal 5 2" xfId="269"/>
    <cellStyle name="Normal 5 3" xfId="270"/>
    <cellStyle name="Normal 5 4" xfId="271"/>
    <cellStyle name="Normal 5 5" xfId="272"/>
    <cellStyle name="Normal 5 6" xfId="273"/>
    <cellStyle name="Normal 6" xfId="274"/>
    <cellStyle name="Normal 6 2" xfId="275"/>
    <cellStyle name="Normal 6 3" xfId="276"/>
    <cellStyle name="Normal 6 4" xfId="277"/>
    <cellStyle name="Normal 6 4 2" xfId="278"/>
    <cellStyle name="Normal 6 5" xfId="279"/>
    <cellStyle name="Normal 6 6" xfId="280"/>
    <cellStyle name="Normal 6 7" xfId="281"/>
    <cellStyle name="Normal 7" xfId="282"/>
    <cellStyle name="Normal 7 2" xfId="283"/>
    <cellStyle name="Normal 7 3" xfId="284"/>
    <cellStyle name="Normal 7 4" xfId="285"/>
    <cellStyle name="Normal 7 4 2" xfId="286"/>
    <cellStyle name="Normal 7 5" xfId="287"/>
    <cellStyle name="Normal 7 6" xfId="288"/>
    <cellStyle name="Normal 7 7" xfId="289"/>
    <cellStyle name="Normal 8" xfId="290"/>
    <cellStyle name="Normal 8 2" xfId="291"/>
    <cellStyle name="Normal 8 3" xfId="292"/>
    <cellStyle name="Normal 8 4" xfId="293"/>
    <cellStyle name="Normal 8 5" xfId="294"/>
    <cellStyle name="Normal 8 6" xfId="295"/>
    <cellStyle name="Normal 9" xfId="296"/>
    <cellStyle name="Normal 9 2" xfId="297"/>
    <cellStyle name="Normal 9 3" xfId="298"/>
    <cellStyle name="Normal 9 4" xfId="299"/>
    <cellStyle name="Percent [2]" xfId="300"/>
    <cellStyle name="Red" xfId="301"/>
    <cellStyle name="Style 1" xfId="302"/>
    <cellStyle name="Währung [0]_RESULTS" xfId="303"/>
    <cellStyle name="Währung_RESULTS" xfId="304"/>
    <cellStyle name="똿뗦먛귟 [0.00]_PRODUCT DETAIL Q1" xfId="305"/>
    <cellStyle name="똿뗦먛귟_PRODUCT DETAIL Q1" xfId="306"/>
    <cellStyle name="믅됞 [0.00]_PRODUCT DETAIL Q1" xfId="307"/>
    <cellStyle name="믅됞_PRODUCT DETAIL Q1" xfId="308"/>
    <cellStyle name="백분율_HOBONG" xfId="309"/>
    <cellStyle name="뷭?_BOOKSHIP" xfId="310"/>
    <cellStyle name="콤마 [0]_1202" xfId="311"/>
    <cellStyle name="콤마_1202" xfId="312"/>
    <cellStyle name="통화 [0]_1202" xfId="313"/>
    <cellStyle name="통화_1202" xfId="314"/>
    <cellStyle name="표준_(정보부문)월별인원계획" xfId="315"/>
  </cellStyles>
  <dxfs count="1">
    <dxf>
      <fill>
        <patternFill patternType="solid"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usernames" Target="revisions/userNames.xml"/><Relationship Id="rId10" Type="http://schemas.openxmlformats.org/officeDocument/2006/relationships/revisionHeaders" Target="revisions/revisionHeader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57150</xdr:colOff>
      <xdr:row>40</xdr:row>
      <xdr:rowOff>114300</xdr:rowOff>
    </xdr:from>
    <xdr:to>
      <xdr:col>17</xdr:col>
      <xdr:colOff>142875</xdr:colOff>
      <xdr:row>40</xdr:row>
      <xdr:rowOff>114300</xdr:rowOff>
    </xdr:to>
    <xdr:cxnSp>
      <xdr:nvCxnSpPr>
        <xdr:cNvPr id="2" name="AutoShape 217"/>
        <xdr:cNvCxnSpPr>
          <a:cxnSpLocks noChangeShapeType="1"/>
        </xdr:cNvCxnSpPr>
      </xdr:nvCxnSpPr>
      <xdr:spPr>
        <a:xfrm>
          <a:off x="2387600" y="7505700"/>
          <a:ext cx="1819275" cy="0"/>
        </a:xfrm>
        <a:prstGeom prst="straightConnector1">
          <a:avLst/>
        </a:prstGeom>
        <a:noFill/>
        <a:ln w="19050">
          <a:solidFill>
            <a:srgbClr val="010000"/>
          </a:solidFill>
          <a:round/>
          <a:tailEnd type="arrow" w="med" len="med"/>
        </a:ln>
        <a:effectLst>
          <a:outerShdw dist="20000" dir="5400000" rotWithShape="0">
            <a:srgbClr val="000000">
              <a:alpha val="37999"/>
            </a:srgbClr>
          </a:outerShdw>
        </a:effectLst>
      </xdr:spPr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57150</xdr:colOff>
      <xdr:row>40</xdr:row>
      <xdr:rowOff>114300</xdr:rowOff>
    </xdr:from>
    <xdr:to>
      <xdr:col>17</xdr:col>
      <xdr:colOff>142875</xdr:colOff>
      <xdr:row>40</xdr:row>
      <xdr:rowOff>114300</xdr:rowOff>
    </xdr:to>
    <xdr:cxnSp>
      <xdr:nvCxnSpPr>
        <xdr:cNvPr id="3289" name="AutoShape 217"/>
        <xdr:cNvCxnSpPr>
          <a:cxnSpLocks noChangeShapeType="1"/>
        </xdr:cNvCxnSpPr>
      </xdr:nvCxnSpPr>
      <xdr:spPr>
        <a:xfrm>
          <a:off x="2393950" y="7486650"/>
          <a:ext cx="1819275" cy="0"/>
        </a:xfrm>
        <a:prstGeom prst="straightConnector1">
          <a:avLst/>
        </a:prstGeom>
        <a:noFill/>
        <a:ln w="19050">
          <a:solidFill>
            <a:srgbClr val="010000"/>
          </a:solidFill>
          <a:round/>
          <a:tailEnd type="arrow" w="med" len="med"/>
        </a:ln>
        <a:effectLst>
          <a:outerShdw dist="20000" dir="5400000" rotWithShape="0">
            <a:srgbClr val="000000">
              <a:alpha val="37999"/>
            </a:srgbClr>
          </a:outerShdw>
        </a:effec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leman\AppData\Local\Microsoft\Windows\INetCache\IE\LZHMHXKU\Advance%20Tax%20Calculation%2020-2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ME"/>
      <sheetName val="All Teacher Data"/>
      <sheetName val="DATA"/>
      <sheetName val="PAGAR SLIP"/>
      <sheetName val="pre calculation OLD"/>
      <sheetName val="pre calculation NEW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9" Type="http://schemas.openxmlformats.org/officeDocument/2006/relationships/revisionLog" Target="revisionLog9.xml"/><Relationship Id="rId8" Type="http://schemas.openxmlformats.org/officeDocument/2006/relationships/revisionLog" Target="revisionLog8.xml"/><Relationship Id="rId7" Type="http://schemas.openxmlformats.org/officeDocument/2006/relationships/revisionLog" Target="revisionLog7.xml"/><Relationship Id="rId6" Type="http://schemas.openxmlformats.org/officeDocument/2006/relationships/revisionLog" Target="revisionLog6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Relationship Id="rId3" Type="http://schemas.openxmlformats.org/officeDocument/2006/relationships/revisionLog" Target="revisionLog3.xml"/><Relationship Id="rId20" Type="http://schemas.openxmlformats.org/officeDocument/2006/relationships/revisionLog" Target="revisionLog20.xml"/><Relationship Id="rId2" Type="http://schemas.openxmlformats.org/officeDocument/2006/relationships/revisionLog" Target="revisionLog2.xml"/><Relationship Id="rId19" Type="http://schemas.openxmlformats.org/officeDocument/2006/relationships/revisionLog" Target="revisionLog19.xml"/><Relationship Id="rId18" Type="http://schemas.openxmlformats.org/officeDocument/2006/relationships/revisionLog" Target="revisionLog18.xml"/><Relationship Id="rId17" Type="http://schemas.openxmlformats.org/officeDocument/2006/relationships/revisionLog" Target="revisionLog17.xml"/><Relationship Id="rId16" Type="http://schemas.openxmlformats.org/officeDocument/2006/relationships/revisionLog" Target="revisionLog16.xml"/><Relationship Id="rId15" Type="http://schemas.openxmlformats.org/officeDocument/2006/relationships/revisionLog" Target="revisionLog15.xml"/><Relationship Id="rId14" Type="http://schemas.openxmlformats.org/officeDocument/2006/relationships/revisionLog" Target="revisionLog14.xml"/><Relationship Id="rId13" Type="http://schemas.openxmlformats.org/officeDocument/2006/relationships/revisionLog" Target="revisionLog13.xml"/><Relationship Id="rId12" Type="http://schemas.openxmlformats.org/officeDocument/2006/relationships/revisionLog" Target="revisionLog12.xml"/><Relationship Id="rId11" Type="http://schemas.openxmlformats.org/officeDocument/2006/relationships/revisionLog" Target="revisionLog11.xml"/><Relationship Id="rId10" Type="http://schemas.openxmlformats.org/officeDocument/2006/relationships/revisionLog" Target="revisionLog10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8F43195B-4489-4633-8CD4-E10C945583A8}" diskRevisions="1" revisionId="482" version="4" protected="1">
  <header guid="{D195D607-5B74-47EF-ACB6-5BC72F6E6CF5}" dateTime="2023-12-15T02:13:06" maxSheetId="5" userName="admin" r:id="rId1">
    <sheetIdMap count="4">
      <sheetId val="1"/>
      <sheetId val="2"/>
      <sheetId val="3"/>
      <sheetId val="4"/>
    </sheetIdMap>
  </header>
  <header guid="{9F677C9D-FF83-4BAC-9470-2494344D946F}" dateTime="2023-12-15T02:28:31" maxSheetId="5" userName="admin" r:id="rId2" minRId="1" maxRId="69">
    <sheetIdMap count="4">
      <sheetId val="1"/>
      <sheetId val="2"/>
      <sheetId val="3"/>
      <sheetId val="4"/>
    </sheetIdMap>
  </header>
  <header guid="{F8FFA468-849D-4203-9CED-849E238A2313}" dateTime="2023-12-15T02:28:51" maxSheetId="5" userName="admin" r:id="rId3">
    <sheetIdMap count="4">
      <sheetId val="1"/>
      <sheetId val="2"/>
      <sheetId val="3"/>
      <sheetId val="4"/>
    </sheetIdMap>
  </header>
  <header guid="{F2053B30-C490-4867-AD16-26092FC70367}" dateTime="2023-12-15T02:29:20" maxSheetId="5" userName="admin" r:id="rId4">
    <sheetIdMap count="4">
      <sheetId val="1"/>
      <sheetId val="2"/>
      <sheetId val="3"/>
      <sheetId val="4"/>
    </sheetIdMap>
  </header>
  <header guid="{2791EB0E-19F4-4048-A6F7-D6C2D2338C9D}" dateTime="2023-12-15T02:29:36" maxSheetId="5" userName="admin" r:id="rId5">
    <sheetIdMap count="4">
      <sheetId val="1"/>
      <sheetId val="2"/>
      <sheetId val="3"/>
      <sheetId val="4"/>
    </sheetIdMap>
  </header>
  <header guid="{0EBAB963-593B-46A9-9530-608E2315BCDE}" dateTime="2023-12-15T02:30:48" maxSheetId="5" userName="admin" r:id="rId6" minRId="114" maxRId="124">
    <sheetIdMap count="4">
      <sheetId val="1"/>
      <sheetId val="2"/>
      <sheetId val="3"/>
      <sheetId val="4"/>
    </sheetIdMap>
  </header>
  <header guid="{80C2E85A-C387-4BE2-A6B2-72DDAB6B5EDD}" dateTime="2023-12-15T02:31:22" maxSheetId="5" userName="admin" r:id="rId7" minRId="136" maxRId="145">
    <sheetIdMap count="4">
      <sheetId val="1"/>
      <sheetId val="2"/>
      <sheetId val="3"/>
      <sheetId val="4"/>
    </sheetIdMap>
  </header>
  <header guid="{9B7EA6EF-19F9-4CC5-83E8-5631078A953E}" dateTime="2023-12-15T02:31:43" maxSheetId="5" userName="admin" r:id="rId8">
    <sheetIdMap count="4">
      <sheetId val="1"/>
      <sheetId val="2"/>
      <sheetId val="3"/>
      <sheetId val="4"/>
    </sheetIdMap>
  </header>
  <header guid="{EDB0AD43-DF30-4703-A136-B27019D7B15D}" dateTime="2023-12-21T18:45:13" maxSheetId="5" userName="RAEES" r:id="rId9" minRId="168" maxRId="176">
    <sheetIdMap count="4">
      <sheetId val="1"/>
      <sheetId val="2"/>
      <sheetId val="3"/>
      <sheetId val="4"/>
    </sheetIdMap>
  </header>
  <header guid="{CD1EA247-A411-41A2-999F-EF88281085CF}" dateTime="2023-12-21T19:45:47" maxSheetId="6" userName="RAEES" r:id="rId10" minRId="188" maxRId="198">
    <sheetIdMap count="5">
      <sheetId val="1"/>
      <sheetId val="2"/>
      <sheetId val="3"/>
      <sheetId val="4"/>
      <sheetId val="5"/>
    </sheetIdMap>
  </header>
  <header guid="{B7D33496-8A42-4670-9851-9AA5E6CED788}" dateTime="2023-12-22T13:24:34" maxSheetId="6" userName="RAEES" r:id="rId11" minRId="210" maxRId="314">
    <sheetIdMap count="5">
      <sheetId val="1"/>
      <sheetId val="2"/>
      <sheetId val="3"/>
      <sheetId val="4"/>
      <sheetId val="5"/>
    </sheetIdMap>
  </header>
  <header guid="{D24096FC-74A7-4DA4-B9E6-A4BE14E99CED}" dateTime="2023-12-22T14:39:04" maxSheetId="6" userName="RAEES" r:id="rId12">
    <sheetIdMap count="5">
      <sheetId val="1"/>
      <sheetId val="2"/>
      <sheetId val="3"/>
      <sheetId val="4"/>
      <sheetId val="5"/>
    </sheetIdMap>
  </header>
  <header guid="{56977AA4-F508-4C5C-8699-E21E74F2F7D2}" dateTime="2023-12-22T14:55:17" maxSheetId="6" userName="RAEES" r:id="rId13">
    <sheetIdMap count="5">
      <sheetId val="1"/>
      <sheetId val="2"/>
      <sheetId val="3"/>
      <sheetId val="4"/>
      <sheetId val="5"/>
    </sheetIdMap>
  </header>
  <header guid="{163B6C2B-1898-44F5-8574-BBA9596B84CE}" dateTime="2023-12-22T14:55:50" maxSheetId="6" userName="RAEES" r:id="rId14" minRId="337" maxRId="338">
    <sheetIdMap count="5">
      <sheetId val="1"/>
      <sheetId val="2"/>
      <sheetId val="3"/>
      <sheetId val="4"/>
      <sheetId val="5"/>
    </sheetIdMap>
  </header>
  <header guid="{78601B0B-A833-4C14-A0FB-76500B7ED461}" dateTime="2023-12-22T14:56:16" maxSheetId="6" userName="RAEES" r:id="rId15">
    <sheetIdMap count="5">
      <sheetId val="1"/>
      <sheetId val="2"/>
      <sheetId val="3"/>
      <sheetId val="4"/>
      <sheetId val="5"/>
    </sheetIdMap>
  </header>
  <header guid="{81A3F8C5-F104-4950-A497-BE6CFEA8B93E}" dateTime="2023-12-22T15:02:30" maxSheetId="6" userName="RAEES" r:id="rId16">
    <sheetIdMap count="5">
      <sheetId val="1"/>
      <sheetId val="2"/>
      <sheetId val="3"/>
      <sheetId val="4"/>
      <sheetId val="5"/>
    </sheetIdMap>
  </header>
  <header guid="{B3641ADD-4A96-47B4-8181-9C3B2399F29E}" dateTime="2023-12-22T15:03:57" maxSheetId="6" userName="RAEES" r:id="rId17" minRId="350">
    <sheetIdMap count="5">
      <sheetId val="1"/>
      <sheetId val="2"/>
      <sheetId val="3"/>
      <sheetId val="4"/>
      <sheetId val="5"/>
    </sheetIdMap>
  </header>
  <header guid="{7752C608-C41A-4D0C-BEFC-EFA2F568B8C9}" dateTime="2023-12-22T15:12:08" maxSheetId="6" userName="RAEES" r:id="rId18" minRId="351" maxRId="353">
    <sheetIdMap count="5">
      <sheetId val="1"/>
      <sheetId val="2"/>
      <sheetId val="3"/>
      <sheetId val="4"/>
      <sheetId val="5"/>
    </sheetIdMap>
  </header>
  <header guid="{13BC7D86-B3E3-4D9B-95F7-FF7B25A7D554}" dateTime="2023-12-22T15:20:39" maxSheetId="6" userName="RAEES" r:id="rId19">
    <sheetIdMap count="5">
      <sheetId val="1"/>
      <sheetId val="2"/>
      <sheetId val="3"/>
      <sheetId val="4"/>
      <sheetId val="5"/>
    </sheetIdMap>
  </header>
  <header guid="{8F43195B-4489-4633-8CD4-E10C945583A8}" dateTime="2023-12-22T20:22:11" maxSheetId="6" userName="PRATHANSINH" r:id="rId20" minRId="354" maxRId="482">
    <sheetIdMap count="5">
      <sheetId val="1"/>
      <sheetId val="2"/>
      <sheetId val="3"/>
      <sheetId val="4"/>
      <sheetId val="5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/>
</file>

<file path=xl/revisions/revisionLog2.xml><?xml version="1.0" encoding="utf-8"?>
<revisions xmlns="http://schemas.openxmlformats.org/spreadsheetml/2006/main" xmlns:r="http://schemas.openxmlformats.org/officeDocument/2006/relationships">
  <rcc rId="1" sId="1">
    <oc r="K1" t="inlineStr">
      <is>
        <t>હા</t>
      </is>
    </oc>
    <nc r="K1" t="inlineStr">
      <is>
        <t>ના</t>
      </is>
    </nc>
  </rcc>
  <rcc rId="2" sId="1">
    <nc r="G17" t="inlineStr">
      <is>
        <t>અન્ય</t>
      </is>
    </nc>
  </rcc>
  <rcc rId="3" sId="1">
    <nc r="G18" t="inlineStr">
      <is>
        <t xml:space="preserve">અન્ય </t>
      </is>
    </nc>
  </rcc>
  <rcc rId="4" sId="1" numFmtId="34">
    <nc r="X21">
      <v>0</v>
    </nc>
  </rcc>
  <rcc rId="5" sId="1" numFmtId="34">
    <nc r="X22">
      <v>0</v>
    </nc>
  </rcc>
  <rcc rId="6" sId="1" numFmtId="34">
    <nc r="X23">
      <v>0</v>
    </nc>
  </rcc>
  <rcc rId="7" sId="1" numFmtId="34">
    <nc r="X24">
      <v>0</v>
    </nc>
  </rcc>
  <rcc rId="8" sId="1" numFmtId="34">
    <nc r="X25">
      <v>0</v>
    </nc>
  </rcc>
  <rcc rId="9" sId="1" numFmtId="34">
    <nc r="X26">
      <v>0</v>
    </nc>
  </rcc>
  <rcc rId="10" sId="1" numFmtId="34">
    <nc r="X27">
      <v>0</v>
    </nc>
  </rcc>
  <rcc rId="11" sId="3">
    <oc r="K1" t="inlineStr">
      <is>
        <t>ના</t>
      </is>
    </oc>
    <nc r="K1" t="inlineStr">
      <is>
        <t>હા</t>
      </is>
    </nc>
  </rcc>
  <rcc rId="12" sId="1">
    <nc r="F4">
      <v>9</v>
    </nc>
  </rcc>
  <rcc rId="13" sId="1">
    <nc r="G4">
      <v>7</v>
    </nc>
  </rcc>
  <rcc rId="14" sId="1">
    <nc r="H4">
      <v>2</v>
    </nc>
  </rcc>
  <rcc rId="15" sId="1">
    <nc r="I4">
      <v>5</v>
    </nc>
  </rcc>
  <rcc rId="16" sId="1">
    <nc r="J4">
      <v>3</v>
    </nc>
  </rcc>
  <rcc rId="17" sId="1">
    <nc r="K4">
      <v>9</v>
    </nc>
  </rcc>
  <rcc rId="18" sId="1">
    <nc r="L4">
      <v>0</v>
    </nc>
  </rcc>
  <rcc rId="19" sId="1">
    <nc r="M4">
      <v>1</v>
    </nc>
  </rcc>
  <rcc rId="20" sId="1">
    <nc r="N4">
      <v>9</v>
    </nc>
  </rcc>
  <rcc rId="21" sId="1">
    <nc r="O4">
      <v>2</v>
    </nc>
  </rcc>
  <rcc rId="22" sId="1">
    <nc r="I8" t="inlineStr">
      <is>
        <t xml:space="preserve">Bhovaniya Suleman Ibrahimbhai </t>
      </is>
    </nc>
  </rcc>
  <rcc rId="23" sId="1">
    <nc r="Z8" t="inlineStr">
      <is>
        <t>As Teachers</t>
      </is>
    </nc>
  </rcc>
  <rcc rId="24" sId="1">
    <nc r="I9" t="inlineStr">
      <is>
        <t xml:space="preserve">Dulasan Pri School </t>
      </is>
    </nc>
  </rcc>
  <rcc rId="25" sId="1" odxf="1" dxf="1">
    <nc r="Z9" t="inlineStr">
      <is>
        <t>*******</t>
      </is>
    </nc>
    <odxf/>
    <ndxf/>
  </rcc>
  <rcc rId="26" sId="1">
    <nc r="I10" t="inlineStr">
      <is>
        <t>*******</t>
      </is>
    </nc>
  </rcc>
  <rcc rId="27" sId="1">
    <nc r="R10" t="inlineStr">
      <is>
        <t>******</t>
      </is>
    </nc>
  </rcc>
  <rcc rId="28" sId="1">
    <nc r="Z10" t="inlineStr">
      <is>
        <t>*****</t>
      </is>
    </nc>
  </rcc>
  <rcc rId="29" sId="1">
    <nc r="V4" t="inlineStr">
      <is>
        <t>*</t>
      </is>
    </nc>
  </rcc>
  <rcc rId="30" sId="1">
    <nc r="W4" t="inlineStr">
      <is>
        <t>*</t>
      </is>
    </nc>
  </rcc>
  <rcc rId="31" sId="1">
    <nc r="X4" t="inlineStr">
      <is>
        <t>*</t>
      </is>
    </nc>
  </rcc>
  <rcc rId="32" sId="1">
    <nc r="Y4" t="inlineStr">
      <is>
        <t>*</t>
      </is>
    </nc>
  </rcc>
  <rcc rId="33" sId="1">
    <nc r="Z4" t="inlineStr">
      <is>
        <t>*</t>
      </is>
    </nc>
  </rcc>
  <rcc rId="34" sId="1">
    <nc r="AA4" t="inlineStr">
      <is>
        <t>*</t>
      </is>
    </nc>
  </rcc>
  <rcc rId="35" sId="1">
    <nc r="AB4" t="inlineStr">
      <is>
        <t>*</t>
      </is>
    </nc>
  </rcc>
  <rcc rId="36" sId="1">
    <nc r="AC4" t="inlineStr">
      <is>
        <t>*</t>
      </is>
    </nc>
  </rcc>
  <rcc rId="37" sId="1">
    <nc r="AD4" t="inlineStr">
      <is>
        <t>*</t>
      </is>
    </nc>
  </rcc>
  <rcc rId="38" sId="1">
    <nc r="AE4" t="inlineStr">
      <is>
        <t>*</t>
      </is>
    </nc>
  </rcc>
  <rcc rId="39" sId="1">
    <nc r="F6" t="inlineStr">
      <is>
        <t>*</t>
      </is>
    </nc>
  </rcc>
  <rcc rId="40" sId="1">
    <nc r="G6" t="inlineStr">
      <is>
        <t>*</t>
      </is>
    </nc>
  </rcc>
  <rcc rId="41" sId="1">
    <nc r="H6" t="inlineStr">
      <is>
        <t>*</t>
      </is>
    </nc>
  </rcc>
  <rcc rId="42" sId="1">
    <nc r="I6" t="inlineStr">
      <is>
        <t>*</t>
      </is>
    </nc>
  </rcc>
  <rcc rId="43" sId="1">
    <nc r="J6" t="inlineStr">
      <is>
        <t>*</t>
      </is>
    </nc>
  </rcc>
  <rcc rId="44" sId="1">
    <nc r="K6" t="inlineStr">
      <is>
        <t>*</t>
      </is>
    </nc>
  </rcc>
  <rcc rId="45" sId="1">
    <nc r="L6" t="inlineStr">
      <is>
        <t>*</t>
      </is>
    </nc>
  </rcc>
  <rcc rId="46" sId="1">
    <nc r="M6" t="inlineStr">
      <is>
        <t>*</t>
      </is>
    </nc>
  </rcc>
  <rcc rId="47" sId="1">
    <nc r="N6">
      <v>2</v>
    </nc>
  </rcc>
  <rcc rId="48" sId="1">
    <nc r="O6">
      <v>5</v>
    </nc>
  </rcc>
  <rcc rId="49" sId="1">
    <nc r="P6">
      <v>8</v>
    </nc>
  </rcc>
  <rcc rId="50" sId="1">
    <nc r="Q6">
      <v>7</v>
    </nc>
  </rcc>
  <rcc rId="51" sId="1">
    <nc r="V6">
      <v>1</v>
    </nc>
  </rcc>
  <rcc rId="52" sId="1">
    <nc r="W6">
      <v>5</v>
    </nc>
  </rcc>
  <rcc rId="53" sId="1">
    <nc r="Y6">
      <v>0</v>
    </nc>
  </rcc>
  <rcc rId="54" sId="1">
    <nc r="Z6">
      <v>7</v>
    </nc>
  </rcc>
  <rcc rId="55" sId="1">
    <nc r="AB6">
      <v>1</v>
    </nc>
  </rcc>
  <rcc rId="56" sId="1">
    <nc r="AC6">
      <v>9</v>
    </nc>
  </rcc>
  <rcc rId="57" sId="1">
    <nc r="AD6">
      <v>7</v>
    </nc>
  </rcc>
  <rcc rId="58" sId="1">
    <nc r="AE6">
      <v>0</v>
    </nc>
  </rcc>
  <rcc rId="59" sId="1" numFmtId="34">
    <nc r="S37">
      <v>0</v>
    </nc>
  </rcc>
  <rcc rId="60" sId="1" numFmtId="34">
    <nc r="S31">
      <v>0</v>
    </nc>
  </rcc>
  <rcc rId="61" sId="1" numFmtId="34">
    <nc r="S32">
      <v>0</v>
    </nc>
  </rcc>
  <rcc rId="62" sId="1" numFmtId="34">
    <nc r="S33">
      <v>0</v>
    </nc>
  </rcc>
  <rcc rId="63" sId="1" numFmtId="34">
    <nc r="S35">
      <v>0</v>
    </nc>
  </rcc>
  <rcc rId="64" sId="1" numFmtId="34">
    <nc r="S38">
      <v>0</v>
    </nc>
  </rcc>
  <rcc rId="65" sId="1" numFmtId="34">
    <nc r="S39">
      <v>0</v>
    </nc>
  </rcc>
  <rcc rId="66" sId="1" numFmtId="34">
    <nc r="S17">
      <v>0</v>
    </nc>
  </rcc>
  <rcc rId="67" sId="1" numFmtId="34">
    <nc r="S36">
      <v>0</v>
    </nc>
  </rcc>
  <rcc rId="68" sId="1" numFmtId="34">
    <nc r="L25">
      <v>0</v>
    </nc>
  </rcc>
  <rcc rId="69" sId="1" numFmtId="34">
    <nc r="S18">
      <v>0</v>
    </nc>
  </rcc>
  <rcv guid="{6B449CA7-43A5-4BFF-BFE3-4A3E3D45323D}" action="delete"/>
  <rdn rId="0" localSheetId="1" customView="1" name="Z_6B449CA7_43A5_4BFF_BFE3_4A3E3D45323D_.wvu.PrintArea" hidden="1" oldHidden="1">
    <formula>OLD!$B$2:$AF$60</formula>
    <oldFormula>OLD!$B$2:$AF$60</oldFormula>
  </rdn>
  <rdn rId="0" localSheetId="1" customView="1" name="Z_6B449CA7_43A5_4BFF_BFE3_4A3E3D45323D_.wvu.Rows" hidden="1" oldHidden="1">
    <formula>OLD!$349:$1048576,OLD!$62:$348</formula>
    <oldFormula>OLD!$349:$1048576,OLD!$62:$348</oldFormula>
  </rdn>
  <rdn rId="0" localSheetId="1" customView="1" name="Z_6B449CA7_43A5_4BFF_BFE3_4A3E3D45323D_.wvu.Cols" hidden="1" oldHidden="1">
    <formula>OLD!$AH:$XFD</formula>
    <oldFormula>OLD!$AH:$XFD</oldFormula>
  </rdn>
  <rdn rId="0" localSheetId="2" customView="1" name="Z_6B449CA7_43A5_4BFF_BFE3_4A3E3D45323D_.wvu.PrintArea" hidden="1" oldHidden="1">
    <formula>'KPAT PTRK '!$B$2:$O$44</formula>
    <oldFormula>'KPAT PTRK '!$B$2:$O$44</oldFormula>
  </rdn>
  <rdn rId="0" localSheetId="2" customView="1" name="Z_6B449CA7_43A5_4BFF_BFE3_4A3E3D45323D_.wvu.Rows" hidden="1" oldHidden="1">
    <formula>'KPAT PTRK '!$1003:$1048576,'KPAT PTRK '!$46:$1002</formula>
    <oldFormula>'KPAT PTRK '!$1003:$1048576,'KPAT PTRK '!$46:$1002</oldFormula>
  </rdn>
  <rdn rId="0" localSheetId="2" customView="1" name="Z_6B449CA7_43A5_4BFF_BFE3_4A3E3D45323D_.wvu.Cols" hidden="1" oldHidden="1">
    <formula>'KPAT PTRK '!$Q:$XFD</formula>
    <oldFormula>'KPAT PTRK '!$Q:$XFD</oldFormula>
  </rdn>
  <rdn rId="0" localSheetId="3" customView="1" name="Z_6B449CA7_43A5_4BFF_BFE3_4A3E3D45323D_.wvu.PrintArea" hidden="1" oldHidden="1">
    <formula>NEW!$B$2:$AF$62</formula>
    <oldFormula>NEW!$B$2:$AF$62</oldFormula>
  </rdn>
  <rdn rId="0" localSheetId="3" customView="1" name="Z_6B449CA7_43A5_4BFF_BFE3_4A3E3D45323D_.wvu.Rows" hidden="1" oldHidden="1">
    <formula>NEW!$351:$1048576,NEW!$64:$350</formula>
    <oldFormula>NEW!$351:$1048576,NEW!$64:$350</oldFormula>
  </rdn>
  <rdn rId="0" localSheetId="3" customView="1" name="Z_6B449CA7_43A5_4BFF_BFE3_4A3E3D45323D_.wvu.Cols" hidden="1" oldHidden="1">
    <formula>NEW!$AH:$XFD</formula>
    <oldFormula>NEW!$AH:$XFD</oldFormula>
  </rdn>
  <rdn rId="0" localSheetId="4" customView="1" name="Z_6B449CA7_43A5_4BFF_BFE3_4A3E3D45323D_.wvu.Rows" hidden="1" oldHidden="1">
    <formula>Sheet1!$65537:$1048576,Sheet1!$1:$65536</formula>
    <oldFormula>Sheet1!$65537:$1048576,Sheet1!$1:$65536</oldFormula>
  </rdn>
  <rdn rId="0" localSheetId="4" customView="1" name="Z_6B449CA7_43A5_4BFF_BFE3_4A3E3D45323D_.wvu.Cols" hidden="1" oldHidden="1">
    <formula>Sheet1!$1:$1048576</formula>
    <oldFormula>Sheet1!$1:$1048576</oldFormula>
  </rdn>
  <rcv guid="{6B449CA7-43A5-4BFF-BFE3-4A3E3D45323D}" action="add"/>
</revisions>
</file>

<file path=xl/revisions/revisionLog3.xml><?xml version="1.0" encoding="utf-8"?>
<revisions xmlns="http://schemas.openxmlformats.org/spreadsheetml/2006/main" xmlns:r="http://schemas.openxmlformats.org/officeDocument/2006/relationships">
  <rcv guid="{6B449CA7-43A5-4BFF-BFE3-4A3E3D45323D}" action="delete"/>
  <rdn rId="0" localSheetId="1" customView="1" name="Z_6B449CA7_43A5_4BFF_BFE3_4A3E3D45323D_.wvu.PrintArea" hidden="1" oldHidden="1">
    <formula>OLD!$B$2:$AF$60</formula>
    <oldFormula>OLD!$B$2:$AF$60</oldFormula>
  </rdn>
  <rdn rId="0" localSheetId="1" customView="1" name="Z_6B449CA7_43A5_4BFF_BFE3_4A3E3D45323D_.wvu.Rows" hidden="1" oldHidden="1">
    <formula>OLD!$349:$1048576,OLD!$62:$348</formula>
    <oldFormula>OLD!$349:$1048576,OLD!$62:$348</oldFormula>
  </rdn>
  <rdn rId="0" localSheetId="1" customView="1" name="Z_6B449CA7_43A5_4BFF_BFE3_4A3E3D45323D_.wvu.Cols" hidden="1" oldHidden="1">
    <formula>OLD!$AH:$XFD</formula>
    <oldFormula>OLD!$AH:$XFD</oldFormula>
  </rdn>
  <rdn rId="0" localSheetId="2" customView="1" name="Z_6B449CA7_43A5_4BFF_BFE3_4A3E3D45323D_.wvu.PrintArea" hidden="1" oldHidden="1">
    <formula>'KPAT PTRK '!$B$2:$O$44</formula>
    <oldFormula>'KPAT PTRK '!$B$2:$O$44</oldFormula>
  </rdn>
  <rdn rId="0" localSheetId="2" customView="1" name="Z_6B449CA7_43A5_4BFF_BFE3_4A3E3D45323D_.wvu.Rows" hidden="1" oldHidden="1">
    <formula>'KPAT PTRK '!$1003:$1048576,'KPAT PTRK '!$46:$1002</formula>
    <oldFormula>'KPAT PTRK '!$1003:$1048576,'KPAT PTRK '!$46:$1002</oldFormula>
  </rdn>
  <rdn rId="0" localSheetId="2" customView="1" name="Z_6B449CA7_43A5_4BFF_BFE3_4A3E3D45323D_.wvu.Cols" hidden="1" oldHidden="1">
    <formula>'KPAT PTRK '!$Q:$XFD</formula>
    <oldFormula>'KPAT PTRK '!$Q:$XFD</oldFormula>
  </rdn>
  <rdn rId="0" localSheetId="3" customView="1" name="Z_6B449CA7_43A5_4BFF_BFE3_4A3E3D45323D_.wvu.PrintArea" hidden="1" oldHidden="1">
    <formula>NEW!$B$2:$AF$62</formula>
    <oldFormula>NEW!$B$2:$AF$62</oldFormula>
  </rdn>
  <rdn rId="0" localSheetId="3" customView="1" name="Z_6B449CA7_43A5_4BFF_BFE3_4A3E3D45323D_.wvu.Rows" hidden="1" oldHidden="1">
    <formula>NEW!$351:$1048576,NEW!$64:$350</formula>
    <oldFormula>NEW!$351:$1048576,NEW!$64:$350</oldFormula>
  </rdn>
  <rdn rId="0" localSheetId="3" customView="1" name="Z_6B449CA7_43A5_4BFF_BFE3_4A3E3D45323D_.wvu.Cols" hidden="1" oldHidden="1">
    <formula>NEW!$AH:$XFD</formula>
    <oldFormula>NEW!$AH:$XFD</oldFormula>
  </rdn>
  <rdn rId="0" localSheetId="4" customView="1" name="Z_6B449CA7_43A5_4BFF_BFE3_4A3E3D45323D_.wvu.Rows" hidden="1" oldHidden="1">
    <formula>Sheet1!$65537:$1048576,Sheet1!$1:$65536</formula>
    <oldFormula>Sheet1!$65537:$1048576,Sheet1!$1:$65536</oldFormula>
  </rdn>
  <rdn rId="0" localSheetId="4" customView="1" name="Z_6B449CA7_43A5_4BFF_BFE3_4A3E3D45323D_.wvu.Cols" hidden="1" oldHidden="1">
    <formula>Sheet1!$1:$1048576</formula>
    <oldFormula>Sheet1!$1:$1048576</oldFormula>
  </rdn>
  <rcv guid="{6B449CA7-43A5-4BFF-BFE3-4A3E3D45323D}" action="add"/>
</revisions>
</file>

<file path=xl/revisions/revisionLog4.xml><?xml version="1.0" encoding="utf-8"?>
<revisions xmlns="http://schemas.openxmlformats.org/spreadsheetml/2006/main" xmlns:r="http://schemas.openxmlformats.org/officeDocument/2006/relationships">
  <rcv guid="{6B449CA7-43A5-4BFF-BFE3-4A3E3D45323D}" action="delete"/>
  <rdn rId="0" localSheetId="1" customView="1" name="Z_6B449CA7_43A5_4BFF_BFE3_4A3E3D45323D_.wvu.PrintArea" hidden="1" oldHidden="1">
    <formula>OLD!$B$2:$AF$60</formula>
    <oldFormula>OLD!$B$2:$AF$60</oldFormula>
  </rdn>
  <rdn rId="0" localSheetId="1" customView="1" name="Z_6B449CA7_43A5_4BFF_BFE3_4A3E3D45323D_.wvu.Rows" hidden="1" oldHidden="1">
    <formula>OLD!$349:$1048576,OLD!$62:$348</formula>
    <oldFormula>OLD!$349:$1048576,OLD!$62:$348</oldFormula>
  </rdn>
  <rdn rId="0" localSheetId="1" customView="1" name="Z_6B449CA7_43A5_4BFF_BFE3_4A3E3D45323D_.wvu.Cols" hidden="1" oldHidden="1">
    <formula>OLD!$AH:$XFD</formula>
    <oldFormula>OLD!$AH:$XFD</oldFormula>
  </rdn>
  <rdn rId="0" localSheetId="2" customView="1" name="Z_6B449CA7_43A5_4BFF_BFE3_4A3E3D45323D_.wvu.PrintArea" hidden="1" oldHidden="1">
    <formula>'KPAT PTRK '!$B$2:$O$44</formula>
    <oldFormula>'KPAT PTRK '!$B$2:$O$44</oldFormula>
  </rdn>
  <rdn rId="0" localSheetId="2" customView="1" name="Z_6B449CA7_43A5_4BFF_BFE3_4A3E3D45323D_.wvu.Rows" hidden="1" oldHidden="1">
    <formula>'KPAT PTRK '!$1003:$1048576,'KPAT PTRK '!$46:$1002</formula>
    <oldFormula>'KPAT PTRK '!$1003:$1048576,'KPAT PTRK '!$46:$1002</oldFormula>
  </rdn>
  <rdn rId="0" localSheetId="2" customView="1" name="Z_6B449CA7_43A5_4BFF_BFE3_4A3E3D45323D_.wvu.Cols" hidden="1" oldHidden="1">
    <formula>'KPAT PTRK '!$Q:$XFD</formula>
    <oldFormula>'KPAT PTRK '!$Q:$XFD</oldFormula>
  </rdn>
  <rdn rId="0" localSheetId="3" customView="1" name="Z_6B449CA7_43A5_4BFF_BFE3_4A3E3D45323D_.wvu.PrintArea" hidden="1" oldHidden="1">
    <formula>NEW!$B$2:$AF$62</formula>
    <oldFormula>NEW!$B$2:$AF$62</oldFormula>
  </rdn>
  <rdn rId="0" localSheetId="3" customView="1" name="Z_6B449CA7_43A5_4BFF_BFE3_4A3E3D45323D_.wvu.Rows" hidden="1" oldHidden="1">
    <formula>NEW!$351:$1048576,NEW!$64:$350</formula>
    <oldFormula>NEW!$351:$1048576,NEW!$64:$350</oldFormula>
  </rdn>
  <rdn rId="0" localSheetId="3" customView="1" name="Z_6B449CA7_43A5_4BFF_BFE3_4A3E3D45323D_.wvu.Cols" hidden="1" oldHidden="1">
    <formula>NEW!$AH:$XFD</formula>
    <oldFormula>NEW!$AH:$XFD</oldFormula>
  </rdn>
  <rdn rId="0" localSheetId="4" customView="1" name="Z_6B449CA7_43A5_4BFF_BFE3_4A3E3D45323D_.wvu.Rows" hidden="1" oldHidden="1">
    <formula>Sheet1!$65537:$1048576,Sheet1!$1:$65536</formula>
    <oldFormula>Sheet1!$65537:$1048576,Sheet1!$1:$65536</oldFormula>
  </rdn>
  <rdn rId="0" localSheetId="4" customView="1" name="Z_6B449CA7_43A5_4BFF_BFE3_4A3E3D45323D_.wvu.Cols" hidden="1" oldHidden="1">
    <formula>Sheet1!$1:$1048576</formula>
    <oldFormula>Sheet1!$1:$1048576</oldFormula>
  </rdn>
  <rcv guid="{6B449CA7-43A5-4BFF-BFE3-4A3E3D45323D}" action="add"/>
</revisions>
</file>

<file path=xl/revisions/revisionLog5.xml><?xml version="1.0" encoding="utf-8"?>
<revisions xmlns="http://schemas.openxmlformats.org/spreadsheetml/2006/main" xmlns:r="http://schemas.openxmlformats.org/officeDocument/2006/relationships">
  <rcv guid="{6B449CA7-43A5-4BFF-BFE3-4A3E3D45323D}" action="delete"/>
  <rdn rId="0" localSheetId="1" customView="1" name="Z_6B449CA7_43A5_4BFF_BFE3_4A3E3D45323D_.wvu.PrintArea" hidden="1" oldHidden="1">
    <formula>OLD!$B$2:$AF$60</formula>
    <oldFormula>OLD!$B$2:$AF$60</oldFormula>
  </rdn>
  <rdn rId="0" localSheetId="1" customView="1" name="Z_6B449CA7_43A5_4BFF_BFE3_4A3E3D45323D_.wvu.Rows" hidden="1" oldHidden="1">
    <formula>OLD!$349:$1048576,OLD!$62:$348</formula>
    <oldFormula>OLD!$349:$1048576,OLD!$62:$348</oldFormula>
  </rdn>
  <rdn rId="0" localSheetId="1" customView="1" name="Z_6B449CA7_43A5_4BFF_BFE3_4A3E3D45323D_.wvu.Cols" hidden="1" oldHidden="1">
    <formula>OLD!$AH:$XFD</formula>
    <oldFormula>OLD!$AH:$XFD</oldFormula>
  </rdn>
  <rdn rId="0" localSheetId="2" customView="1" name="Z_6B449CA7_43A5_4BFF_BFE3_4A3E3D45323D_.wvu.PrintArea" hidden="1" oldHidden="1">
    <formula>'KPAT PTRK '!$B$2:$O$44</formula>
    <oldFormula>'KPAT PTRK '!$B$2:$O$44</oldFormula>
  </rdn>
  <rdn rId="0" localSheetId="2" customView="1" name="Z_6B449CA7_43A5_4BFF_BFE3_4A3E3D45323D_.wvu.Rows" hidden="1" oldHidden="1">
    <formula>'KPAT PTRK '!$1003:$1048576,'KPAT PTRK '!$46:$1002</formula>
    <oldFormula>'KPAT PTRK '!$1003:$1048576,'KPAT PTRK '!$46:$1002</oldFormula>
  </rdn>
  <rdn rId="0" localSheetId="2" customView="1" name="Z_6B449CA7_43A5_4BFF_BFE3_4A3E3D45323D_.wvu.Cols" hidden="1" oldHidden="1">
    <formula>'KPAT PTRK '!$Q:$XFD</formula>
    <oldFormula>'KPAT PTRK '!$Q:$XFD</oldFormula>
  </rdn>
  <rdn rId="0" localSheetId="3" customView="1" name="Z_6B449CA7_43A5_4BFF_BFE3_4A3E3D45323D_.wvu.PrintArea" hidden="1" oldHidden="1">
    <formula>NEW!$B$2:$AF$62</formula>
    <oldFormula>NEW!$B$2:$AF$62</oldFormula>
  </rdn>
  <rdn rId="0" localSheetId="3" customView="1" name="Z_6B449CA7_43A5_4BFF_BFE3_4A3E3D45323D_.wvu.Rows" hidden="1" oldHidden="1">
    <formula>NEW!$351:$1048576,NEW!$64:$350</formula>
    <oldFormula>NEW!$351:$1048576,NEW!$64:$350</oldFormula>
  </rdn>
  <rdn rId="0" localSheetId="3" customView="1" name="Z_6B449CA7_43A5_4BFF_BFE3_4A3E3D45323D_.wvu.Cols" hidden="1" oldHidden="1">
    <formula>NEW!$AH:$XFD</formula>
    <oldFormula>NEW!$AH:$XFD</oldFormula>
  </rdn>
  <rdn rId="0" localSheetId="4" customView="1" name="Z_6B449CA7_43A5_4BFF_BFE3_4A3E3D45323D_.wvu.Rows" hidden="1" oldHidden="1">
    <formula>Sheet1!$65537:$1048576,Sheet1!$1:$65536</formula>
    <oldFormula>Sheet1!$65537:$1048576,Sheet1!$1:$65536</oldFormula>
  </rdn>
  <rdn rId="0" localSheetId="4" customView="1" name="Z_6B449CA7_43A5_4BFF_BFE3_4A3E3D45323D_.wvu.Cols" hidden="1" oldHidden="1">
    <formula>Sheet1!$1:$1048576</formula>
    <oldFormula>Sheet1!$1:$1048576</oldFormula>
  </rdn>
  <rcv guid="{6B449CA7-43A5-4BFF-BFE3-4A3E3D45323D}" action="add"/>
</revisions>
</file>

<file path=xl/revisions/revisionLog6.xml><?xml version="1.0" encoding="utf-8"?>
<revisions xmlns="http://schemas.openxmlformats.org/spreadsheetml/2006/main" xmlns:r="http://schemas.openxmlformats.org/officeDocument/2006/relationships">
  <rcc rId="114" sId="2">
    <nc r="E6">
      <v>1</v>
    </nc>
  </rcc>
  <rcc rId="115" sId="2">
    <nc r="F6">
      <v>1</v>
    </nc>
  </rcc>
  <rcc rId="116" sId="2">
    <nc r="G6">
      <v>1</v>
    </nc>
  </rcc>
  <rcc rId="117" sId="2">
    <nc r="H6">
      <v>1</v>
    </nc>
  </rcc>
  <rcc rId="118" sId="2">
    <nc r="I6">
      <v>1</v>
    </nc>
  </rcc>
  <rcc rId="119" sId="2">
    <nc r="J6">
      <v>1</v>
    </nc>
  </rcc>
  <rcc rId="120" sId="2">
    <nc r="K6">
      <v>1</v>
    </nc>
  </rcc>
  <rcc rId="121" sId="2">
    <nc r="L6">
      <v>1</v>
    </nc>
  </rcc>
  <rcc rId="122" sId="2">
    <nc r="M6">
      <v>1</v>
    </nc>
  </rcc>
  <rcc rId="123" sId="2">
    <nc r="N6">
      <v>1</v>
    </nc>
  </rcc>
  <rcc rId="124" sId="3">
    <oc r="AC1" t="inlineStr">
      <is>
        <t>C.P.F.</t>
      </is>
    </oc>
    <nc r="AC1" t="inlineStr">
      <is>
        <t>G.P.F.</t>
      </is>
    </nc>
  </rcc>
  <rcv guid="{6B449CA7-43A5-4BFF-BFE3-4A3E3D45323D}" action="delete"/>
  <rdn rId="0" localSheetId="1" customView="1" name="Z_6B449CA7_43A5_4BFF_BFE3_4A3E3D45323D_.wvu.PrintArea" hidden="1" oldHidden="1">
    <formula>OLD!$B$2:$AF$60</formula>
    <oldFormula>OLD!$B$2:$AF$60</oldFormula>
  </rdn>
  <rdn rId="0" localSheetId="1" customView="1" name="Z_6B449CA7_43A5_4BFF_BFE3_4A3E3D45323D_.wvu.Rows" hidden="1" oldHidden="1">
    <formula>OLD!$349:$1048576,OLD!$62:$348</formula>
    <oldFormula>OLD!$349:$1048576,OLD!$62:$348</oldFormula>
  </rdn>
  <rdn rId="0" localSheetId="1" customView="1" name="Z_6B449CA7_43A5_4BFF_BFE3_4A3E3D45323D_.wvu.Cols" hidden="1" oldHidden="1">
    <formula>OLD!$AH:$XFD</formula>
    <oldFormula>OLD!$AH:$XFD</oldFormula>
  </rdn>
  <rdn rId="0" localSheetId="2" customView="1" name="Z_6B449CA7_43A5_4BFF_BFE3_4A3E3D45323D_.wvu.PrintArea" hidden="1" oldHidden="1">
    <formula>'KPAT PTRK '!$B$2:$O$44</formula>
    <oldFormula>'KPAT PTRK '!$B$2:$O$44</oldFormula>
  </rdn>
  <rdn rId="0" localSheetId="2" customView="1" name="Z_6B449CA7_43A5_4BFF_BFE3_4A3E3D45323D_.wvu.Rows" hidden="1" oldHidden="1">
    <formula>'KPAT PTRK '!$1003:$1048576,'KPAT PTRK '!$46:$1002</formula>
    <oldFormula>'KPAT PTRK '!$1003:$1048576,'KPAT PTRK '!$46:$1002</oldFormula>
  </rdn>
  <rdn rId="0" localSheetId="2" customView="1" name="Z_6B449CA7_43A5_4BFF_BFE3_4A3E3D45323D_.wvu.Cols" hidden="1" oldHidden="1">
    <formula>'KPAT PTRK '!$Q:$XFD</formula>
    <oldFormula>'KPAT PTRK '!$Q:$XFD</oldFormula>
  </rdn>
  <rdn rId="0" localSheetId="3" customView="1" name="Z_6B449CA7_43A5_4BFF_BFE3_4A3E3D45323D_.wvu.PrintArea" hidden="1" oldHidden="1">
    <formula>NEW!$B$2:$AF$62</formula>
    <oldFormula>NEW!$B$2:$AF$62</oldFormula>
  </rdn>
  <rdn rId="0" localSheetId="3" customView="1" name="Z_6B449CA7_43A5_4BFF_BFE3_4A3E3D45323D_.wvu.Rows" hidden="1" oldHidden="1">
    <formula>NEW!$351:$1048576,NEW!$64:$350</formula>
    <oldFormula>NEW!$351:$1048576,NEW!$64:$350</oldFormula>
  </rdn>
  <rdn rId="0" localSheetId="3" customView="1" name="Z_6B449CA7_43A5_4BFF_BFE3_4A3E3D45323D_.wvu.Cols" hidden="1" oldHidden="1">
    <formula>NEW!$AH:$XFD</formula>
    <oldFormula>NEW!$AH:$XFD</oldFormula>
  </rdn>
  <rdn rId="0" localSheetId="4" customView="1" name="Z_6B449CA7_43A5_4BFF_BFE3_4A3E3D45323D_.wvu.Rows" hidden="1" oldHidden="1">
    <formula>Sheet1!$65537:$1048576,Sheet1!$1:$65536</formula>
    <oldFormula>Sheet1!$65537:$1048576,Sheet1!$1:$65536</oldFormula>
  </rdn>
  <rdn rId="0" localSheetId="4" customView="1" name="Z_6B449CA7_43A5_4BFF_BFE3_4A3E3D45323D_.wvu.Cols" hidden="1" oldHidden="1">
    <formula>Sheet1!$1:$1048576</formula>
    <oldFormula>Sheet1!$1:$1048576</oldFormula>
  </rdn>
  <rcv guid="{6B449CA7-43A5-4BFF-BFE3-4A3E3D45323D}" action="add"/>
</revisions>
</file>

<file path=xl/revisions/revisionLog7.xml><?xml version="1.0" encoding="utf-8"?>
<revisions xmlns="http://schemas.openxmlformats.org/spreadsheetml/2006/main" xmlns:r="http://schemas.openxmlformats.org/officeDocument/2006/relationships">
  <rcc rId="136" sId="2">
    <oc r="E6">
      <v>1</v>
    </oc>
    <nc r="E6"/>
  </rcc>
  <rcc rId="137" sId="2">
    <oc r="F6">
      <v>1</v>
    </oc>
    <nc r="F6"/>
  </rcc>
  <rcc rId="138" sId="2">
    <oc r="G6">
      <v>1</v>
    </oc>
    <nc r="G6"/>
  </rcc>
  <rcc rId="139" sId="2">
    <oc r="H6">
      <v>1</v>
    </oc>
    <nc r="H6"/>
  </rcc>
  <rcc rId="140" sId="2">
    <oc r="I6">
      <v>1</v>
    </oc>
    <nc r="I6"/>
  </rcc>
  <rcc rId="141" sId="2">
    <oc r="J6">
      <v>1</v>
    </oc>
    <nc r="J6"/>
  </rcc>
  <rcc rId="142" sId="2">
    <oc r="K6">
      <v>1</v>
    </oc>
    <nc r="K6"/>
  </rcc>
  <rcc rId="143" sId="2">
    <oc r="L6">
      <v>1</v>
    </oc>
    <nc r="L6"/>
  </rcc>
  <rcc rId="144" sId="2">
    <oc r="M6">
      <v>1</v>
    </oc>
    <nc r="M6"/>
  </rcc>
  <rcc rId="145" sId="2">
    <oc r="N6">
      <v>1</v>
    </oc>
    <nc r="N6"/>
  </rcc>
  <rcv guid="{6B449CA7-43A5-4BFF-BFE3-4A3E3D45323D}" action="delete"/>
  <rdn rId="0" localSheetId="1" customView="1" name="Z_6B449CA7_43A5_4BFF_BFE3_4A3E3D45323D_.wvu.PrintArea" hidden="1" oldHidden="1">
    <formula>OLD!$B$2:$AF$60</formula>
    <oldFormula>OLD!$B$2:$AF$60</oldFormula>
  </rdn>
  <rdn rId="0" localSheetId="1" customView="1" name="Z_6B449CA7_43A5_4BFF_BFE3_4A3E3D45323D_.wvu.Rows" hidden="1" oldHidden="1">
    <formula>OLD!$349:$1048576,OLD!$62:$348</formula>
    <oldFormula>OLD!$349:$1048576,OLD!$62:$348</oldFormula>
  </rdn>
  <rdn rId="0" localSheetId="1" customView="1" name="Z_6B449CA7_43A5_4BFF_BFE3_4A3E3D45323D_.wvu.Cols" hidden="1" oldHidden="1">
    <formula>OLD!$AH:$XFD</formula>
    <oldFormula>OLD!$AH:$XFD</oldFormula>
  </rdn>
  <rdn rId="0" localSheetId="2" customView="1" name="Z_6B449CA7_43A5_4BFF_BFE3_4A3E3D45323D_.wvu.PrintArea" hidden="1" oldHidden="1">
    <formula>'KPAT PTRK '!$B$2:$O$44</formula>
    <oldFormula>'KPAT PTRK '!$B$2:$O$44</oldFormula>
  </rdn>
  <rdn rId="0" localSheetId="2" customView="1" name="Z_6B449CA7_43A5_4BFF_BFE3_4A3E3D45323D_.wvu.Rows" hidden="1" oldHidden="1">
    <formula>'KPAT PTRK '!$1003:$1048576,'KPAT PTRK '!$46:$1002</formula>
    <oldFormula>'KPAT PTRK '!$1003:$1048576,'KPAT PTRK '!$46:$1002</oldFormula>
  </rdn>
  <rdn rId="0" localSheetId="2" customView="1" name="Z_6B449CA7_43A5_4BFF_BFE3_4A3E3D45323D_.wvu.Cols" hidden="1" oldHidden="1">
    <formula>'KPAT PTRK '!$Q:$XFD</formula>
    <oldFormula>'KPAT PTRK '!$Q:$XFD</oldFormula>
  </rdn>
  <rdn rId="0" localSheetId="3" customView="1" name="Z_6B449CA7_43A5_4BFF_BFE3_4A3E3D45323D_.wvu.PrintArea" hidden="1" oldHidden="1">
    <formula>NEW!$B$2:$AF$62</formula>
    <oldFormula>NEW!$B$2:$AF$62</oldFormula>
  </rdn>
  <rdn rId="0" localSheetId="3" customView="1" name="Z_6B449CA7_43A5_4BFF_BFE3_4A3E3D45323D_.wvu.Rows" hidden="1" oldHidden="1">
    <formula>NEW!$351:$1048576,NEW!$64:$350</formula>
    <oldFormula>NEW!$351:$1048576,NEW!$64:$350</oldFormula>
  </rdn>
  <rdn rId="0" localSheetId="3" customView="1" name="Z_6B449CA7_43A5_4BFF_BFE3_4A3E3D45323D_.wvu.Cols" hidden="1" oldHidden="1">
    <formula>NEW!$AH:$XFD</formula>
    <oldFormula>NEW!$AH:$XFD</oldFormula>
  </rdn>
  <rdn rId="0" localSheetId="4" customView="1" name="Z_6B449CA7_43A5_4BFF_BFE3_4A3E3D45323D_.wvu.Rows" hidden="1" oldHidden="1">
    <formula>Sheet1!$65537:$1048576,Sheet1!$1:$65536</formula>
    <oldFormula>Sheet1!$65537:$1048576,Sheet1!$1:$65536</oldFormula>
  </rdn>
  <rdn rId="0" localSheetId="4" customView="1" name="Z_6B449CA7_43A5_4BFF_BFE3_4A3E3D45323D_.wvu.Cols" hidden="1" oldHidden="1">
    <formula>Sheet1!$1:$1048576</formula>
    <oldFormula>Sheet1!$1:$1048576</oldFormula>
  </rdn>
  <rcv guid="{6B449CA7-43A5-4BFF-BFE3-4A3E3D45323D}" action="add"/>
</revisions>
</file>

<file path=xl/revisions/revisionLog8.xml><?xml version="1.0" encoding="utf-8"?>
<revisions xmlns="http://schemas.openxmlformats.org/spreadsheetml/2006/main" xmlns:r="http://schemas.openxmlformats.org/officeDocument/2006/relationships">
  <rcv guid="{6B449CA7-43A5-4BFF-BFE3-4A3E3D45323D}" action="delete"/>
  <rdn rId="0" localSheetId="1" customView="1" name="Z_6B449CA7_43A5_4BFF_BFE3_4A3E3D45323D_.wvu.PrintArea" hidden="1" oldHidden="1">
    <formula>OLD!$B$2:$AF$60</formula>
    <oldFormula>OLD!$B$2:$AF$60</oldFormula>
  </rdn>
  <rdn rId="0" localSheetId="1" customView="1" name="Z_6B449CA7_43A5_4BFF_BFE3_4A3E3D45323D_.wvu.Rows" hidden="1" oldHidden="1">
    <formula>OLD!$349:$1048576,OLD!$62:$348</formula>
    <oldFormula>OLD!$349:$1048576,OLD!$62:$348</oldFormula>
  </rdn>
  <rdn rId="0" localSheetId="1" customView="1" name="Z_6B449CA7_43A5_4BFF_BFE3_4A3E3D45323D_.wvu.Cols" hidden="1" oldHidden="1">
    <formula>OLD!$AH:$XFD</formula>
    <oldFormula>OLD!$AH:$XFD</oldFormula>
  </rdn>
  <rdn rId="0" localSheetId="2" customView="1" name="Z_6B449CA7_43A5_4BFF_BFE3_4A3E3D45323D_.wvu.PrintArea" hidden="1" oldHidden="1">
    <formula>'KPAT PTRK '!$B$2:$O$44</formula>
    <oldFormula>'KPAT PTRK '!$B$2:$O$44</oldFormula>
  </rdn>
  <rdn rId="0" localSheetId="2" customView="1" name="Z_6B449CA7_43A5_4BFF_BFE3_4A3E3D45323D_.wvu.Rows" hidden="1" oldHidden="1">
    <formula>'KPAT PTRK '!$1003:$1048576,'KPAT PTRK '!$46:$1002</formula>
    <oldFormula>'KPAT PTRK '!$1003:$1048576,'KPAT PTRK '!$46:$1002</oldFormula>
  </rdn>
  <rdn rId="0" localSheetId="2" customView="1" name="Z_6B449CA7_43A5_4BFF_BFE3_4A3E3D45323D_.wvu.Cols" hidden="1" oldHidden="1">
    <formula>'KPAT PTRK '!$Q:$XFD</formula>
    <oldFormula>'KPAT PTRK '!$Q:$XFD</oldFormula>
  </rdn>
  <rdn rId="0" localSheetId="3" customView="1" name="Z_6B449CA7_43A5_4BFF_BFE3_4A3E3D45323D_.wvu.PrintArea" hidden="1" oldHidden="1">
    <formula>NEW!$B$2:$AF$62</formula>
    <oldFormula>NEW!$B$2:$AF$62</oldFormula>
  </rdn>
  <rdn rId="0" localSheetId="3" customView="1" name="Z_6B449CA7_43A5_4BFF_BFE3_4A3E3D45323D_.wvu.Rows" hidden="1" oldHidden="1">
    <formula>NEW!$351:$1048576,NEW!$64:$350</formula>
    <oldFormula>NEW!$351:$1048576,NEW!$64:$350</oldFormula>
  </rdn>
  <rdn rId="0" localSheetId="3" customView="1" name="Z_6B449CA7_43A5_4BFF_BFE3_4A3E3D45323D_.wvu.Cols" hidden="1" oldHidden="1">
    <formula>NEW!$AH:$XFD</formula>
    <oldFormula>NEW!$AH:$XFD</oldFormula>
  </rdn>
  <rdn rId="0" localSheetId="4" customView="1" name="Z_6B449CA7_43A5_4BFF_BFE3_4A3E3D45323D_.wvu.Rows" hidden="1" oldHidden="1">
    <formula>Sheet1!$65537:$1048576,Sheet1!$1:$65536</formula>
    <oldFormula>Sheet1!$65537:$1048576,Sheet1!$1:$65536</oldFormula>
  </rdn>
  <rdn rId="0" localSheetId="4" customView="1" name="Z_6B449CA7_43A5_4BFF_BFE3_4A3E3D45323D_.wvu.Cols" hidden="1" oldHidden="1">
    <formula>Sheet1!$1:$1048576</formula>
    <oldFormula>Sheet1!$1:$1048576</oldFormula>
  </rdn>
  <rcv guid="{6B449CA7-43A5-4BFF-BFE3-4A3E3D45323D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" sId="1">
    <oc r="G4">
      <v>7</v>
    </oc>
    <nc r="G4">
      <v>5</v>
    </nc>
  </rcc>
  <rcc rId="169" sId="1">
    <oc r="H4">
      <v>2</v>
    </oc>
    <nc r="H4">
      <v>1</v>
    </nc>
  </rcc>
  <rcc rId="170" sId="1">
    <oc r="I4">
      <v>5</v>
    </oc>
    <nc r="I4">
      <v>0</v>
    </nc>
  </rcc>
  <rcc rId="171" sId="1">
    <oc r="J4">
      <v>3</v>
    </oc>
    <nc r="J4">
      <v>1</v>
    </nc>
  </rcc>
  <rcc rId="172" sId="1">
    <oc r="K4">
      <v>9</v>
    </oc>
    <nc r="K4">
      <v>2</v>
    </nc>
  </rcc>
  <rcc rId="173" sId="1">
    <oc r="L4">
      <v>0</v>
    </oc>
    <nc r="L4">
      <v>9</v>
    </nc>
  </rcc>
  <rcc rId="174" sId="1">
    <oc r="M4">
      <v>1</v>
    </oc>
    <nc r="M4">
      <v>6</v>
    </nc>
  </rcc>
  <rcc rId="175" sId="1">
    <oc r="O4">
      <v>2</v>
    </oc>
    <nc r="O4">
      <v>3</v>
    </nc>
  </rcc>
  <rcc rId="176" sId="1">
    <oc r="I8" t="inlineStr">
      <is>
        <t xml:space="preserve">Bhovaniya Suleman Ibrahimbhai </t>
      </is>
    </oc>
    <nc r="I8" t="inlineStr">
      <is>
        <t>RAEES Y PATEL</t>
      </is>
    </nc>
  </rcc>
  <rfmt sheetId="3" sqref="A63:AG1048576">
    <dxf>
      <fill>
        <patternFill>
          <bgColor theme="1"/>
        </patternFill>
      </fill>
    </dxf>
  </rfmt>
  <rfmt sheetId="3" sqref="A63:AG1048576" start="0" length="2147483647">
    <dxf>
      <font>
        <color auto="1"/>
      </font>
    </dxf>
  </rfmt>
  <rfmt sheetId="1" sqref="A61:AG61">
    <dxf>
      <fill>
        <patternFill>
          <bgColor theme="1"/>
        </patternFill>
      </fill>
    </dxf>
  </rfmt>
  <rfmt sheetId="1" sqref="A61:AG61" start="0" length="2147483647">
    <dxf>
      <font>
        <color auto="1"/>
      </font>
    </dxf>
  </rfmt>
  <rfmt sheetId="2" sqref="A45:P45" start="0" length="2147483647">
    <dxf>
      <font>
        <color auto="1"/>
      </font>
    </dxf>
  </rfmt>
  <rfmt sheetId="1" sqref="A1:XFD1048576" start="0" length="2147483647">
    <dxf>
      <font>
        <name val="SHREE_GUJ_OTF_0768"/>
        <charset val="1"/>
      </font>
    </dxf>
  </rfmt>
  <rfmt sheetId="2" sqref="A1:XFD1048576" start="0" length="2147483647">
    <dxf>
      <font>
        <name val="SHREE_GUJ_OTF_0768"/>
        <charset val="1"/>
      </font>
    </dxf>
  </rfmt>
  <rdn rId="0" localSheetId="1" customView="1" name="Z_0E659955_9737_492F_945A_95AC3E0C4088_.wvu.PrintArea" hidden="1" oldHidden="1">
    <formula>OLD!$B$2:$AF$60</formula>
  </rdn>
  <rdn rId="0" localSheetId="1" customView="1" name="Z_0E659955_9737_492F_945A_95AC3E0C4088_.wvu.Rows" hidden="1" oldHidden="1">
    <formula>OLD!$349:$1048576,OLD!$62:$348</formula>
  </rdn>
  <rdn rId="0" localSheetId="1" customView="1" name="Z_0E659955_9737_492F_945A_95AC3E0C4088_.wvu.Cols" hidden="1" oldHidden="1">
    <formula>OLD!$AH:$XFD</formula>
  </rdn>
  <rdn rId="0" localSheetId="2" customView="1" name="Z_0E659955_9737_492F_945A_95AC3E0C4088_.wvu.PrintArea" hidden="1" oldHidden="1">
    <formula>'KPAT PTRK '!$B$2:$O$44</formula>
  </rdn>
  <rdn rId="0" localSheetId="2" customView="1" name="Z_0E659955_9737_492F_945A_95AC3E0C4088_.wvu.Rows" hidden="1" oldHidden="1">
    <formula>'KPAT PTRK '!$1003:$1048576,'KPAT PTRK '!$46:$1002</formula>
  </rdn>
  <rdn rId="0" localSheetId="2" customView="1" name="Z_0E659955_9737_492F_945A_95AC3E0C4088_.wvu.Cols" hidden="1" oldHidden="1">
    <formula>'KPAT PTRK '!$Q:$XFD</formula>
  </rdn>
  <rdn rId="0" localSheetId="3" customView="1" name="Z_0E659955_9737_492F_945A_95AC3E0C4088_.wvu.PrintArea" hidden="1" oldHidden="1">
    <formula>NEW!$B$2:$AF$62</formula>
  </rdn>
  <rdn rId="0" localSheetId="3" customView="1" name="Z_0E659955_9737_492F_945A_95AC3E0C4088_.wvu.Rows" hidden="1" oldHidden="1">
    <formula>NEW!$351:$1048576,NEW!$64:$350</formula>
  </rdn>
  <rdn rId="0" localSheetId="3" customView="1" name="Z_0E659955_9737_492F_945A_95AC3E0C4088_.wvu.Cols" hidden="1" oldHidden="1">
    <formula>NEW!$AH:$XFD</formula>
  </rdn>
  <rdn rId="0" localSheetId="4" customView="1" name="Z_0E659955_9737_492F_945A_95AC3E0C4088_.wvu.Rows" hidden="1" oldHidden="1">
    <formula>Sheet1!$65537:$1048576,Sheet1!$1:$65536</formula>
  </rdn>
  <rdn rId="0" localSheetId="4" customView="1" name="Z_0E659955_9737_492F_945A_95AC3E0C4088_.wvu.Cols" hidden="1" oldHidden="1">
    <formula>Sheet1!$1:$1048576</formula>
  </rdn>
  <rcv guid="{0E659955-9737-492F-945A-95AC3E0C4088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2" start="0" length="0">
    <dxf>
      <font>
        <u/>
        <sz val="10"/>
        <color auto="1"/>
        <name val="Arial"/>
        <family val="2"/>
        <scheme val="none"/>
      </font>
    </dxf>
  </rfmt>
  <rfmt sheetId="5" sqref="A2" start="0" length="2147483647">
    <dxf>
      <font>
        <b/>
      </font>
    </dxf>
  </rfmt>
  <rfmt sheetId="5" sqref="A2" start="0" length="2147483647">
    <dxf>
      <font>
        <u val="none"/>
      </font>
    </dxf>
  </rfmt>
  <rfmt sheetId="5" sqref="A2" start="0" length="2147483647">
    <dxf>
      <font>
        <b val="0"/>
      </font>
    </dxf>
  </rfmt>
  <rfmt sheetId="5" sqref="A2" start="0" length="2147483647">
    <dxf>
      <font>
        <b/>
      </font>
    </dxf>
  </rfmt>
  <rfmt sheetId="5" sqref="A2" start="0" length="0">
    <dxf>
      <font>
        <u/>
      </font>
    </dxf>
  </rfmt>
  <rfmt sheetId="5" sqref="A1:XFD1048576" start="0" length="2147483647">
    <dxf>
      <font>
        <name val="SHREE_GUJ_OTF_0768"/>
        <charset val="1"/>
      </font>
    </dxf>
  </rfmt>
  <rrc rId="188" sId="5" eol="1" ref="A3:XFD3" action="insertRow"/>
  <rcc rId="189" sId="5" odxf="1" dxf="1" numFmtId="4">
    <nc r="B3">
      <v>1</v>
    </nc>
    <odxf>
      <numFmt numFmtId="0" formatCode="General"/>
    </odxf>
    <ndxf>
      <numFmt numFmtId="171" formatCode="[$-7000447]0"/>
    </ndxf>
  </rcc>
  <rrc rId="190" sId="5" eol="1" ref="A4:XFD4" action="insertRow"/>
  <rcc rId="191" sId="5" odxf="1" dxf="1" numFmtId="4">
    <nc r="B4">
      <v>2</v>
    </nc>
    <odxf>
      <numFmt numFmtId="0" formatCode="General"/>
    </odxf>
    <ndxf>
      <numFmt numFmtId="171" formatCode="[$-7000447]0"/>
    </ndxf>
  </rcc>
  <rcc rId="192" sId="5">
    <nc r="A2" t="inlineStr">
      <is>
        <t>સૂચના મુજબ ફોર્મ ભરવુ</t>
      </is>
    </nc>
  </rcc>
  <rrc rId="193" sId="5" eol="1" ref="A5:XFD5" action="insertRow"/>
  <rcc rId="194" sId="5" odxf="1" dxf="1" numFmtId="4">
    <nc r="B5">
      <v>3</v>
    </nc>
    <odxf>
      <numFmt numFmtId="0" formatCode="General"/>
    </odxf>
    <ndxf>
      <numFmt numFmtId="171" formatCode="[$-7000447]0"/>
    </ndxf>
  </rcc>
  <rfmt sheetId="5" sqref="A2:C5" start="0" length="2147483647">
    <dxf>
      <font>
        <sz val="14"/>
      </font>
    </dxf>
  </rfmt>
  <rcc rId="195" sId="5">
    <nc r="C5" t="inlineStr">
      <is>
        <t xml:space="preserve">પર્સનલ માહિતી જેમકે નામ,પાનકાર્ડ નંબર,આધાર કાર્ડ નંબર,મોબાઈલ નંબર,વગેરે ની માહિતી જાતે ભરવાની રહશે </t>
      </is>
    </nc>
  </rcc>
  <rrc rId="196" sId="5" eol="1" ref="A6:XFD6" action="insertRow"/>
  <rfmt sheetId="5" sqref="B6" start="0" length="0">
    <dxf>
      <numFmt numFmtId="171" formatCode="[$-7000447]0"/>
    </dxf>
  </rfmt>
  <rcc rId="197" sId="5">
    <nc r="C3" t="inlineStr">
      <is>
        <t xml:space="preserve">આ ફોર્મ  સાથે આપેલ ગુજરાતી ફૉન્ટસ  ઇન્સ્ટોલ કરવા </t>
      </is>
    </nc>
  </rcc>
  <rcc rId="198" sId="5">
    <nc r="C4" t="inlineStr">
      <is>
        <t xml:space="preserve">સો પ્રથમ કપાત પત્રક કૉલમ મા માહિતી ભરવી જેમકે પગાર,એરિયર્સ,રોકાણ,ટેક્સ, ની માહિતી ભરવી </t>
      </is>
    </nc>
  </rcc>
  <rcv guid="{0E659955-9737-492F-945A-95AC3E0C4088}" action="delete"/>
  <rdn rId="0" localSheetId="1" customView="1" name="Z_0E659955_9737_492F_945A_95AC3E0C4088_.wvu.PrintArea" hidden="1" oldHidden="1">
    <formula>'જૂન સ્લેબ મુજબ (OLD SLAB)'!$B$2:$AF$60</formula>
    <oldFormula>'જૂન સ્લેબ મુજબ (OLD SLAB)'!$B$2:$AF$60</oldFormula>
  </rdn>
  <rdn rId="0" localSheetId="1" customView="1" name="Z_0E659955_9737_492F_945A_95AC3E0C4088_.wvu.Rows" hidden="1" oldHidden="1">
    <formula>'જૂન સ્લેબ મુજબ (OLD SLAB)'!$348:$1048576,'જૂન સ્લેબ મુજબ (OLD SLAB)'!$61:$102,'જૂન સ્લેબ મુજબ (OLD SLAB)'!$104:$347</formula>
    <oldFormula>'જૂન સ્લેબ મુજબ (OLD SLAB)'!$348:$1048575,'જૂન સ્લેબ મુજબ (OLD SLAB)'!$61:$347</oldFormula>
  </rdn>
  <rdn rId="0" localSheetId="1" customView="1" name="Z_0E659955_9737_492F_945A_95AC3E0C4088_.wvu.Cols" hidden="1" oldHidden="1">
    <formula>'જૂન સ્લેબ મુજબ (OLD SLAB)'!$AH:$XFD</formula>
    <oldFormula>'જૂન સ્લેબ મુજબ (OLD SLAB)'!$AH:$XFD</oldFormula>
  </rdn>
  <rdn rId="0" localSheetId="2" customView="1" name="Z_0E659955_9737_492F_945A_95AC3E0C4088_.wvu.PrintArea" hidden="1" oldHidden="1">
    <formula>'કપાટ પત્રક પેહલા ભરવુ '!$B$2:$O$30</formula>
    <oldFormula>'કપાટ પત્રક પેહલા ભરવુ '!$B$2:$O$30</oldFormula>
  </rdn>
  <rdn rId="0" localSheetId="2" customView="1" name="Z_0E659955_9737_492F_945A_95AC3E0C4088_.wvu.Rows" hidden="1" oldHidden="1">
    <formula>'કપાટ પત્રક પેહલા ભરવુ '!$988:$1048576,'કપાટ પત્રક પેહલા ભરવુ '!$31:$987</formula>
    <oldFormula>'કપાટ પત્રક પેહલા ભરવુ '!$988:$1048561,'કપાટ પત્રક પેહલા ભરવુ '!$31:$987</oldFormula>
  </rdn>
  <rdn rId="0" localSheetId="2" customView="1" name="Z_0E659955_9737_492F_945A_95AC3E0C4088_.wvu.Cols" hidden="1" oldHidden="1">
    <formula>'કપાટ પત્રક પેહલા ભરવુ '!$Q:$XFD</formula>
    <oldFormula>'કપાટ પત્રક પેહલા ભરવુ '!$Q:$XFD</oldFormula>
  </rdn>
  <rdn rId="0" localSheetId="3" customView="1" name="Z_0E659955_9737_492F_945A_95AC3E0C4088_.wvu.PrintArea" hidden="1" oldHidden="1">
    <formula>'નવા સ્લેબ મુજબ (NEW SLAB)'!$B$2:$AF$62</formula>
    <oldFormula>'નવા સ્લેબ મુજબ (NEW SLAB)'!$B$2:$AF$62</oldFormula>
  </rdn>
  <rdn rId="0" localSheetId="3" customView="1" name="Z_0E659955_9737_492F_945A_95AC3E0C4088_.wvu.Rows" hidden="1" oldHidden="1">
    <formula>'નવા સ્લેબ મુજબ (NEW SLAB)'!$350:$1048576,'નવા સ્લેબ મુજબ (NEW SLAB)'!$63:$349</formula>
    <oldFormula>'નવા સ્લેબ મુજબ (NEW SLAB)'!$350:$1048575,'નવા સ્લેબ મુજબ (NEW SLAB)'!$63:$349</oldFormula>
  </rdn>
  <rdn rId="0" localSheetId="3" customView="1" name="Z_0E659955_9737_492F_945A_95AC3E0C4088_.wvu.Cols" hidden="1" oldHidden="1">
    <formula>'નવા સ્લેબ મુજબ (NEW SLAB)'!$AH:$XFD</formula>
    <oldFormula>'નવા સ્લેબ મુજબ (NEW SLAB)'!$AH:$XFD</oldFormula>
  </rdn>
  <rdn rId="0" localSheetId="4" customView="1" name="Z_0E659955_9737_492F_945A_95AC3E0C4088_.wvu.Rows" hidden="1" oldHidden="1">
    <formula>Sheet1!$169:$1048576,Sheet1!$1:$168</formula>
    <oldFormula>Sheet1!$65537:$1048576,Sheet1!$1:$65536</oldFormula>
  </rdn>
  <rdn rId="0" localSheetId="4" customView="1" name="Z_0E659955_9737_492F_945A_95AC3E0C4088_.wvu.Cols" hidden="1" oldHidden="1">
    <formula>Sheet1!$1:$1048576</formula>
    <oldFormula>Sheet1!$1:$1048576</oldFormula>
  </rdn>
  <rcv guid="{0E659955-9737-492F-945A-95AC3E0C4088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" sId="5" numFmtId="4">
    <nc r="B6">
      <v>4</v>
    </nc>
  </rcc>
  <rcc rId="211" sId="5">
    <nc r="C6" t="inlineStr">
      <is>
        <t xml:space="preserve">C.P.F. &amp; G.P.F.ત્થા </t>
      </is>
    </nc>
  </rcc>
  <rcc rId="212" sId="5">
    <nc r="C6" t="inlineStr">
      <is>
        <t xml:space="preserve">C.P.F. &amp; G.P.F.ત્થા NPS રોકાણ હોય તો તેની ડિટેલ્સ ફિલ કરવાની રેહેશે </t>
      </is>
    </nc>
  </rcc>
  <rrc rId="213" sId="5" eol="1" ref="A7:XFD7" action="insertRow"/>
  <rfmt sheetId="5" sqref="A9" start="0" length="0">
    <dxf>
      <numFmt numFmtId="171" formatCode="[$-7000447]0"/>
    </dxf>
  </rfmt>
  <rcc rId="214" sId="5">
    <nc r="C6" t="inlineStr">
      <is>
        <t xml:space="preserve">C.P.F. ત્થા G.P.F.ત્થા NPS રોકાણ હોય તો તેની ડિટેલ્સ ફિલ કરવાની રેહેશે </t>
      </is>
    </nc>
  </rcc>
  <rcc rId="215" sId="5">
    <nc r="C6" t="inlineStr">
      <is>
        <t xml:space="preserve">C.P.F. ત્થા G.P.F.ત્થા NPS રોકાણ હોય તો તેની ઓપ્શન  ફિલ કરવાની રેહેશે </t>
      </is>
    </nc>
  </rcc>
  <rcc rId="216" sId="5">
    <nc r="C6" t="inlineStr">
      <is>
        <t xml:space="preserve">C.P.F. ત્થા G.P.F.ત્થા NPS રોકાણ હોય તો તેની ઓપ્શન  ફિલ કરવાની રહશે </t>
      </is>
    </nc>
  </rcc>
  <rcc rId="217" sId="5">
    <nc r="C6" t="inlineStr">
      <is>
        <t xml:space="preserve">C.P.F. ત્થા G.P.F.ત્થા NPS રોકાણ હોય તો તેની ઓપ્શન  ફિલ કરવાની રહશે. </t>
      </is>
    </nc>
  </rcc>
  <rfmt sheetId="5" sqref="B6" start="0" length="2147483647">
    <dxf>
      <font>
        <sz val="14"/>
      </font>
    </dxf>
  </rfmt>
  <rfmt sheetId="5" sqref="C6" start="0" length="2147483647">
    <dxf>
      <font>
        <sz val="14"/>
      </font>
    </dxf>
  </rfmt>
  <rfmt sheetId="5" sqref="B3:C7" start="0" length="2147483647">
    <dxf/>
  </rfmt>
  <rfmt sheetId="5" sqref="B3:C7" start="0" length="2147483647">
    <dxf>
      <font>
        <sz val="14"/>
      </font>
    </dxf>
  </rfmt>
  <rfmt sheetId="5" sqref="A9" start="0" length="2147483647">
    <dxf>
      <font>
        <sz val="14"/>
      </font>
    </dxf>
  </rfmt>
  <rfmt sheetId="5" sqref="A9" start="0" length="2147483647">
    <dxf>
      <font>
        <b/>
      </font>
    </dxf>
  </rfmt>
  <rcc rId="218" sId="5">
    <nc r="A9" t="inlineStr">
      <is>
        <t xml:space="preserve">ફોર્મ સાથે જરૂરી </t>
      </is>
    </nc>
  </rcc>
  <rfmt sheetId="5" sqref="A9" start="0" length="2147483647">
    <dxf>
      <font>
        <b val="0"/>
      </font>
    </dxf>
  </rfmt>
  <rfmt sheetId="5" sqref="A9" start="0" length="2147483647">
    <dxf>
      <font>
        <u/>
      </font>
    </dxf>
  </rfmt>
  <rfmt sheetId="5" sqref="A9" start="0" length="2147483647">
    <dxf>
      <font>
        <b/>
      </font>
    </dxf>
  </rfmt>
  <rcc rId="219" sId="5" odxf="1" dxf="1" numFmtId="4">
    <nc r="B9">
      <v>1</v>
    </nc>
    <odxf>
      <numFmt numFmtId="0" formatCode="General"/>
    </odxf>
    <ndxf>
      <numFmt numFmtId="171" formatCode="[$-7000447]0"/>
    </ndxf>
  </rcc>
  <rcc rId="220" sId="5">
    <nc r="A9" t="inlineStr">
      <is>
        <t xml:space="preserve">ફોર્મ સાથે જરૂરી ડોક્યુમેન્ટ </t>
      </is>
    </nc>
  </rcc>
  <rrc rId="221" sId="5" eol="1" ref="A10:XFD10" action="insertRow"/>
  <rcc rId="222" sId="5" odxf="1" dxf="1" numFmtId="4">
    <nc r="B10">
      <v>2</v>
    </nc>
    <odxf>
      <numFmt numFmtId="0" formatCode="General"/>
    </odxf>
    <ndxf>
      <numFmt numFmtId="171" formatCode="[$-7000447]0"/>
    </ndxf>
  </rcc>
  <rrc rId="223" sId="5" eol="1" ref="A11:XFD11" action="insertRow"/>
  <rfmt sheetId="5" sqref="A18" start="0" length="0">
    <dxf>
      <numFmt numFmtId="171" formatCode="[$-7000447]0"/>
    </dxf>
  </rfmt>
  <rrc rId="224" sId="5" eol="1" ref="A12:XFD12" action="insertRow"/>
  <rfmt sheetId="5" sqref="A19" start="0" length="0">
    <dxf>
      <numFmt numFmtId="171" formatCode="[$-7000447]0"/>
    </dxf>
  </rfmt>
  <rcc rId="225" sId="5">
    <nc r="C12" t="inlineStr">
      <is>
        <t>તમામ રોકાણની ઝેરોક્ષ કોપી ફરજીયાત જોડવી</t>
      </is>
    </nc>
  </rcc>
  <rcc rId="226" sId="5" xfDxf="1" dxf="1">
    <nc r="C12" t="inlineStr">
      <is>
        <t>તમામ રોકાણની ઝેરોક્ષ કોપી ફરજીયાત જોડવી</t>
      </is>
    </nc>
    <ndxf>
      <font>
        <name val="SHREE_GUJ_OTF_0768"/>
        <charset val="1"/>
      </font>
    </ndxf>
  </rcc>
  <rcc rId="227" sId="5" xfDxf="1" dxf="1">
    <nc r="C13" t="inlineStr">
      <is>
        <t>શારીરીક ખોડ ખાપણ ૪૦% થી વધુ અને ૮૦% થી ઓછી હોય તો રૂ.૭૫૦૦૦ બાદ મળશે. અને ૮૦% થી વધુ અપંગતા હોય તો રૂ.૧,૨૫,૦૦૦ બાદ મળશે.</t>
      </is>
    </nc>
    <ndxf>
      <font>
        <name val="SHREE_GUJ_OTF_0768"/>
        <charset val="1"/>
      </font>
    </ndxf>
  </rcc>
  <rfmt sheetId="5" sqref="D19" start="0" length="0">
    <dxf>
      <numFmt numFmtId="171" formatCode="[$-7000447]0"/>
    </dxf>
  </rfmt>
  <rcc rId="228" sId="5">
    <nc r="C4" t="inlineStr">
      <is>
        <t xml:space="preserve">સો પ્રથમ ફોર્મ ની શરૂઆત કપાત પત્રક કૉલમ થી ચાલુ કરવી જેમકે પગાર,એરિયર્સ,રોકાણ,ટેક્સ,વગેરે ની માહિતી ભરવી </t>
      </is>
    </nc>
  </rcc>
  <rcc rId="229" sId="5">
    <nc r="C6" t="inlineStr">
      <is>
        <t xml:space="preserve">C.P.F. ત્થા G.P.F.ત્થા NPS રોકાણ હોય તો તેના ઓપ્શન  ફિલ કરવાની રહશે. </t>
      </is>
    </nc>
  </rcc>
  <rcc rId="230" sId="5" numFmtId="4">
    <nc r="B7">
      <v>5</v>
    </nc>
  </rcc>
  <rcc rId="231" sId="5">
    <nc r="C7" t="inlineStr">
      <is>
        <t xml:space="preserve">નવા સ્લેબ મુજબ સ્ટાન્ડર્ડ ડિડક્શન સિવાય અન્ય  કોઈ પણ રોકાણ બાદ મળશે નહિ </t>
      </is>
    </nc>
  </rcc>
  <rcc rId="232" sId="5">
    <nc r="C7" t="inlineStr">
      <is>
        <t xml:space="preserve">નવા સ્લેબ મુજબ સ્ટાન્ડર્ડ ડિડક્શન ૫૦૦૦૦/- સિવાય અન્ય  કોઈ પણ રોકાણ બાદ મળશે નહિ </t>
      </is>
    </nc>
  </rcc>
  <rfmt sheetId="5" sqref="B9:C13" start="0" length="2147483647">
    <dxf>
      <font>
        <sz val="14"/>
      </font>
    </dxf>
  </rfmt>
  <rcc rId="233" sId="5">
    <nc r="C7" t="inlineStr">
      <is>
        <t xml:space="preserve">નવા સ્લેબ મુજબ સ્ટાન્ડર્ડ ડિડક્શન ૫૦૦૦૦/- સિવાય અન્ય  કોઈપણ રોકાણ બાદ મળશે નહિ </t>
      </is>
    </nc>
  </rcc>
  <rcc rId="234" sId="5">
    <nc r="C7" t="inlineStr">
      <is>
        <t xml:space="preserve">નવા સ્લેબ મુજબ સ્ટાન્ડર્ડ ડિડક્શન ૫૦૦૦૦/- સિવાય અન્ય  કોઈપણ રોકાણ બાદ મળશે નહિ. </t>
      </is>
    </nc>
  </rcc>
  <rcc rId="235" sId="5">
    <nc r="C4" t="inlineStr">
      <is>
        <t xml:space="preserve">સો પ્રથમ ફોર્મ ની શરૂઆત કપાત પત્રક કૉલમ થી ચાલુ કરવી જેમકે પગાર,એરિયર્સ,રોકાણ,ટેક્સ,વગેરે ની માહિતી ભરવી. </t>
      </is>
    </nc>
  </rcc>
  <rcc rId="236" sId="5" odxf="1" dxf="1" numFmtId="4">
    <nc r="B8">
      <v>6</v>
    </nc>
    <odxf>
      <numFmt numFmtId="0" formatCode="General"/>
    </odxf>
    <ndxf>
      <numFmt numFmtId="171" formatCode="[$-7000447]0"/>
    </ndxf>
  </rcc>
  <rcc rId="237" sId="5">
    <nc r="C8" t="inlineStr">
      <is>
        <t>કપાત પત્રક કૉલમ માં વિગત ભરવાથી નવા ત્થા જૂન સ્લેબ ની ગણતરી ઓટો ફિલ થઈ જશે</t>
      </is>
    </nc>
  </rcc>
  <rrc rId="238" sId="5" ref="A9:XFD9" action="insertRow"/>
  <rfmt sheetId="5" sqref="B8:C8" start="0" length="2147483647">
    <dxf>
      <font>
        <sz val="14"/>
      </font>
    </dxf>
  </rfmt>
  <rcc rId="239" sId="5">
    <nc r="C10" t="inlineStr">
      <is>
        <t xml:space="preserve">આધારકાર્ડ ઝેરોક્ષ </t>
      </is>
    </nc>
  </rcc>
  <rcc rId="240" sId="5">
    <nc r="C11" t="inlineStr">
      <is>
        <t>પાન કાર્ડ ઝેરોક્ષ</t>
      </is>
    </nc>
  </rcc>
  <rcc rId="241" sId="5">
    <nc r="C12" t="inlineStr">
      <is>
        <t>બેન્ક પાસબુક ઝેરોક્ષ</t>
      </is>
    </nc>
  </rcc>
  <rrc rId="242" sId="5" ref="A10:XFD10" action="insertRow"/>
  <rrc rId="243" sId="5" eol="1" ref="A16:XFD16" action="insertRow"/>
  <rfmt sheetId="5" sqref="D20" start="0" length="0">
    <dxf>
      <numFmt numFmtId="171" formatCode="[$-7000447]0"/>
    </dxf>
  </rfmt>
  <rcc rId="244" sId="5">
    <nc r="C14" t="inlineStr">
      <is>
        <t xml:space="preserve">તમામ રોકાણની ઝેરોક્ષ કોપી ફરજીયાત જોડવી (૦૧/૦૪/૨૦૨૩ થી ૩૧/૦૩/૨૦૨૪) મકાન લોન વ્યાજ નું સર્ટીફિકેટ </t>
      </is>
    </nc>
  </rcc>
  <rcc rId="245" sId="5">
    <nc r="C14" t="inlineStr">
      <is>
        <t>તમામ રોકાણની ઝેરોક્ષ કોપી ફરજીયાત જોડવી (૦૧/૦૪/૨૦૨૩ થી ૩૧/૦૩/૨૦૨૪) મકાન લોન વ્યાજ નું સર્ટીફિકેટ ફરજિયાત જોડવાનુ RE</t>
      </is>
    </nc>
  </rcc>
  <rcc rId="246" sId="5">
    <nc r="C14" t="inlineStr">
      <is>
        <t xml:space="preserve">તમામ રોકાણની ઝેરોક્ષ કોપી ફરજીયાત જોડવી (૦૧/૦૪/૨૦૨૩ થી ૩૧/૦૩/૨૦૨૪) મકાન લોન વ્યાજ નું સર્ટીફિકેટ ફરજિયાત જોડવાનુ રહેશે </t>
      </is>
    </nc>
  </rcc>
  <rcc rId="247" sId="5">
    <nc r="C5" t="inlineStr">
      <is>
        <t xml:space="preserve">પર્સનલ માહિતી જેમકે નામ,પાનકાર્ડ નંબર,આધાર કાર્ડ નંબર,મોબાઈલ નંબર,વગેરે ની માહિતી જાતે ભરવાની રહેશે. </t>
      </is>
    </nc>
  </rcc>
  <rcc rId="248" sId="5">
    <nc r="C6" t="inlineStr">
      <is>
        <t xml:space="preserve">C.P.F. ત્થા G.P.F.ત્થા NPS રોકાણ હોય તો તેના ઓપ્શન  ફિલ કરવાની રહેશે. </t>
      </is>
    </nc>
  </rcc>
  <rcc rId="249" sId="5">
    <nc r="C11" t="inlineStr">
      <is>
        <t xml:space="preserve">આધારકાર્ડ ઝેરોક્ષ , </t>
      </is>
    </nc>
  </rcc>
  <rcc rId="250" sId="5">
    <nc r="C11" t="inlineStr">
      <is>
        <t xml:space="preserve">પાન કાર્ડ ઝેરોક્ષ, આધારકાર્ડ ઝેરોક્ષ , </t>
      </is>
    </nc>
  </rcc>
  <rcc rId="251" sId="5">
    <nc r="C11" t="inlineStr">
      <is>
        <t>પાન કાર્ડ ઝેરોક્ષ, આધારકાર્ડ ઝેરોક્ષ , બેન્ક પાસબુક ઝેરોક્ષ</t>
      </is>
    </nc>
  </rcc>
  <rcc rId="252" sId="5">
    <nc r="C12" t="inlineStr">
      <is>
        <t xml:space="preserve">તમામ રોકાણની ઝેરોક્ષ કોપી ફરજીયાત જોડવી (૦૧/૦૪/૨૦૨૩ થી ૩૧/૦૩/૨૦૨૪) મકાન લોન વ્યાજ નું સર્ટીફિકેટ ફરજિયાત જોડવાનુ રહેશે </t>
      </is>
    </nc>
  </rcc>
  <rrc rId="253" sId="5" ref="A11:XFD11" action="insertRow"/>
  <rcc rId="254" sId="5" numFmtId="4">
    <nc r="B9">
      <v>7</v>
    </nc>
  </rcc>
  <rcc rId="255" sId="5" numFmtId="4">
    <nc r="B14">
      <v>3</v>
    </nc>
  </rcc>
  <rm rId="256" sheetId="5" source="C16" destination="C14" sourceSheetId="5">
    <rfmt sheetId="5" sqref="C14" start="0" length="0">
      <dxf>
        <font>
          <sz val="14"/>
          <color auto="1"/>
          <name val="SHREE_GUJ_OTF_0768"/>
          <family val="2"/>
          <charset val="1"/>
          <scheme val="none"/>
        </font>
      </dxf>
    </rfmt>
  </rm>
  <rcc rId="257" sId="5">
    <nc r="C13" t="inlineStr">
      <is>
        <t xml:space="preserve">તમામ રોકાણ (૦૧/૦૪/૨૦૨૩ થી ૩૧/૦૩/૨૦૨૪) મકાન લોન વ્યાજ નું સર્ટીફિકેટ ફરજિયાત જોડવાનુ રહેશે </t>
      </is>
    </nc>
  </rcc>
  <rcc rId="258" sId="5">
    <nc r="C13" t="inlineStr">
      <is>
        <t xml:space="preserve">તમામ રોકાણની ઝેરોક્ષ કોપી ફરજીયાત જોડવી(૦૧/૦૪/૨૦૨૩ થી ૩૧/૦૩/૨૦૨૪) મકાન લોન વ્યાજ નું સર્ટીફિકેટ ફરજિયાત જોડવાનુ રહેશે </t>
      </is>
    </nc>
  </rcc>
  <rrc rId="259" sId="5" ref="A14:XFD14" action="insertRow"/>
  <rcc rId="260" sId="5">
    <nc r="C13" t="inlineStr">
      <is>
        <t xml:space="preserve">તમામ રોકાણની ઝેરોક્ષ કોપી ફરજીયાત જોડવી(૦૧/૦૪/૨૦૨૩ થી ૩૧/૦૩/૨૦૨૪) </t>
      </is>
    </nc>
  </rcc>
  <rcc rId="261" sId="5">
    <nc r="C14" t="inlineStr">
      <is>
        <t xml:space="preserve">મકાન લોન વ્યાજ નું સર્ટીફિકેટ ફરજિયાત જોડવાનુ રહેશે (૦૧/૦૪/૨૦૨૩ થી ૩૧/૦૩/૨૦૨૪) </t>
      </is>
    </nc>
  </rcc>
  <rcc rId="262" sId="5" numFmtId="4">
    <nc r="B14">
      <v>3</v>
    </nc>
  </rcc>
  <rcc rId="263" sId="5" numFmtId="4">
    <nc r="B15">
      <v>4</v>
    </nc>
  </rcc>
  <rcc rId="264" sId="5">
    <nc r="C9" t="inlineStr">
      <is>
        <t xml:space="preserve">બેન્ક વ્યાજ ત્થા ફિક્સ ડિપોજીત ના વ્યાજ ની રકમ આ ફોર્મ માં દર્શાવાની નથી ઇન્કમટેક્સ રિટર્ન ફાઇલ ના સમયે બતાવવાની રહેશે. </t>
      </is>
    </nc>
  </rcc>
  <rcc rId="265" sId="5">
    <nc r="C8" t="inlineStr">
      <is>
        <t>કપાત પત્રક કૉલમ માં વિગત ભરવાથી નવા ત્થા જૂન સ્લેબ ની ગણતરી ઓટો ફિલ થઈ જશે.</t>
      </is>
    </nc>
  </rcc>
  <rfmt sheetId="5" sqref="B9" start="0" length="2147483647">
    <dxf>
      <font>
        <sz val="14"/>
      </font>
    </dxf>
  </rfmt>
  <rfmt sheetId="5" sqref="C9" start="0" length="2147483647">
    <dxf>
      <font>
        <sz val="14"/>
      </font>
    </dxf>
  </rfmt>
  <rfmt sheetId="5" sqref="B3:C15" start="0" length="2147483647">
    <dxf>
      <font>
        <sz val="12"/>
      </font>
    </dxf>
  </rfmt>
  <rrc rId="266" sId="5" ref="A1:XFD1" action="insertRow"/>
  <rrc rId="267" sId="5" ref="A2:XFD2" action="insertRow"/>
  <rfmt sheetId="5" sqref="C1" start="0" length="2147483647">
    <dxf>
      <font>
        <sz val="28"/>
      </font>
    </dxf>
  </rfmt>
  <rcc rId="268" sId="5">
    <nc r="C1" t="inlineStr">
      <is>
        <t xml:space="preserve">તાલુકા પંચાયત શિક્ષણ શાખા જંબુસર </t>
      </is>
    </nc>
  </rcc>
  <rfmt sheetId="5" sqref="C1" start="0" length="2147483647">
    <dxf/>
  </rfmt>
  <rfmt sheetId="5" sqref="C1" start="0" length="2147483647">
    <dxf>
      <font>
        <b/>
      </font>
    </dxf>
  </rfmt>
  <rfmt sheetId="5" sqref="C1" start="0" length="2147483647">
    <dxf>
      <font>
        <sz val="50"/>
      </font>
    </dxf>
  </rfmt>
  <rfmt sheetId="5" sqref="C1" start="0" length="2147483647">
    <dxf>
      <font>
        <sz val="45"/>
      </font>
    </dxf>
  </rfmt>
  <rfmt sheetId="5" sqref="C1" start="0" length="2147483647">
    <dxf>
      <font>
        <sz val="40"/>
      </font>
    </dxf>
  </rfmt>
  <rcc rId="269" sId="5" odxf="1" dxf="1">
    <nc r="C1" t="inlineStr">
      <is>
        <t xml:space="preserve">તાલુકા પંચાયત શિક્ષણ શાખા જંબુસર </t>
      </is>
    </nc>
    <ndxf>
      <font>
        <u/>
        <sz val="40"/>
        <name val="SHREE_GUJ_OTF_0768"/>
        <charset val="1"/>
      </font>
    </ndxf>
  </rcc>
  <rcc rId="270" sId="5">
    <nc r="C17" t="inlineStr">
      <is>
        <t xml:space="preserve">શારીરીક ખોડ ખાપણ ૪૦% થી વધુ અને ૮૦% થી ઓછી હોય તો રૂ.૭૫૦૦૦ બાદ મળશે. </t>
      </is>
    </nc>
  </rcc>
  <rcc rId="271" sId="5">
    <nc r="C18" t="inlineStr">
      <is>
        <t>અને ૮૦% થી વધુ અપંગતા હોય તો રૂ.૧,૨૫,૦૦૦ બાદ મળશે.</t>
      </is>
    </nc>
  </rcc>
  <rm rId="272" sheetId="5" source="C1" destination="A1" sourceSheetId="5">
    <rfmt sheetId="5" sqref="A1" start="0" length="0">
      <dxf>
        <font>
          <sz val="10"/>
          <color auto="1"/>
          <name val="SHREE_GUJ_OTF_0768"/>
          <family val="2"/>
          <charset val="1"/>
          <scheme val="none"/>
        </font>
      </dxf>
    </rfmt>
  </rm>
  <rcc rId="273" sId="5">
    <nc r="A1" t="inlineStr">
      <is>
        <t xml:space="preserve">           તાલુકા પંચાયત શિક્ષણ શાખા જંબુસર </t>
      </is>
    </nc>
  </rcc>
  <rcc rId="274" sId="5">
    <nc r="A1" t="inlineStr">
      <is>
        <r>
          <rPr>
            <b/>
            <sz val="40"/>
            <rFont val="SHREE_GUJ_OTF_0768"/>
            <charset val="1"/>
          </rPr>
          <t xml:space="preserve">           </t>
        </r>
        <r>
          <rPr>
            <b/>
            <u/>
            <sz val="40"/>
            <rFont val="SHREE_GUJ_OTF_0768"/>
            <charset val="1"/>
          </rPr>
          <t xml:space="preserve">તાલુકા પંચાયત શિક્ષણ શાખા જંબુસર </t>
        </r>
      </is>
    </nc>
  </rcc>
  <rrc rId="275" sId="5" ref="B1:B1048576" action="insertCol"/>
  <rcc rId="276" sId="5" odxf="1" dxf="1" numFmtId="4">
    <nc r="B5">
      <v>1</v>
    </nc>
    <odxf>
      <font>
        <sz val="14"/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77" sId="5" odxf="1" dxf="1" numFmtId="4">
    <nc r="B6">
      <v>2</v>
    </nc>
    <odxf>
      <font>
        <sz val="14"/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78" sId="5" odxf="1" dxf="1" numFmtId="4">
    <nc r="B7">
      <v>3</v>
    </nc>
    <odxf>
      <font>
        <sz val="14"/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79" sId="5" odxf="1" dxf="1" numFmtId="4">
    <nc r="B8">
      <v>4</v>
    </nc>
    <odxf>
      <font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80" sId="5" odxf="1" dxf="1" numFmtId="4">
    <nc r="B9">
      <v>5</v>
    </nc>
    <odxf>
      <font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81" sId="5" odxf="1" dxf="1" numFmtId="4">
    <nc r="B10">
      <v>6</v>
    </nc>
    <odxf>
      <font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82" sId="5" odxf="1" dxf="1" numFmtId="4">
    <nc r="B11">
      <v>7</v>
    </nc>
    <odxf>
      <font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fmt sheetId="5" sqref="C12" start="0" length="0">
    <dxf>
      <font>
        <sz val="12"/>
        <name val="SHREE_GUJ_OTF_0768"/>
        <charset val="1"/>
      </font>
      <numFmt numFmtId="171" formatCode="[$-7000447]0"/>
    </dxf>
  </rfmt>
  <rfmt sheetId="5" sqref="C13" start="0" length="0">
    <dxf>
      <font>
        <sz val="12"/>
        <name val="SHREE_GUJ_OTF_0768"/>
        <charset val="1"/>
      </font>
      <numFmt numFmtId="171" formatCode="[$-7000447]0"/>
    </dxf>
  </rfmt>
  <rcc rId="283" sId="5" odxf="1" dxf="1" numFmtId="4">
    <nc r="B14">
      <v>1</v>
    </nc>
    <odxf>
      <font>
        <b/>
        <u/>
        <sz val="14"/>
        <name val="SHREE_GUJ_OTF_0768"/>
        <charset val="1"/>
      </font>
      <numFmt numFmtId="0" formatCode="General"/>
    </odxf>
    <ndxf>
      <font>
        <b val="0"/>
        <u val="none"/>
        <sz val="12"/>
        <name val="SHREE_GUJ_OTF_0768"/>
        <charset val="1"/>
      </font>
      <numFmt numFmtId="171" formatCode="[$-7000447]0"/>
    </ndxf>
  </rcc>
  <rcc rId="284" sId="5" odxf="1" dxf="1" numFmtId="4">
    <nc r="B15">
      <v>2</v>
    </nc>
    <odxf>
      <font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85" sId="5" odxf="1" dxf="1" numFmtId="4">
    <nc r="B16">
      <v>3</v>
    </nc>
    <odxf>
      <font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86" sId="5" odxf="1" dxf="1" numFmtId="4">
    <nc r="B17">
      <v>4</v>
    </nc>
    <odxf>
      <font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fmt sheetId="5" sqref="C18" start="0" length="0">
    <dxf>
      <font>
        <sz val="14"/>
        <name val="SHREE_GUJ_OTF_0768"/>
        <charset val="1"/>
      </font>
      <numFmt numFmtId="171" formatCode="[$-7000447]0"/>
    </dxf>
  </rfmt>
  <rrc rId="287" sId="5" ref="C1:C1048576" action="deleteCol">
    <rfmt sheetId="5" xfDxf="1" sqref="C1:C1048576" start="0" length="0">
      <dxf>
        <font>
          <name val="SHREE_GUJ_OTF_0768"/>
          <charset val="1"/>
        </font>
      </dxf>
    </rfmt>
    <rfmt sheetId="5" sqref="C4" start="0" length="0">
      <dxf>
        <font>
          <sz val="14"/>
          <name val="SHREE_GUJ_OTF_0768"/>
          <charset val="1"/>
        </font>
      </dxf>
    </rfmt>
    <rcc rId="0" sId="5" dxf="1" numFmtId="4">
      <nc r="C5">
        <v>1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6">
        <v>2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7">
        <v>3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8">
        <v>4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9">
        <v>5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10">
        <v>6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11">
        <v>7</v>
      </nc>
      <ndxf>
        <font>
          <sz val="12"/>
          <name val="SHREE_GUJ_OTF_0768"/>
          <charset val="1"/>
        </font>
        <numFmt numFmtId="171" formatCode="[$-7000447]0"/>
      </ndxf>
    </rcc>
    <rfmt sheetId="5" sqref="C12" start="0" length="0">
      <dxf>
        <font>
          <sz val="12"/>
          <name val="SHREE_GUJ_OTF_0768"/>
          <charset val="1"/>
        </font>
        <numFmt numFmtId="171" formatCode="[$-7000447]0"/>
      </dxf>
    </rfmt>
    <rfmt sheetId="5" sqref="C13" start="0" length="0">
      <dxf>
        <font>
          <sz val="12"/>
          <name val="SHREE_GUJ_OTF_0768"/>
          <charset val="1"/>
        </font>
        <numFmt numFmtId="171" formatCode="[$-7000447]0"/>
      </dxf>
    </rfmt>
    <rcc rId="0" sId="5" dxf="1" numFmtId="4">
      <nc r="C14">
        <v>1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15">
        <v>2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16">
        <v>3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17">
        <v>4</v>
      </nc>
      <ndxf>
        <font>
          <sz val="12"/>
          <name val="SHREE_GUJ_OTF_0768"/>
          <charset val="1"/>
        </font>
        <numFmt numFmtId="171" formatCode="[$-7000447]0"/>
      </ndxf>
    </rcc>
    <rfmt sheetId="5" sqref="C18" start="0" length="0">
      <dxf>
        <font>
          <sz val="14"/>
          <name val="SHREE_GUJ_OTF_0768"/>
          <charset val="1"/>
        </font>
        <numFmt numFmtId="171" formatCode="[$-7000447]0"/>
      </dxf>
    </rfmt>
    <rfmt sheetId="5" sqref="C19" start="0" length="0">
      <dxf>
        <font>
          <sz val="14"/>
          <name val="SHREE_GUJ_OTF_0768"/>
          <charset val="1"/>
        </font>
        <numFmt numFmtId="171" formatCode="[$-7000447]0"/>
      </dxf>
    </rfmt>
    <rfmt sheetId="5" sqref="C20" start="0" length="0">
      <dxf>
        <numFmt numFmtId="171" formatCode="[$-7000447]0"/>
      </dxf>
    </rfmt>
  </rrc>
  <rcc rId="288" sId="5">
    <oc r="C5" t="inlineStr">
      <is>
        <t xml:space="preserve">આ ફોર્મ  સાથે આપેલ ગુજરાતી ફૉન્ટસ  ઇન્સ્ટોલ કરવા </t>
      </is>
    </oc>
    <nc r="C5" t="inlineStr">
      <is>
        <t xml:space="preserve">૧. આ ફોર્મ  સાથે આપેલ ગુજરાતી ફૉન્ટસ  ઇન્સ્ટોલ કરવા. </t>
      </is>
    </nc>
  </rcc>
  <rcc rId="289" sId="5">
    <oc r="C6" t="inlineStr">
      <is>
        <t xml:space="preserve">સો પ્રથમ કપાત પત્રક કૉલમ મા માહિતી ભરવી જેમકે પગાર,એરિયર્સ,રોકાણ,ટેક્સ, ની માહિતી ભરવી </t>
      </is>
    </oc>
    <nc r="C6" t="inlineStr">
      <is>
        <t xml:space="preserve">૨. સો પ્રથમ ફોર્મ ની શરૂઆત કપાત પત્રક કૉલમ થી ચાલુ કરવી જેમકે પગાર,એરિયર્સ,રોકાણ,ટેક્સ,વગેરે ની માહિતી ભરવી. </t>
      </is>
    </nc>
  </rcc>
  <rcc rId="290" sId="5">
    <oc r="C7" t="inlineStr">
      <is>
        <t xml:space="preserve">પર્સનલ માહિતી જેમકે નામ,પાનકાર્ડ નંબર,આધાર કાર્ડ નંબર,મોબાઈલ નંબર,વગેરે ની માહિતી જાતે ભરવાની રહશે </t>
      </is>
    </oc>
    <nc r="C7" t="inlineStr">
      <is>
        <t xml:space="preserve">૩. પર્સનલ માહિતી જેમકે નામ,પાનકાર્ડ નંબર,આધાર કાર્ડ નંબર,મોબાઈલ નંબર,વગેરે ની માહિતી જાતે ભરવાની રહેશે. </t>
      </is>
    </nc>
  </rcc>
  <rcc rId="291" sId="5">
    <nc r="C8" t="inlineStr">
      <is>
        <t xml:space="preserve">૪. C.P.F. ત્થા G.P.F.ત્થા NPS રોકાણ હોય તો તેના ઓપ્શન  ફિલ કરવાની રહેશે. </t>
      </is>
    </nc>
  </rcc>
  <rcc rId="292" sId="5">
    <nc r="C9" t="inlineStr">
      <is>
        <t xml:space="preserve">૫. નવા સ્લેબ મુજબ સ્ટાન્ડર્ડ ડિડક્શન ૫૦૦૦૦/- સિવાય અન્ય  કોઈપણ રોકાણ બાદ મળશે નહિ. </t>
      </is>
    </nc>
  </rcc>
  <rcc rId="293" sId="5">
    <nc r="C10" t="inlineStr">
      <is>
        <t>૬. કપાત પત્રક કૉલમ માં વિગત ભરવાથી નવા ત્થા જૂન સ્લેબ ની ગણતરી ઓટો ફિલ થઈ જશે.</t>
      </is>
    </nc>
  </rcc>
  <rcc rId="294" sId="5">
    <nc r="C11" t="inlineStr">
      <is>
        <t xml:space="preserve">૭. બેન્ક વ્યાજ ત્થા ફિક્સ ડિપોજીત ના વ્યાજ ની રકમ આ ફોર્મ માં દર્શાવાની નથી ઇન્કમટેક્સ રિટર્ન ફાઇલ ના સમયે બતાવવાની રહેશે. </t>
      </is>
    </nc>
  </rcc>
  <rcc rId="295" sId="5">
    <nc r="C14" t="inlineStr">
      <is>
        <t>૧. પાન કાર્ડ ઝેરોક્ષ, આધારકાર્ડ ઝેરોક્ષ , બેન્ક પાસબુક ઝેરોક્ષ</t>
      </is>
    </nc>
  </rcc>
  <rcc rId="296" sId="5">
    <nc r="C15" t="inlineStr">
      <is>
        <t xml:space="preserve">૨. તમામ રોકાણની ઝેરોક્ષ કોપી ફરજીયાત જોડવી(૦૧/૦૪/૨૦૨૩ થી ૩૧/૦૩/૨૦૨૪) </t>
      </is>
    </nc>
  </rcc>
  <rrc rId="297" sId="5" ref="A1:A1048576" action="insertCol"/>
  <rm rId="298" sheetId="5" source="B1:B1048576" destination="A1:A1048576" sourceSheetId="5">
    <rfmt sheetId="5" xfDxf="1" sqref="A1:A1048576" start="0" length="0">
      <dxf>
        <font>
          <name val="SHREE_GUJ_OTF_0768"/>
          <charset val="1"/>
        </font>
      </dxf>
    </rfmt>
  </rm>
  <rm rId="299" sheetId="5" source="D5:D18" destination="B5:B18" sourceSheetId="5">
    <rfmt sheetId="5" sqref="B5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6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7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8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9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0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1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2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3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4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5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6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7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8" start="0" length="0">
      <dxf>
        <font>
          <sz val="10"/>
          <color auto="1"/>
          <name val="SHREE_GUJ_OTF_0768"/>
          <family val="2"/>
          <charset val="1"/>
          <scheme val="none"/>
        </font>
      </dxf>
    </rfmt>
  </rm>
  <rm rId="300" sheetId="5" source="B5:B11" destination="A5:A11" sourceSheetId="5">
    <rfmt sheetId="5" sqref="A5" start="0" length="0">
      <dxf>
        <font>
          <sz val="14"/>
          <color auto="1"/>
          <name val="SHREE_GUJ_OTF_0768"/>
          <family val="2"/>
          <charset val="1"/>
          <scheme val="none"/>
        </font>
      </dxf>
    </rfmt>
    <rfmt sheetId="5" sqref="A6" start="0" length="0">
      <dxf>
        <font>
          <sz val="14"/>
          <color auto="1"/>
          <name val="SHREE_GUJ_OTF_0768"/>
          <family val="2"/>
          <charset val="1"/>
          <scheme val="none"/>
        </font>
      </dxf>
    </rfmt>
    <rfmt sheetId="5" sqref="A7" start="0" length="0">
      <dxf>
        <font>
          <sz val="14"/>
          <color auto="1"/>
          <name val="SHREE_GUJ_OTF_0768"/>
          <family val="2"/>
          <charset val="1"/>
          <scheme val="none"/>
        </font>
      </dxf>
    </rfmt>
    <rfmt sheetId="5" sqref="A8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A9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A10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A11" start="0" length="0">
      <dxf>
        <font>
          <sz val="10"/>
          <color auto="1"/>
          <name val="SHREE_GUJ_OTF_0768"/>
          <family val="2"/>
          <charset val="1"/>
          <scheme val="none"/>
        </font>
      </dxf>
    </rfmt>
  </rm>
  <rm rId="301" sheetId="5" source="B14:B18" destination="A15:A19" sourceSheetId="5">
    <rfmt sheetId="5" sqref="A15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A16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A17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A18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A19" start="0" length="0">
      <dxf>
        <font>
          <sz val="10"/>
          <color auto="1"/>
          <name val="SHREE_GUJ_OTF_0768"/>
          <family val="2"/>
          <charset val="1"/>
          <scheme val="none"/>
        </font>
      </dxf>
    </rfmt>
  </rm>
  <rcc rId="302" sId="5">
    <nc r="A1" t="inlineStr">
      <is>
        <r>
          <rPr>
            <b/>
            <sz val="40"/>
            <rFont val="SHREE_GUJ_OTF_0768"/>
            <charset val="1"/>
          </rPr>
          <t xml:space="preserve">    </t>
        </r>
        <r>
          <rPr>
            <b/>
            <u/>
            <sz val="40"/>
            <rFont val="SHREE_GUJ_OTF_0768"/>
            <charset val="1"/>
          </rPr>
          <t xml:space="preserve">તાલુકા પંચાયત શિક્ષણ શાખા જંબુસર </t>
        </r>
      </is>
    </nc>
  </rcc>
  <rfmt sheetId="5" sqref="A4">
    <dxf>
      <alignment horizontal="center"/>
    </dxf>
  </rfmt>
  <rfmt sheetId="5" sqref="A4" start="0" length="2147483647">
    <dxf>
      <font>
        <u val="none"/>
      </font>
    </dxf>
  </rfmt>
  <rfmt sheetId="5" sqref="A4" start="0" length="2147483647">
    <dxf>
      <font>
        <u/>
      </font>
    </dxf>
  </rfmt>
  <rfmt sheetId="5" sqref="A14">
    <dxf>
      <alignment horizontal="center"/>
    </dxf>
  </rfmt>
  <rcc rId="303" sId="5">
    <nc r="A1" t="inlineStr">
      <is>
        <r>
          <rPr>
            <b/>
            <sz val="40"/>
            <rFont val="SHREE_GUJ_OTF_0768"/>
            <charset val="1"/>
          </rPr>
          <t xml:space="preserve">  </t>
        </r>
        <r>
          <rPr>
            <b/>
            <u/>
            <sz val="40"/>
            <rFont val="SHREE_GUJ_OTF_0768"/>
            <charset val="1"/>
          </rPr>
          <t xml:space="preserve">તાલુકા પંચાયત શિક્ષણ શાખા જંબુસર </t>
        </r>
      </is>
    </nc>
  </rcc>
  <rrc rId="304" sId="5" ref="A1:A1048576" action="insertCol"/>
  <rrc rId="305" sId="5" ref="A1:A1048576" action="deleteCol">
    <rfmt sheetId="5" xfDxf="1" sqref="A1:A1048576" start="0" length="0">
      <dxf>
        <font>
          <name val="SHREE_GUJ_OTF_0768"/>
          <charset val="1"/>
        </font>
      </dxf>
    </rfmt>
  </rrc>
  <rfmt sheetId="5" sqref="A1" start="0" length="2147483647">
    <dxf>
      <font>
        <sz val="35"/>
      </font>
    </dxf>
  </rfmt>
  <rcc rId="306" sId="5">
    <nc r="A17" t="inlineStr">
      <is>
        <t xml:space="preserve">૩. મકાન લોન વ્યાજ નું સર્ટીફિકેટ ફરજિયાત જોડવાનુ રહેશે (૦૧/૦૪/૨૦૨૩ થી ૩૧/૦૩/૨૦૨૪) </t>
      </is>
    </nc>
  </rcc>
  <rcc rId="307" sId="5">
    <nc r="A18" t="inlineStr">
      <is>
        <t xml:space="preserve">૪. શારીરીક ખોડ ખાપણ ૪૦% થી વધુ અને ૮૦% થી ઓછી હોય તો રૂ.૭૫૦૦૦ બાદ મળશે. </t>
      </is>
    </nc>
  </rcc>
  <rcc rId="308" sId="5">
    <nc r="A23" t="inlineStr">
      <is>
        <t xml:space="preserve">કાનજીભાઇ પઢિયાર </t>
      </is>
    </nc>
  </rcc>
  <rrc rId="309" sId="5" eol="1" ref="A24:XFD24" action="insertRow"/>
  <rcc rId="310" sId="5">
    <nc r="A24" t="inlineStr">
      <is>
        <t xml:space="preserve">ટી. પી.ઈ . ઑ </t>
      </is>
    </nc>
  </rcc>
  <rrc rId="311" sId="5" eol="1" ref="A25:XFD25" action="insertRow"/>
  <rcc rId="312" sId="5">
    <nc r="A25" t="inlineStr">
      <is>
        <t xml:space="preserve">જંબુસર </t>
      </is>
    </nc>
  </rcc>
  <rrc rId="313" sId="5" eol="1" ref="A26:XFD26" action="insertRow"/>
  <rcc rId="314" sId="5">
    <nc r="A26">
      <v>9429036188</v>
    </nc>
  </rcc>
  <rfmt sheetId="5" sqref="A23:A26">
    <dxf>
      <alignment horizontal="center"/>
    </dxf>
  </rfmt>
  <rfmt sheetId="5" sqref="A23:A26" start="0" length="2147483647">
    <dxf>
      <font>
        <b/>
      </font>
    </dxf>
  </rfmt>
  <rfmt sheetId="5" sqref="A23:A26" start="0" length="2147483647">
    <dxf>
      <font>
        <u/>
      </font>
    </dxf>
  </rfmt>
  <rfmt sheetId="5" sqref="A23:A26" start="0" length="2147483647">
    <dxf>
      <font>
        <sz val="14"/>
      </font>
    </dxf>
  </rfmt>
  <rfmt sheetId="1" sqref="A103:AG1048576">
    <dxf>
      <fill>
        <patternFill>
          <bgColor rgb="FFFFFF00"/>
        </patternFill>
      </fill>
    </dxf>
  </rfmt>
  <rfmt sheetId="1" sqref="A103:AG1048576" start="0" length="2147483647">
    <dxf>
      <font>
        <color rgb="FFFF0000"/>
      </font>
    </dxf>
  </rfmt>
  <rfmt sheetId="1" sqref="A103:AG1048576" start="0" length="2147483647">
    <dxf>
      <font>
        <color theme="1"/>
      </font>
    </dxf>
  </rfmt>
  <rfmt sheetId="1" sqref="A103:AG1048576">
    <dxf>
      <fill>
        <patternFill>
          <bgColor theme="1"/>
        </patternFill>
      </fill>
    </dxf>
  </rfmt>
  <rcv guid="{0E659955-9737-492F-945A-95AC3E0C4088}" action="delete"/>
  <rdn rId="0" localSheetId="1" customView="1" name="Z_0E659955_9737_492F_945A_95AC3E0C4088_.wvu.PrintArea" hidden="1" oldHidden="1">
    <formula>'જૂન સ્લેબ મુજબ (OLD SLAB)'!$B$2:$AF$60</formula>
    <oldFormula>'જૂન સ્લેબ મુજબ (OLD SLAB)'!$B$2:$AF$60</oldFormula>
  </rdn>
  <rdn rId="0" localSheetId="1" customView="1" name="Z_0E659955_9737_492F_945A_95AC3E0C4088_.wvu.Rows" hidden="1" oldHidden="1">
    <formula>'જૂન સ્લેબ મુજબ (OLD SLAB)'!$348:$1048576,'જૂન સ્લેબ મુજબ (OLD SLAB)'!$61:$102,'જૂન સ્લેબ મુજબ (OLD SLAB)'!$104:$347</formula>
    <oldFormula>'જૂન સ્લેબ મુજબ (OLD SLAB)'!$348:$1048576,'જૂન સ્લેબ મુજબ (OLD SLAB)'!$61:$102,'જૂન સ્લેબ મુજબ (OLD SLAB)'!$104:$347</oldFormula>
  </rdn>
  <rdn rId="0" localSheetId="1" customView="1" name="Z_0E659955_9737_492F_945A_95AC3E0C4088_.wvu.Cols" hidden="1" oldHidden="1">
    <formula>'જૂન સ્લેબ મુજબ (OLD SLAB)'!$AH:$XFD</formula>
    <oldFormula>'જૂન સ્લેબ મુજબ (OLD SLAB)'!$AH:$XFD</oldFormula>
  </rdn>
  <rdn rId="0" localSheetId="2" customView="1" name="Z_0E659955_9737_492F_945A_95AC3E0C4088_.wvu.PrintArea" hidden="1" oldHidden="1">
    <formula>'કપાટ પત્રક પેહલા ભરવુ '!$B$2:$O$30</formula>
    <oldFormula>'કપાટ પત્રક પેહલા ભરવુ '!$B$2:$O$30</oldFormula>
  </rdn>
  <rdn rId="0" localSheetId="2" customView="1" name="Z_0E659955_9737_492F_945A_95AC3E0C4088_.wvu.Rows" hidden="1" oldHidden="1">
    <formula>'કપાટ પત્રક પેહલા ભરવુ '!$988:$1048576,'કપાટ પત્રક પેહલા ભરવુ '!$31:$987</formula>
    <oldFormula>'કપાટ પત્રક પેહલા ભરવુ '!$988:$1048576,'કપાટ પત્રક પેહલા ભરવુ '!$31:$987</oldFormula>
  </rdn>
  <rdn rId="0" localSheetId="2" customView="1" name="Z_0E659955_9737_492F_945A_95AC3E0C4088_.wvu.Cols" hidden="1" oldHidden="1">
    <formula>'કપાટ પત્રક પેહલા ભરવુ '!$Q:$XFD</formula>
    <oldFormula>'કપાટ પત્રક પેહલા ભરવુ '!$Q:$XFD</oldFormula>
  </rdn>
  <rdn rId="0" localSheetId="3" customView="1" name="Z_0E659955_9737_492F_945A_95AC3E0C4088_.wvu.PrintArea" hidden="1" oldHidden="1">
    <formula>'નવા સ્લેબ મુજબ (NEW SLAB)'!$B$2:$AF$62</formula>
    <oldFormula>'નવા સ્લેબ મુજબ (NEW SLAB)'!$B$2:$AF$62</oldFormula>
  </rdn>
  <rdn rId="0" localSheetId="3" customView="1" name="Z_0E659955_9737_492F_945A_95AC3E0C4088_.wvu.Rows" hidden="1" oldHidden="1">
    <formula>'નવા સ્લેબ મુજબ (NEW SLAB)'!$342:$1048576,'નવા સ્લેબ મુજબ (NEW SLAB)'!$63:$341</formula>
    <oldFormula>'નવા સ્લેબ મુજબ (NEW SLAB)'!$350:$1048576,'નવા સ્લેબ મુજબ (NEW SLAB)'!$63:$349</oldFormula>
  </rdn>
  <rdn rId="0" localSheetId="3" customView="1" name="Z_0E659955_9737_492F_945A_95AC3E0C4088_.wvu.Cols" hidden="1" oldHidden="1">
    <formula>'નવા સ્લેબ મુજબ (NEW SLAB)'!$AH:$XFD</formula>
    <oldFormula>'નવા સ્લેબ મુજબ (NEW SLAB)'!$AH:$XFD</oldFormula>
  </rdn>
  <rdn rId="0" localSheetId="4" customView="1" name="Z_0E659955_9737_492F_945A_95AC3E0C4088_.wvu.Rows" hidden="1" oldHidden="1">
    <formula>Sheet1!$169:$1048576,Sheet1!$1:$168</formula>
    <oldFormula>Sheet1!$169:$1048576,Sheet1!$1:$168</oldFormula>
  </rdn>
  <rdn rId="0" localSheetId="4" customView="1" name="Z_0E659955_9737_492F_945A_95AC3E0C4088_.wvu.Cols" hidden="1" oldHidden="1">
    <formula>Sheet1!$1:$1048576</formula>
    <oldFormula>Sheet1!$1:$1048576</oldFormula>
  </rdn>
  <rcv guid="{0E659955-9737-492F-945A-95AC3E0C4088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C30:N30">
    <dxf>
      <alignment horizontal="left"/>
    </dxf>
  </rfmt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E659955-9737-492F-945A-95AC3E0C4088}" action="delete"/>
  <rdn rId="0" localSheetId="1" customView="1" name="Z_0E659955_9737_492F_945A_95AC3E0C4088_.wvu.PrintArea" hidden="1" oldHidden="1">
    <formula>'જૂન સ્લેબ મુજબ (OLD SLAB)'!$B$2:$AF$60</formula>
    <oldFormula>'જૂન સ્લેબ મુજબ (OLD SLAB)'!$B$2:$AF$60</oldFormula>
  </rdn>
  <rdn rId="0" localSheetId="1" customView="1" name="Z_0E659955_9737_492F_945A_95AC3E0C4088_.wvu.Rows" hidden="1" oldHidden="1">
    <formula>'જૂન સ્લેબ મુજબ (OLD SLAB)'!$348:$1048576,'જૂન સ્લેબ મુજબ (OLD SLAB)'!$61:$102,'જૂન સ્લેબ મુજબ (OLD SLAB)'!$104:$347</formula>
    <oldFormula>'જૂન સ્લેબ મુજબ (OLD SLAB)'!$348:$1048576,'જૂન સ્લેબ મુજબ (OLD SLAB)'!$61:$102,'જૂન સ્લેબ મુજબ (OLD SLAB)'!$104:$347</oldFormula>
  </rdn>
  <rdn rId="0" localSheetId="1" customView="1" name="Z_0E659955_9737_492F_945A_95AC3E0C4088_.wvu.Cols" hidden="1" oldHidden="1">
    <formula>'જૂન સ્લેબ મુજબ (OLD SLAB)'!$AH:$XFD</formula>
    <oldFormula>'જૂન સ્લેબ મુજબ (OLD SLAB)'!$AH:$XFD</oldFormula>
  </rdn>
  <rdn rId="0" localSheetId="2" customView="1" name="Z_0E659955_9737_492F_945A_95AC3E0C4088_.wvu.PrintArea" hidden="1" oldHidden="1">
    <formula>'કપાટ પત્રક પેહલા ભરવુ '!$B$2:$O$30</formula>
    <oldFormula>'કપાટ પત્રક પેહલા ભરવુ '!$B$2:$O$30</oldFormula>
  </rdn>
  <rdn rId="0" localSheetId="2" customView="1" name="Z_0E659955_9737_492F_945A_95AC3E0C4088_.wvu.Rows" hidden="1" oldHidden="1">
    <formula>'કપાટ પત્રક પેહલા ભરવુ '!$988:$1048576,'કપાટ પત્રક પેહલા ભરવુ '!$31:$987</formula>
    <oldFormula>'કપાટ પત્રક પેહલા ભરવુ '!$988:$1048576,'કપાટ પત્રક પેહલા ભરવુ '!$31:$987</oldFormula>
  </rdn>
  <rdn rId="0" localSheetId="2" customView="1" name="Z_0E659955_9737_492F_945A_95AC3E0C4088_.wvu.Cols" hidden="1" oldHidden="1">
    <formula>'કપાટ પત્રક પેહલા ભરવુ '!$Q:$XFD</formula>
    <oldFormula>'કપાટ પત્રક પેહલા ભરવુ '!$Q:$XFD</oldFormula>
  </rdn>
  <rdn rId="0" localSheetId="3" customView="1" name="Z_0E659955_9737_492F_945A_95AC3E0C4088_.wvu.PrintArea" hidden="1" oldHidden="1">
    <formula>'નવા સ્લેબ મુજબ (NEW SLAB)'!$B$2:$AF$62</formula>
    <oldFormula>'નવા સ્લેબ મુજબ (NEW SLAB)'!$B$2:$AF$62</oldFormula>
  </rdn>
  <rdn rId="0" localSheetId="3" customView="1" name="Z_0E659955_9737_492F_945A_95AC3E0C4088_.wvu.Rows" hidden="1" oldHidden="1">
    <formula>'નવા સ્લેબ મુજબ (NEW SLAB)'!$342:$1048576,'નવા સ્લેબ મુજબ (NEW SLAB)'!$63:$341</formula>
    <oldFormula>'નવા સ્લેબ મુજબ (NEW SLAB)'!$342:$1048576,'નવા સ્લેબ મુજબ (NEW SLAB)'!$63:$341</oldFormula>
  </rdn>
  <rdn rId="0" localSheetId="3" customView="1" name="Z_0E659955_9737_492F_945A_95AC3E0C4088_.wvu.Cols" hidden="1" oldHidden="1">
    <formula>'નવા સ્લેબ મુજબ (NEW SLAB)'!$AH:$XFD</formula>
    <oldFormula>'નવા સ્લેબ મુજબ (NEW SLAB)'!$AH:$XFD</oldFormula>
  </rdn>
  <rdn rId="0" localSheetId="4" customView="1" name="Z_0E659955_9737_492F_945A_95AC3E0C4088_.wvu.Rows" hidden="1" oldHidden="1">
    <formula>Sheet1!$169:$1048576,Sheet1!$1:$168</formula>
    <oldFormula>Sheet1!$169:$1048576,Sheet1!$1:$168</oldFormula>
  </rdn>
  <rdn rId="0" localSheetId="4" customView="1" name="Z_0E659955_9737_492F_945A_95AC3E0C4088_.wvu.Cols" hidden="1" oldHidden="1">
    <formula>Sheet1!$1:$1048576</formula>
    <oldFormula>Sheet1!$1:$1048576</oldFormula>
  </rdn>
  <rcv guid="{0E659955-9737-492F-945A-95AC3E0C4088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7" sId="5" ref="B1:B1048576" action="deleteCol">
    <rfmt sheetId="5" xfDxf="1" sqref="B1:B1048576" start="0" length="0"/>
    <rfmt sheetId="5" sqref="B1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2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3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4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5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6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7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8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9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0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1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2" start="0" length="0">
      <dxf>
        <font>
          <sz val="12"/>
          <color auto="1"/>
          <name val="SHREE_GUJ_OTF_0768"/>
          <family val="2"/>
          <charset val="1"/>
          <scheme val="none"/>
        </font>
      </dxf>
    </rfmt>
    <rfmt sheetId="5" sqref="B13" start="0" length="0">
      <dxf>
        <font>
          <sz val="12"/>
          <color auto="1"/>
          <name val="SHREE_GUJ_OTF_0768"/>
          <family val="2"/>
          <charset val="1"/>
          <scheme val="none"/>
        </font>
      </dxf>
    </rfmt>
    <rfmt sheetId="5" sqref="B14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5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6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7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8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9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20" start="0" length="0">
      <dxf>
        <font>
          <sz val="10"/>
          <color auto="1"/>
          <name val="SHREE_GUJ_OTF_0768"/>
          <family val="2"/>
          <charset val="1"/>
          <scheme val="none"/>
        </font>
      </dxf>
    </rfmt>
  </rrc>
  <rrc rId="338" sId="5" ref="B1:B1048576" action="deleteCol">
    <rfmt sheetId="5" xfDxf="1" sqref="B1:B1048576" start="0" length="0">
      <dxf>
        <font>
          <name val="SHREE_GUJ_OTF_0768"/>
          <charset val="1"/>
        </font>
      </dxf>
    </rfmt>
    <rfmt sheetId="5" sqref="B1" start="0" length="0">
      <dxf>
        <font>
          <b/>
          <u/>
          <sz val="40"/>
          <name val="SHREE_GUJ_OTF_0768"/>
          <charset val="1"/>
        </font>
      </dxf>
    </rfmt>
    <rfmt sheetId="5" sqref="B4" start="0" length="0">
      <dxf>
        <font>
          <b/>
          <u/>
          <sz val="14"/>
          <name val="SHREE_GUJ_OTF_0768"/>
          <charset val="1"/>
        </font>
      </dxf>
    </rfmt>
    <rcc rId="0" sId="5" dxf="1" numFmtId="4">
      <nc r="B5">
        <v>1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6">
        <v>2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7">
        <v>3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8">
        <v>4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9">
        <v>5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10">
        <v>6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11">
        <v>7</v>
      </nc>
      <ndxf>
        <font>
          <sz val="12"/>
          <name val="SHREE_GUJ_OTF_0768"/>
          <charset val="1"/>
        </font>
        <numFmt numFmtId="171" formatCode="[$-7000447]0"/>
      </ndxf>
    </rcc>
    <rfmt sheetId="5" sqref="B12" start="0" length="0">
      <dxf>
        <font>
          <sz val="12"/>
          <name val="SHREE_GUJ_OTF_0768"/>
          <charset val="1"/>
        </font>
        <numFmt numFmtId="171" formatCode="[$-7000447]0"/>
      </dxf>
    </rfmt>
    <rfmt sheetId="5" sqref="B13" start="0" length="0">
      <dxf>
        <font>
          <sz val="12"/>
          <name val="SHREE_GUJ_OTF_0768"/>
          <charset val="1"/>
        </font>
        <numFmt numFmtId="171" formatCode="[$-7000447]0"/>
      </dxf>
    </rfmt>
    <rcc rId="0" sId="5" dxf="1" numFmtId="4">
      <nc r="B14">
        <v>1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15">
        <v>2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16">
        <v>3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17">
        <v>4</v>
      </nc>
      <ndxf>
        <font>
          <sz val="12"/>
          <name val="SHREE_GUJ_OTF_0768"/>
          <charset val="1"/>
        </font>
        <numFmt numFmtId="171" formatCode="[$-7000447]0"/>
      </ndxf>
    </rcc>
    <rfmt sheetId="5" sqref="B18" start="0" length="0">
      <dxf>
        <font>
          <sz val="14"/>
          <name val="SHREE_GUJ_OTF_0768"/>
          <charset val="1"/>
        </font>
        <numFmt numFmtId="171" formatCode="[$-7000447]0"/>
      </dxf>
    </rfmt>
  </rr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E659955-9737-492F-945A-95AC3E0C4088}" action="delete"/>
  <rdn rId="0" localSheetId="1" customView="1" name="Z_0E659955_9737_492F_945A_95AC3E0C4088_.wvu.PrintArea" hidden="1" oldHidden="1">
    <formula>'જૂન સ્લેબ મુજબ (OLD SLAB)'!$B$2:$AF$60</formula>
    <oldFormula>'જૂન સ્લેબ મુજબ (OLD SLAB)'!$B$2:$AF$60</oldFormula>
  </rdn>
  <rdn rId="0" localSheetId="1" customView="1" name="Z_0E659955_9737_492F_945A_95AC3E0C4088_.wvu.Rows" hidden="1" oldHidden="1">
    <formula>'જૂન સ્લેબ મુજબ (OLD SLAB)'!$348:$1048576,'જૂન સ્લેબ મુજબ (OLD SLAB)'!$61:$102,'જૂન સ્લેબ મુજબ (OLD SLAB)'!$104:$347</formula>
    <oldFormula>'જૂન સ્લેબ મુજબ (OLD SLAB)'!$348:$1048576,'જૂન સ્લેબ મુજબ (OLD SLAB)'!$61:$102,'જૂન સ્લેબ મુજબ (OLD SLAB)'!$104:$347</oldFormula>
  </rdn>
  <rdn rId="0" localSheetId="1" customView="1" name="Z_0E659955_9737_492F_945A_95AC3E0C4088_.wvu.Cols" hidden="1" oldHidden="1">
    <formula>'જૂન સ્લેબ મુજબ (OLD SLAB)'!$AH:$XFD</formula>
    <oldFormula>'જૂન સ્લેબ મુજબ (OLD SLAB)'!$AH:$XFD</oldFormula>
  </rdn>
  <rdn rId="0" localSheetId="2" customView="1" name="Z_0E659955_9737_492F_945A_95AC3E0C4088_.wvu.PrintArea" hidden="1" oldHidden="1">
    <formula>'કપાટ પત્રક પેહલા ભરવુ '!$B$2:$O$30</formula>
    <oldFormula>'કપાટ પત્રક પેહલા ભરવુ '!$B$2:$O$30</oldFormula>
  </rdn>
  <rdn rId="0" localSheetId="2" customView="1" name="Z_0E659955_9737_492F_945A_95AC3E0C4088_.wvu.Rows" hidden="1" oldHidden="1">
    <formula>'કપાટ પત્રક પેહલા ભરવુ '!$988:$1048576,'કપાટ પત્રક પેહલા ભરવુ '!$31:$987</formula>
    <oldFormula>'કપાટ પત્રક પેહલા ભરવુ '!$988:$1048576,'કપાટ પત્રક પેહલા ભરવુ '!$31:$987</oldFormula>
  </rdn>
  <rdn rId="0" localSheetId="2" customView="1" name="Z_0E659955_9737_492F_945A_95AC3E0C4088_.wvu.Cols" hidden="1" oldHidden="1">
    <formula>'કપાટ પત્રક પેહલા ભરવુ '!$Q:$XFD</formula>
    <oldFormula>'કપાટ પત્રક પેહલા ભરવુ '!$Q:$XFD</oldFormula>
  </rdn>
  <rdn rId="0" localSheetId="3" customView="1" name="Z_0E659955_9737_492F_945A_95AC3E0C4088_.wvu.PrintArea" hidden="1" oldHidden="1">
    <formula>'નવા સ્લેબ મુજબ (NEW SLAB)'!$B$2:$AF$62</formula>
    <oldFormula>'નવા સ્લેબ મુજબ (NEW SLAB)'!$B$2:$AF$62</oldFormula>
  </rdn>
  <rdn rId="0" localSheetId="3" customView="1" name="Z_0E659955_9737_492F_945A_95AC3E0C4088_.wvu.Rows" hidden="1" oldHidden="1">
    <formula>'નવા સ્લેબ મુજબ (NEW SLAB)'!$342:$1048576,'નવા સ્લેબ મુજબ (NEW SLAB)'!$63:$341</formula>
    <oldFormula>'નવા સ્લેબ મુજબ (NEW SLAB)'!$342:$1048576,'નવા સ્લેબ મુજબ (NEW SLAB)'!$63:$341</oldFormula>
  </rdn>
  <rdn rId="0" localSheetId="3" customView="1" name="Z_0E659955_9737_492F_945A_95AC3E0C4088_.wvu.Cols" hidden="1" oldHidden="1">
    <formula>'નવા સ્લેબ મુજબ (NEW SLAB)'!$AH:$XFD</formula>
    <oldFormula>'નવા સ્લેબ મુજબ (NEW SLAB)'!$AH:$XFD</oldFormula>
  </rdn>
  <rdn rId="0" localSheetId="4" customView="1" name="Z_0E659955_9737_492F_945A_95AC3E0C4088_.wvu.Rows" hidden="1" oldHidden="1">
    <formula>Sheet1!$169:$1048576,Sheet1!$1:$168</formula>
    <oldFormula>Sheet1!$169:$1048576,Sheet1!$1:$168</oldFormula>
  </rdn>
  <rdn rId="0" localSheetId="4" customView="1" name="Z_0E659955_9737_492F_945A_95AC3E0C4088_.wvu.Cols" hidden="1" oldHidden="1">
    <formula>Sheet1!$1:$1048576</formula>
    <oldFormula>Sheet1!$1:$1048576</oldFormula>
  </rdn>
  <rcv guid="{0E659955-9737-492F-945A-95AC3E0C4088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6">
    <dxf>
      <protection locked="0"/>
    </dxf>
  </rfmt>
  <rfmt sheetId="5" sqref="B6">
    <dxf>
      <protection locked="1"/>
    </dxf>
  </rfmt>
  <rfmt sheetId="5" sqref="B12">
    <dxf>
      <protection locked="0"/>
    </dxf>
  </rfmt>
  <rfmt sheetId="5" sqref="B4">
    <dxf>
      <protection locked="0"/>
    </dxf>
  </rfmt>
  <rfmt sheetId="5" sqref="A1:A46">
    <dxf>
      <protection locked="0"/>
    </dxf>
  </rfmt>
  <rfmt sheetId="5" sqref="A1:A46">
    <dxf>
      <protection locked="1"/>
    </dxf>
  </rfmt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0" sId="5">
    <oc r="A7" t="inlineStr">
      <is>
        <t xml:space="preserve">૩. પર્સનલ માહિતી જેમકે નામ,પાનકાર્ડ નંબર,આધાર કાર્ડ નંબર,મોબાઈલ નંબર,વગેરે ની માહિતી જાતે ભરવાની રહેશે. </t>
      </is>
    </oc>
    <nc r="A7" t="inlineStr">
      <is>
        <t xml:space="preserve">૩. પર્સનલ માહિતી જેમકે નામ,પાનકાર્ડ નંબર,આધાર કાર્ડ નંબર,મોબાઈલ નંબર,બેન્ક માહિતી વગેરે ની માહિતી જાતે ભરવાની રહેશે. </t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1" sId="5">
    <oc r="A23" t="inlineStr">
      <is>
        <t xml:space="preserve">કાનજીભાઇ પઢિયાર </t>
      </is>
    </oc>
    <nc r="A23" t="inlineStr">
      <is>
        <t xml:space="preserve">શબ્બીરભાઈ. એસ.  સાપા </t>
      </is>
    </nc>
  </rcc>
  <rcc rId="352" sId="5">
    <oc r="A25" t="inlineStr">
      <is>
        <t xml:space="preserve">જંબુસર </t>
      </is>
    </oc>
    <nc r="A25" t="inlineStr">
      <is>
        <t>આમોદ</t>
      </is>
    </nc>
  </rcc>
  <rcc rId="353" sId="5">
    <oc r="A26">
      <v>9429036188</v>
    </oc>
    <nc r="A26">
      <v>9904297366</v>
    </nc>
  </rcc>
  <rcv guid="{0E659955-9737-492F-945A-95AC3E0C4088}" action="delete"/>
  <rdn rId="0" localSheetId="1" customView="1" name="Z_0E659955_9737_492F_945A_95AC3E0C4088_.wvu.PrintArea" hidden="1" oldHidden="1">
    <formula>'જૂન સ્લેબ મુજબ (OLD SLAB)'!$B$2:$AF$60</formula>
    <oldFormula>'જૂન સ્લેબ મુજબ (OLD SLAB)'!$B$2:$AF$60</oldFormula>
  </rdn>
  <rdn rId="0" localSheetId="1" customView="1" name="Z_0E659955_9737_492F_945A_95AC3E0C4088_.wvu.Rows" hidden="1" oldHidden="1">
    <formula>'જૂન સ્લેબ મુજબ (OLD SLAB)'!$348:$1048576,'જૂન સ્લેબ મુજબ (OLD SLAB)'!$61:$102,'જૂન સ્લેબ મુજબ (OLD SLAB)'!$104:$347</formula>
    <oldFormula>'જૂન સ્લેબ મુજબ (OLD SLAB)'!$348:$1048576,'જૂન સ્લેબ મુજબ (OLD SLAB)'!$61:$102,'જૂન સ્લેબ મુજબ (OLD SLAB)'!$104:$347</oldFormula>
  </rdn>
  <rdn rId="0" localSheetId="1" customView="1" name="Z_0E659955_9737_492F_945A_95AC3E0C4088_.wvu.Cols" hidden="1" oldHidden="1">
    <formula>'જૂન સ્લેબ મુજબ (OLD SLAB)'!$AH:$XFD</formula>
    <oldFormula>'જૂન સ્લેબ મુજબ (OLD SLAB)'!$AH:$XFD</oldFormula>
  </rdn>
  <rdn rId="0" localSheetId="2" customView="1" name="Z_0E659955_9737_492F_945A_95AC3E0C4088_.wvu.PrintArea" hidden="1" oldHidden="1">
    <formula>'કપાટ પત્રક પેહલા ભરવુ '!$B$2:$O$30</formula>
    <oldFormula>'કપાટ પત્રક પેહલા ભરવુ '!$B$2:$O$30</oldFormula>
  </rdn>
  <rdn rId="0" localSheetId="2" customView="1" name="Z_0E659955_9737_492F_945A_95AC3E0C4088_.wvu.Rows" hidden="1" oldHidden="1">
    <formula>'કપાટ પત્રક પેહલા ભરવુ '!$988:$1048576,'કપાટ પત્રક પેહલા ભરવુ '!$31:$987</formula>
    <oldFormula>'કપાટ પત્રક પેહલા ભરવુ '!$988:$1048576,'કપાટ પત્રક પેહલા ભરવુ '!$31:$987</oldFormula>
  </rdn>
  <rdn rId="0" localSheetId="2" customView="1" name="Z_0E659955_9737_492F_945A_95AC3E0C4088_.wvu.Cols" hidden="1" oldHidden="1">
    <formula>'કપાટ પત્રક પેહલા ભરવુ '!$Q:$XFD</formula>
    <oldFormula>'કપાટ પત્રક પેહલા ભરવુ '!$Q:$XFD</oldFormula>
  </rdn>
  <rdn rId="0" localSheetId="3" customView="1" name="Z_0E659955_9737_492F_945A_95AC3E0C4088_.wvu.PrintArea" hidden="1" oldHidden="1">
    <formula>'નવા સ્લેબ મુજબ (NEW SLAB)'!$B$2:$AF$62</formula>
    <oldFormula>'નવા સ્લેબ મુજબ (NEW SLAB)'!$B$2:$AF$62</oldFormula>
  </rdn>
  <rdn rId="0" localSheetId="3" customView="1" name="Z_0E659955_9737_492F_945A_95AC3E0C4088_.wvu.Rows" hidden="1" oldHidden="1">
    <formula>'નવા સ્લેબ મુજબ (NEW SLAB)'!$342:$1048576,'નવા સ્લેબ મુજબ (NEW SLAB)'!$63:$341</formula>
    <oldFormula>'નવા સ્લેબ મુજબ (NEW SLAB)'!$342:$1048576,'નવા સ્લેબ મુજબ (NEW SLAB)'!$63:$341</oldFormula>
  </rdn>
  <rdn rId="0" localSheetId="3" customView="1" name="Z_0E659955_9737_492F_945A_95AC3E0C4088_.wvu.Cols" hidden="1" oldHidden="1">
    <formula>'નવા સ્લેબ મુજબ (NEW SLAB)'!$AH:$XFD</formula>
    <oldFormula>'નવા સ્લેબ મુજબ (NEW SLAB)'!$AH:$XFD</oldFormula>
  </rdn>
  <rdn rId="0" localSheetId="4" customView="1" name="Z_0E659955_9737_492F_945A_95AC3E0C4088_.wvu.Rows" hidden="1" oldHidden="1">
    <formula>Sheet1!$169:$1048576,Sheet1!$1:$168</formula>
    <oldFormula>Sheet1!$169:$1048576,Sheet1!$1:$168</oldFormula>
  </rdn>
  <rdn rId="0" localSheetId="4" customView="1" name="Z_0E659955_9737_492F_945A_95AC3E0C4088_.wvu.Cols" hidden="1" oldHidden="1">
    <formula>Sheet1!$1:$1048576</formula>
    <oldFormula>Sheet1!$1:$1048576</oldFormula>
  </rdn>
  <rcv guid="{0E659955-9737-492F-945A-95AC3E0C4088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E659955-9737-492F-945A-95AC3E0C4088}" action="delete"/>
  <rdn rId="0" localSheetId="1" customView="1" name="Z_0E659955_9737_492F_945A_95AC3E0C4088_.wvu.PrintArea" hidden="1" oldHidden="1">
    <formula>'જૂન સ્લેબ મુજબ (OLD SLAB)'!$B$2:$AF$60</formula>
    <oldFormula>'જૂન સ્લેબ મુજબ (OLD SLAB)'!$B$2:$AF$60</oldFormula>
  </rdn>
  <rdn rId="0" localSheetId="1" customView="1" name="Z_0E659955_9737_492F_945A_95AC3E0C4088_.wvu.Rows" hidden="1" oldHidden="1">
    <formula>'જૂન સ્લેબ મુજબ (OLD SLAB)'!$348:$1048576,'જૂન સ્લેબ મુજબ (OLD SLAB)'!$61:$102,'જૂન સ્લેબ મુજબ (OLD SLAB)'!$104:$347</formula>
    <oldFormula>'જૂન સ્લેબ મુજબ (OLD SLAB)'!$348:$1048576,'જૂન સ્લેબ મુજબ (OLD SLAB)'!$61:$102,'જૂન સ્લેબ મુજબ (OLD SLAB)'!$104:$347</oldFormula>
  </rdn>
  <rdn rId="0" localSheetId="1" customView="1" name="Z_0E659955_9737_492F_945A_95AC3E0C4088_.wvu.Cols" hidden="1" oldHidden="1">
    <formula>'જૂન સ્લેબ મુજબ (OLD SLAB)'!$AH:$XFD</formula>
    <oldFormula>'જૂન સ્લેબ મુજબ (OLD SLAB)'!$AH:$XFD</oldFormula>
  </rdn>
  <rdn rId="0" localSheetId="2" customView="1" name="Z_0E659955_9737_492F_945A_95AC3E0C4088_.wvu.PrintArea" hidden="1" oldHidden="1">
    <formula>'કપાટ પત્રક પેહલા ભરવુ '!$B$2:$O$30</formula>
    <oldFormula>'કપાટ પત્રક પેહલા ભરવુ '!$B$2:$O$30</oldFormula>
  </rdn>
  <rdn rId="0" localSheetId="2" customView="1" name="Z_0E659955_9737_492F_945A_95AC3E0C4088_.wvu.Rows" hidden="1" oldHidden="1">
    <formula>'કપાટ પત્રક પેહલા ભરવુ '!$988:$1048576,'કપાટ પત્રક પેહલા ભરવુ '!$31:$987</formula>
    <oldFormula>'કપાટ પત્રક પેહલા ભરવુ '!$988:$1048576,'કપાટ પત્રક પેહલા ભરવુ '!$31:$987</oldFormula>
  </rdn>
  <rdn rId="0" localSheetId="2" customView="1" name="Z_0E659955_9737_492F_945A_95AC3E0C4088_.wvu.Cols" hidden="1" oldHidden="1">
    <formula>'કપાટ પત્રક પેહલા ભરવુ '!$Q:$XFD</formula>
    <oldFormula>'કપાટ પત્રક પેહલા ભરવુ '!$Q:$XFD</oldFormula>
  </rdn>
  <rdn rId="0" localSheetId="3" customView="1" name="Z_0E659955_9737_492F_945A_95AC3E0C4088_.wvu.PrintArea" hidden="1" oldHidden="1">
    <formula>'નવા સ્લેબ મુજબ (NEW SLAB)'!$B$2:$AF$62</formula>
    <oldFormula>'નવા સ્લેબ મુજબ (NEW SLAB)'!$B$2:$AF$62</oldFormula>
  </rdn>
  <rdn rId="0" localSheetId="3" customView="1" name="Z_0E659955_9737_492F_945A_95AC3E0C4088_.wvu.Rows" hidden="1" oldHidden="1">
    <formula>'નવા સ્લેબ મુજબ (NEW SLAB)'!$342:$1048576,'નવા સ્લેબ મુજબ (NEW SLAB)'!$63:$341</formula>
    <oldFormula>'નવા સ્લેબ મુજબ (NEW SLAB)'!$342:$1048576,'નવા સ્લેબ મુજબ (NEW SLAB)'!$63:$341</oldFormula>
  </rdn>
  <rdn rId="0" localSheetId="3" customView="1" name="Z_0E659955_9737_492F_945A_95AC3E0C4088_.wvu.Cols" hidden="1" oldHidden="1">
    <formula>'નવા સ્લેબ મુજબ (NEW SLAB)'!$AH:$XFD</formula>
    <oldFormula>'નવા સ્લેબ મુજબ (NEW SLAB)'!$AH:$XFD</oldFormula>
  </rdn>
  <rdn rId="0" localSheetId="4" customView="1" name="Z_0E659955_9737_492F_945A_95AC3E0C4088_.wvu.Rows" hidden="1" oldHidden="1">
    <formula>Sheet1!$169:$1048576,Sheet1!$1:$168</formula>
    <oldFormula>Sheet1!$169:$1048576,Sheet1!$1:$168</oldFormula>
  </rdn>
  <rdn rId="0" localSheetId="4" customView="1" name="Z_0E659955_9737_492F_945A_95AC3E0C4088_.wvu.Cols" hidden="1" oldHidden="1">
    <formula>Sheet1!$1:$1048576</formula>
    <oldFormula>Sheet1!$1:$1048576</oldFormula>
  </rdn>
  <rcv guid="{0E659955-9737-492F-945A-95AC3E0C4088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4" sId="2">
    <nc r="E6" t="n">
      <v>84212</v>
    </nc>
  </rcc>
  <rcc rId="355" sId="2">
    <nc r="E7" t="n">
      <v>84212</v>
    </nc>
  </rcc>
  <rcc rId="356" sId="2">
    <nc r="E8" t="n">
      <v>84212</v>
    </nc>
  </rcc>
  <rcc rId="357" sId="2">
    <nc r="E9" t="n">
      <v>88900</v>
    </nc>
  </rcc>
  <rcc rId="358" sId="2">
    <nc r="E10" t="n">
      <v>91750</v>
    </nc>
  </rcc>
  <rcc rId="359" sId="2">
    <nc r="E11" t="n">
      <v>91750</v>
    </nc>
  </rcc>
  <rcc rId="360" sId="2">
    <nc r="E12" t="n">
      <v>91750</v>
    </nc>
  </rcc>
  <rcc rId="361" sId="2">
    <nc r="E13" t="n">
      <v>91750</v>
    </nc>
  </rcc>
  <rcc rId="362" sId="2">
    <nc r="E14" t="n">
      <v>91750</v>
    </nc>
  </rcc>
  <rcc rId="363" sId="2">
    <nc r="E15" t="n">
      <v>91750</v>
    </nc>
  </rcc>
  <rcc rId="364" sId="2">
    <nc r="E16" t="n">
      <v>91750</v>
    </nc>
  </rcc>
  <rcc rId="365" sId="2">
    <nc r="E17" t="n">
      <v>91750</v>
    </nc>
  </rcc>
  <rcc rId="366" sId="2">
    <nc r="F6" t="n">
      <v>200</v>
    </nc>
  </rcc>
  <rcc rId="367" sId="2">
    <nc r="F7" t="n">
      <v>200</v>
    </nc>
  </rcc>
  <rcc rId="368" sId="2">
    <nc r="F8" t="n">
      <v>200</v>
    </nc>
  </rcc>
  <rcc rId="369" sId="2">
    <nc r="F9" t="n">
      <v>200</v>
    </nc>
  </rcc>
  <rcc rId="370" sId="2">
    <nc r="F10" t="n">
      <v>200</v>
    </nc>
  </rcc>
  <rcc rId="371" sId="2">
    <nc r="F11" t="n">
      <v>200</v>
    </nc>
  </rcc>
  <rcc rId="372" sId="2">
    <nc r="F12" t="n">
      <v>200</v>
    </nc>
  </rcc>
  <rcc rId="373" sId="2">
    <nc r="F13" t="n">
      <v>200</v>
    </nc>
  </rcc>
  <rcc rId="374" sId="2">
    <nc r="F14" t="n">
      <v>200</v>
    </nc>
  </rcc>
  <rcc rId="375" sId="2">
    <nc r="F15" t="n">
      <v>200</v>
    </nc>
  </rcc>
  <rcc rId="376" sId="2">
    <nc r="F16" t="n">
      <v>200</v>
    </nc>
  </rcc>
  <rcc rId="377" sId="2">
    <nc r="F17" t="n">
      <v>200</v>
    </nc>
  </rcc>
  <rcc rId="378" sId="2">
    <nc r="G6" t="n">
      <v>20000</v>
    </nc>
  </rcc>
  <rcc rId="379" sId="2">
    <nc r="G7" t="n">
      <v>20000</v>
    </nc>
  </rcc>
  <rcc rId="380" sId="2">
    <nc r="G8" t="n">
      <v>20000</v>
    </nc>
  </rcc>
  <rcc rId="381" sId="2">
    <nc r="G9" t="n">
      <v>20000</v>
    </nc>
  </rcc>
  <rcc rId="382" sId="2">
    <nc r="G10" t="n">
      <v>20000</v>
    </nc>
  </rcc>
  <rcc rId="383" sId="2">
    <nc r="G11" t="n">
      <v>20000</v>
    </nc>
  </rcc>
  <rcc rId="384" sId="2">
    <nc r="G12" t="n">
      <v>20000</v>
    </nc>
  </rcc>
  <rcc rId="385" sId="2">
    <nc r="G13" t="n">
      <v>20000</v>
    </nc>
  </rcc>
  <rcc rId="386" sId="2">
    <nc r="G14" t="n">
      <v>20000</v>
    </nc>
  </rcc>
  <rcc rId="387" sId="2">
    <nc r="G15" t="n">
      <v>20000</v>
    </nc>
  </rcc>
  <rcc rId="388" sId="2">
    <nc r="G16" t="n">
      <v>20000</v>
    </nc>
  </rcc>
  <rcc rId="389" sId="2">
    <nc r="G17" t="n">
      <v>20000</v>
    </nc>
  </rcc>
  <rcc rId="390" sId="2">
    <nc r="I6" t="n">
      <v>800</v>
    </nc>
  </rcc>
  <rcc rId="391" sId="2">
    <nc r="I7" t="n">
      <v>800</v>
    </nc>
  </rcc>
  <rcc rId="392" sId="2">
    <nc r="I8" t="n">
      <v>800</v>
    </nc>
  </rcc>
  <rcc rId="393" sId="2">
    <nc r="I9" t="n">
      <v>800</v>
    </nc>
  </rcc>
  <rcc rId="394" sId="2">
    <nc r="I10" t="n">
      <v>800</v>
    </nc>
  </rcc>
  <rcc rId="395" sId="2">
    <nc r="I11" t="n">
      <v>800</v>
    </nc>
  </rcc>
  <rcc rId="396" sId="2">
    <nc r="I12" t="n">
      <v>800</v>
    </nc>
  </rcc>
  <rcc rId="397" sId="2">
    <nc r="I13" t="n">
      <v>800</v>
    </nc>
  </rcc>
  <rcc rId="398" sId="2">
    <nc r="I14" t="n">
      <v>800</v>
    </nc>
  </rcc>
  <rcc rId="399" sId="2">
    <nc r="I15" t="n">
      <v>800</v>
    </nc>
  </rcc>
  <rcc rId="400" sId="2">
    <nc r="I16" t="n">
      <v>800</v>
    </nc>
  </rcc>
  <rcc rId="401" sId="2">
    <nc r="I17" t="n">
      <v>800</v>
    </nc>
  </rcc>
  <rcc rId="402" sId="2">
    <nc r="J6" t="n">
      <v>3500</v>
    </nc>
  </rcc>
  <rcc rId="403" sId="2">
    <nc r="J7" t="n">
      <v>3500</v>
    </nc>
  </rcc>
  <rcc rId="404" sId="2">
    <nc r="J8" t="n">
      <v>3500</v>
    </nc>
  </rcc>
  <rcc rId="405" sId="2">
    <nc r="J9" t="n">
      <v>3500</v>
    </nc>
  </rcc>
  <rcc rId="406" sId="2">
    <nc r="J10" t="n">
      <v>3500</v>
    </nc>
  </rcc>
  <rcc rId="407" sId="2">
    <nc r="J11" t="n">
      <v>3500</v>
    </nc>
  </rcc>
  <rcc rId="408" sId="2">
    <nc r="J12" t="n">
      <v>3500</v>
    </nc>
  </rcc>
  <rcc rId="409" sId="2">
    <nc r="J13" t="n">
      <v>3500</v>
    </nc>
  </rcc>
  <rcc rId="410" sId="2">
    <nc r="J14" t="n">
      <v>3500</v>
    </nc>
  </rcc>
  <rcc rId="411" sId="2">
    <nc r="J15" t="n">
      <v>3500</v>
    </nc>
  </rcc>
  <rcc rId="412" sId="2">
    <nc r="K6" t="n">
      <v>1021</v>
    </nc>
  </rcc>
  <rcc rId="413" sId="2">
    <nc r="K7" t="n">
      <v>1021</v>
    </nc>
  </rcc>
  <rcc rId="414" sId="2">
    <nc r="K8" t="n">
      <v>1021</v>
    </nc>
  </rcc>
  <rcc rId="415" sId="2">
    <nc r="K9" t="n">
      <v>1021</v>
    </nc>
  </rcc>
  <rcc rId="416" sId="2">
    <nc r="K10" t="n">
      <v>1021</v>
    </nc>
  </rcc>
  <rcc rId="417" sId="2">
    <nc r="K11" t="n">
      <v>1021</v>
    </nc>
  </rcc>
  <rcc rId="418" sId="2">
    <nc r="K12" t="n">
      <v>1021</v>
    </nc>
  </rcc>
  <rcc rId="419" sId="2">
    <nc r="K13" t="n">
      <v>1021</v>
    </nc>
  </rcc>
  <rcc rId="420" sId="2">
    <nc r="K14" t="n">
      <v>1021</v>
    </nc>
  </rcc>
  <rcc rId="421" sId="2">
    <nc r="K15" t="n">
      <v>1021</v>
    </nc>
  </rcc>
  <rcc rId="422" sId="2">
    <nc r="K16" t="n">
      <v>1021</v>
    </nc>
  </rcc>
  <rcc rId="423" sId="2">
    <nc r="K17" t="n">
      <v>1021</v>
    </nc>
  </rcc>
  <rcc rId="424" sId="2">
    <nc r="L17" t="n">
      <v>200000</v>
    </nc>
  </rcc>
  <rcc rId="425" sId="2">
    <nc r="M17" t="n">
      <v>30000</v>
    </nc>
  </rcc>
  <rcc rId="426" sId="2" numFmtId="4">
    <nc r="E22" t="n">
      <v>14064</v>
    </nc>
  </rcc>
  <rcc rId="427" sId="2" numFmtId="4">
    <nc r="E23" t="n">
      <v>23440</v>
    </nc>
  </rcc>
  <rcc rId="428" sId="1" numFmtId="34">
    <oc r="S31" t="n">
      <v>0</v>
    </oc>
    <nc r="S31" t="n">
      <v>25000</v>
    </nc>
  </rcc>
  <rcc rId="429" sId="1">
    <oc r="AC1" t="inlineStr">
      <is>
        <t>C.P.F.</t>
      </is>
    </oc>
    <nc r="AC1" t="inlineStr">
      <is>
        <t>G.P.F.</t>
      </is>
    </nc>
  </rcc>
  <rcc rId="430" sId="2">
    <nc r="J16" t="n">
      <v>8307</v>
    </nc>
  </rcc>
  <rcc rId="431" sId="2">
    <nc r="J17" t="n">
      <v>8306</v>
    </nc>
  </rcc>
  <rcc rId="432" sId="2">
    <oc r="J16" t="n">
      <v>8307</v>
    </oc>
    <nc r="J16" t="n">
      <v>3500</v>
    </nc>
  </rcc>
  <rcc rId="433" sId="2">
    <oc r="J17" t="n">
      <v>8306</v>
    </oc>
    <nc r="J17" t="n">
      <v>0</v>
    </nc>
  </rcc>
  <rcc rId="434" sId="2">
    <oc r="J17" t="n">
      <v>0</v>
    </oc>
    <nc r="J17" t="n">
      <v>13113</v>
    </nc>
  </rcc>
  <rcc rId="435" sId="1">
    <nc r="F4" t="n">
      <v>8</v>
    </nc>
  </rcc>
  <rcc rId="436" sId="1">
    <nc r="G4" t="n">
      <v>2</v>
    </nc>
  </rcc>
  <rcc rId="437" sId="1">
    <nc r="H4" t="n">
      <v>3</v>
    </nc>
  </rcc>
  <rcc rId="438" sId="1">
    <nc r="I4" t="n">
      <v>8</v>
    </nc>
  </rcc>
  <rcc rId="439" sId="1">
    <nc r="J4" t="n">
      <v>0</v>
    </nc>
  </rcc>
  <rcc rId="440" sId="1">
    <nc r="K4" t="n">
      <v>7</v>
    </nc>
  </rcc>
  <rcc rId="441" sId="1">
    <nc r="L4" t="n">
      <v>5</v>
    </nc>
  </rcc>
  <rcc rId="442" sId="1">
    <nc r="M4" t="n">
      <v>2</v>
    </nc>
  </rcc>
  <rcc rId="443" sId="1">
    <nc r="N4" t="n">
      <v>8</v>
    </nc>
  </rcc>
  <rcc rId="444" sId="1">
    <nc r="O4" t="n">
      <v>8</v>
    </nc>
  </rcc>
  <rcc rId="445" sId="1">
    <nc r="F6" t="n">
      <v>2</v>
    </nc>
  </rcc>
  <rcc rId="446" sId="1">
    <nc r="G6" t="n">
      <v>5</v>
    </nc>
  </rcc>
  <rcc rId="447" sId="1">
    <nc r="H6" t="n">
      <v>2</v>
    </nc>
  </rcc>
  <rcc rId="448" sId="1">
    <nc r="I6" t="n">
      <v>4</v>
    </nc>
  </rcc>
  <rcc rId="449" sId="1">
    <nc r="J6" t="n">
      <v>3</v>
    </nc>
  </rcc>
  <rcc rId="450" sId="1">
    <nc r="K6" t="n">
      <v>9</v>
    </nc>
  </rcc>
  <rcc rId="451" sId="1">
    <nc r="L6" t="n">
      <v>9</v>
    </nc>
  </rcc>
  <rcc rId="452" sId="1">
    <nc r="M6" t="n">
      <v>4</v>
    </nc>
  </rcc>
  <rcc rId="453" sId="1">
    <nc r="N6" t="n">
      <v>5</v>
    </nc>
  </rcc>
  <rcc rId="454" sId="1">
    <nc r="O6" t="n">
      <v>2</v>
    </nc>
  </rcc>
  <rcc rId="455" sId="1">
    <nc r="P6" t="n">
      <v>9</v>
    </nc>
  </rcc>
  <rcc rId="456" sId="1">
    <nc r="Q6" t="n">
      <v>3</v>
    </nc>
  </rcc>
  <rcc rId="457" sId="1">
    <nc r="V4" t="inlineStr">
      <is>
        <t>A</t>
      </is>
    </nc>
  </rcc>
  <rcc rId="458" sId="1">
    <nc r="W4" t="inlineStr">
      <is>
        <t>M</t>
      </is>
    </nc>
  </rcc>
  <rcc rId="459" sId="1">
    <nc r="X4" t="inlineStr">
      <is>
        <t>T</t>
      </is>
    </nc>
  </rcc>
  <rcc rId="460" sId="1">
    <nc r="Y4" t="inlineStr">
      <is>
        <t>P</t>
      </is>
    </nc>
  </rcc>
  <rcc rId="461" sId="1">
    <nc r="Z4" t="inlineStr">
      <is>
        <t>P</t>
      </is>
    </nc>
  </rcc>
  <rcc rId="462" sId="1">
    <nc r="AA4" t="n">
      <v>1</v>
    </nc>
  </rcc>
  <rcc rId="463" sId="1">
    <nc r="AB4" t="n">
      <v>8</v>
    </nc>
  </rcc>
  <rcc rId="464" sId="1">
    <nc r="AC4" t="n">
      <v>3</v>
    </nc>
  </rcc>
  <rcc rId="465" sId="1">
    <nc r="AD4" t="n">
      <v>2</v>
    </nc>
  </rcc>
  <rcc rId="466" sId="1">
    <nc r="AE4" t="inlineStr">
      <is>
        <t>G</t>
      </is>
    </nc>
  </rcc>
  <rcc rId="467" sId="1">
    <nc r="V6" t="n">
      <v>1</v>
    </nc>
  </rcc>
  <rcc rId="468" sId="1">
    <nc r="W6" t="n">
      <v>5</v>
    </nc>
  </rcc>
  <rcc rId="469" sId="1">
    <nc r="Y6" t="n">
      <v>1</v>
    </nc>
  </rcc>
  <rcc rId="470" sId="1">
    <nc r="Z6" t="n">
      <v>0</v>
    </nc>
  </rcc>
  <rcc rId="471" sId="1">
    <nc r="AB6" t="n">
      <v>1</v>
    </nc>
  </rcc>
  <rcc rId="472" sId="1">
    <nc r="AC6" t="n">
      <v>9</v>
    </nc>
  </rcc>
  <rcc rId="473" sId="1">
    <nc r="AD6" t="n">
      <v>7</v>
    </nc>
  </rcc>
  <rcc rId="474" sId="1">
    <nc r="AE6" t="n">
      <v>5</v>
    </nc>
  </rcc>
  <rcc rId="475" sId="1">
    <nc r="I8" t="inlineStr">
      <is>
        <t xml:space="preserve">PARMAR SUBHASHCHANDRA RAMESHBHAI </t>
      </is>
    </nc>
  </rcc>
  <rcc rId="476" sId="1">
    <nc r="I9" t="inlineStr">
      <is>
        <t>JUNADADAPOR P.S</t>
      </is>
    </nc>
  </rcc>
  <rcc rId="477" sId="1">
    <nc r="Z8" t="inlineStr">
      <is>
        <t>PRINCIPAL</t>
      </is>
    </nc>
  </rcc>
  <rcc rId="478" sId="1" numFmtId="30">
    <nc r="Z9" t="inlineStr">
      <is>
        <t>16710100005591</t>
      </is>
    </nc>
  </rcc>
  <rcc rId="479" sId="1">
    <nc r="Z10" t="inlineStr">
      <is>
        <t>BARB0AMODXX</t>
      </is>
    </nc>
  </rcc>
  <rcc rId="480" sId="1">
    <nc r="I10" t="inlineStr">
      <is>
        <t>BANK OF BARODA</t>
      </is>
    </nc>
  </rcc>
  <rcc rId="481" sId="1">
    <nc r="R10" t="inlineStr">
      <is>
        <t>AMOD</t>
      </is>
    </nc>
  </rcc>
  <rfmt sheetId="1" sqref="I8:W8" start="0" length="2147483647">
    <dxf>
      <font>
        <sz val="9"/>
      </font>
    </dxf>
  </rfmt>
  <rfmt sheetId="1" sqref="I8:W8" start="0" length="2147483647">
    <dxf>
      <font>
        <sz val="8"/>
      </font>
    </dxf>
  </rfmt>
  <rfmt sheetId="1" sqref="I8:W8" start="0" length="2147483647">
    <dxf>
      <font>
        <sz val="9"/>
      </font>
    </dxf>
  </rfmt>
  <rfmt sheetId="1" sqref="I8:W8" start="0" length="2147483647">
    <dxf>
      <font>
        <sz val="10"/>
      </font>
    </dxf>
  </rfmt>
  <rfmt sheetId="1" sqref="I8:W8" start="0" length="2147483647">
    <dxf>
      <font>
        <sz val="11"/>
      </font>
    </dxf>
  </rfmt>
  <rfmt sheetId="1" sqref="I8:W8" start="0" length="2147483647">
    <dxf>
      <font>
        <sz val="10"/>
      </font>
    </dxf>
  </rfmt>
  <rcc rId="482" sId="2">
    <oc r="G1" t="inlineStr">
      <is>
        <t>new</t>
      </is>
    </oc>
    <nc r="G1" t="inlineStr">
      <is>
        <t>old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G347"/>
  <sheetViews>
    <sheetView showGridLines="0" showRowColHeaders="0" workbookViewId="0">
      <selection activeCell="I8" sqref="I8:W8"/>
    </sheetView>
  </sheetViews>
  <sheetFormatPr defaultColWidth="0" defaultRowHeight="16.5" customHeight="1" zeroHeight="1"/>
  <cols>
    <col min="1" max="1" width="3.54545454545455" style="252" customWidth="1"/>
    <col min="2" max="2" width="1.45454545454545" style="252" customWidth="1"/>
    <col min="3" max="3" width="3.54545454545455" style="253" customWidth="1"/>
    <col min="4" max="17" width="3.54545454545455" style="252" customWidth="1"/>
    <col min="18" max="18" width="3.54545454545455" style="254" customWidth="1"/>
    <col min="19" max="25" width="3.54545454545455" style="252" customWidth="1"/>
    <col min="26" max="26" width="3.54545454545455" style="254" customWidth="1"/>
    <col min="27" max="31" width="3.54545454545455" style="252" customWidth="1"/>
    <col min="32" max="32" width="1.45454545454545" style="252" customWidth="1"/>
    <col min="33" max="33" width="3.54545454545455" style="252" customWidth="1"/>
    <col min="34" max="38" width="3.54545454545455" style="249" hidden="1" customWidth="1"/>
    <col min="39" max="42" width="12.5454545454545" style="249" hidden="1" customWidth="1"/>
    <col min="43" max="43" width="13.1818181818182" style="249" hidden="1" customWidth="1"/>
    <col min="44" max="69" width="9.18181818181818" style="249" hidden="1" customWidth="1"/>
    <col min="70" max="85" width="9.18181818181818" style="251" hidden="1" customWidth="1"/>
    <col min="86" max="256" width="0" style="255" hidden="1" customWidth="1"/>
    <col min="257" max="16384" width="9.18181818181818" style="246" hidden="1"/>
  </cols>
  <sheetData>
    <row r="1" s="245" customFormat="1" ht="24" customHeight="1" spans="1:85">
      <c r="A1" s="256" t="s">
        <v>0</v>
      </c>
      <c r="B1" s="256"/>
      <c r="C1" s="256"/>
      <c r="D1" s="256"/>
      <c r="E1" s="256"/>
      <c r="F1" s="256"/>
      <c r="G1" s="256"/>
      <c r="H1" s="256"/>
      <c r="I1" s="256"/>
      <c r="J1" s="256"/>
      <c r="K1" s="291" t="s">
        <v>1</v>
      </c>
      <c r="L1" s="292"/>
      <c r="M1" s="293"/>
      <c r="N1" s="294" t="s">
        <v>2</v>
      </c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2" t="s">
        <v>3</v>
      </c>
      <c r="AD1" s="292"/>
      <c r="AE1" s="292"/>
      <c r="AF1" s="318"/>
      <c r="AH1" s="243"/>
      <c r="AI1" s="243"/>
      <c r="AJ1" s="243"/>
      <c r="AK1" s="243"/>
      <c r="AL1" s="243"/>
      <c r="AM1" s="243"/>
      <c r="AN1" s="243"/>
      <c r="AO1" s="243"/>
      <c r="AP1" s="243"/>
      <c r="AQ1" s="243"/>
      <c r="AR1" s="243"/>
      <c r="AS1" s="249"/>
      <c r="AT1" s="249"/>
      <c r="AU1" s="249"/>
      <c r="AV1" s="249"/>
      <c r="AW1" s="249"/>
      <c r="AX1" s="249"/>
      <c r="AY1" s="249"/>
      <c r="AZ1" s="249"/>
      <c r="BA1" s="249"/>
      <c r="BB1" s="249"/>
      <c r="BC1" s="249"/>
      <c r="BD1" s="249"/>
      <c r="BE1" s="249"/>
      <c r="BF1" s="249"/>
      <c r="BG1" s="249"/>
      <c r="BH1" s="249"/>
      <c r="BI1" s="249"/>
      <c r="BJ1" s="249"/>
      <c r="BK1" s="249"/>
      <c r="BL1" s="249"/>
      <c r="BM1" s="249"/>
      <c r="BN1" s="249"/>
      <c r="BO1" s="249"/>
      <c r="BP1" s="249"/>
      <c r="BQ1" s="249"/>
      <c r="BR1" s="251"/>
      <c r="BS1" s="251"/>
      <c r="BT1" s="251"/>
      <c r="BU1" s="251"/>
      <c r="BV1" s="251"/>
      <c r="BW1" s="251"/>
      <c r="BX1" s="251"/>
      <c r="BY1" s="251"/>
      <c r="BZ1" s="251"/>
      <c r="CA1" s="251"/>
      <c r="CB1" s="251"/>
      <c r="CC1" s="251"/>
      <c r="CD1" s="251"/>
      <c r="CE1" s="251"/>
      <c r="CF1" s="251"/>
      <c r="CG1" s="251"/>
    </row>
    <row r="2" s="246" customFormat="1" ht="21" customHeight="1" spans="1:85">
      <c r="A2" s="257"/>
      <c r="B2" s="258"/>
      <c r="C2" s="259" t="s">
        <v>4</v>
      </c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319"/>
      <c r="AG2" s="341"/>
      <c r="AH2" s="249"/>
      <c r="AI2" s="249"/>
      <c r="AJ2" s="249"/>
      <c r="AK2" s="249"/>
      <c r="AL2" s="249"/>
      <c r="AM2" s="249" t="s">
        <v>5</v>
      </c>
      <c r="AN2" s="249">
        <f>AO32</f>
        <v>0</v>
      </c>
      <c r="AO2" s="249">
        <v>0</v>
      </c>
      <c r="AP2" s="249">
        <f>IF(AC1="C.P.F.",AN2,AO2)</f>
        <v>0</v>
      </c>
      <c r="AQ2" s="249">
        <f>AN32</f>
        <v>0</v>
      </c>
      <c r="AR2" s="249">
        <f>IF(AC1="C.P.F.",AQ2,AO2)</f>
        <v>0</v>
      </c>
      <c r="AS2" s="249"/>
      <c r="AT2" s="249"/>
      <c r="AU2" s="249"/>
      <c r="AV2" s="249"/>
      <c r="AW2" s="249"/>
      <c r="AX2" s="249"/>
      <c r="AY2" s="249"/>
      <c r="AZ2" s="249"/>
      <c r="BA2" s="249"/>
      <c r="BB2" s="249"/>
      <c r="BC2" s="249"/>
      <c r="BD2" s="249"/>
      <c r="BE2" s="249"/>
      <c r="BF2" s="249"/>
      <c r="BG2" s="249"/>
      <c r="BH2" s="249"/>
      <c r="BI2" s="249"/>
      <c r="BJ2" s="249"/>
      <c r="BK2" s="249"/>
      <c r="BL2" s="249"/>
      <c r="BM2" s="249"/>
      <c r="BN2" s="249"/>
      <c r="BO2" s="249"/>
      <c r="BP2" s="249"/>
      <c r="BQ2" s="249"/>
      <c r="BR2" s="251"/>
      <c r="BS2" s="251"/>
      <c r="BT2" s="251"/>
      <c r="BU2" s="251"/>
      <c r="BV2" s="251"/>
      <c r="BW2" s="251"/>
      <c r="BX2" s="251"/>
      <c r="BY2" s="251"/>
      <c r="BZ2" s="251"/>
      <c r="CA2" s="251"/>
      <c r="CB2" s="251"/>
      <c r="CC2" s="251"/>
      <c r="CD2" s="251"/>
      <c r="CE2" s="251"/>
      <c r="CF2" s="251"/>
      <c r="CG2" s="251"/>
    </row>
    <row r="3" s="246" customFormat="1" customHeight="1" spans="1:85">
      <c r="A3" s="257"/>
      <c r="B3" s="260"/>
      <c r="C3" s="261" t="s">
        <v>6</v>
      </c>
      <c r="D3" s="261"/>
      <c r="E3" s="261"/>
      <c r="F3" s="261"/>
      <c r="G3" s="261"/>
      <c r="H3" s="261"/>
      <c r="I3" s="261"/>
      <c r="J3" s="261"/>
      <c r="K3" s="261"/>
      <c r="L3" s="261"/>
      <c r="M3" s="247"/>
      <c r="N3" s="247"/>
      <c r="O3" s="247"/>
      <c r="P3" s="247"/>
      <c r="Q3" s="247"/>
      <c r="R3" s="247"/>
      <c r="S3" s="247"/>
      <c r="T3" s="247"/>
      <c r="U3" s="247"/>
      <c r="V3" s="304" t="s">
        <v>7</v>
      </c>
      <c r="W3" s="304"/>
      <c r="X3" s="304"/>
      <c r="Y3" s="304"/>
      <c r="Z3" s="304"/>
      <c r="AA3" s="304"/>
      <c r="AB3" s="304"/>
      <c r="AC3" s="304"/>
      <c r="AD3" s="304"/>
      <c r="AE3" s="304"/>
      <c r="AF3" s="320"/>
      <c r="AG3" s="341"/>
      <c r="AH3" s="249"/>
      <c r="AI3" s="249"/>
      <c r="AJ3" s="249"/>
      <c r="AK3" s="249"/>
      <c r="AL3" s="249"/>
      <c r="AM3" s="249" t="s">
        <v>3</v>
      </c>
      <c r="AN3" s="249">
        <f>'કપાટ પત્રક પેહલા ભરવુ '!G18</f>
        <v>240000</v>
      </c>
      <c r="AO3" s="249">
        <v>0</v>
      </c>
      <c r="AP3" s="249">
        <f>IF(AC1="G.P.F.",AN3,AO3)</f>
        <v>240000</v>
      </c>
      <c r="AQ3" s="249"/>
      <c r="AR3" s="249"/>
      <c r="AS3" s="249"/>
      <c r="AT3" s="249"/>
      <c r="AU3" s="249"/>
      <c r="AV3" s="249"/>
      <c r="AW3" s="249"/>
      <c r="AX3" s="249"/>
      <c r="AY3" s="249"/>
      <c r="AZ3" s="249"/>
      <c r="BA3" s="249"/>
      <c r="BB3" s="249"/>
      <c r="BC3" s="249"/>
      <c r="BD3" s="249"/>
      <c r="BE3" s="249"/>
      <c r="BF3" s="249"/>
      <c r="BG3" s="249"/>
      <c r="BH3" s="249"/>
      <c r="BI3" s="249"/>
      <c r="BJ3" s="249"/>
      <c r="BK3" s="249"/>
      <c r="BL3" s="249"/>
      <c r="BM3" s="249"/>
      <c r="BN3" s="249"/>
      <c r="BO3" s="249"/>
      <c r="BP3" s="249"/>
      <c r="BQ3" s="249"/>
      <c r="BR3" s="251"/>
      <c r="BS3" s="251"/>
      <c r="BT3" s="251"/>
      <c r="BU3" s="251"/>
      <c r="BV3" s="251"/>
      <c r="BW3" s="251"/>
      <c r="BX3" s="251"/>
      <c r="BY3" s="251"/>
      <c r="BZ3" s="251"/>
      <c r="CA3" s="251"/>
      <c r="CB3" s="251"/>
      <c r="CC3" s="251"/>
      <c r="CD3" s="251"/>
      <c r="CE3" s="251"/>
      <c r="CF3" s="251"/>
      <c r="CG3" s="251"/>
    </row>
    <row r="4" s="247" customFormat="1" ht="15.75" customHeight="1" spans="1:85">
      <c r="A4" s="262"/>
      <c r="B4" s="263"/>
      <c r="C4" s="264" t="s">
        <v>8</v>
      </c>
      <c r="D4" s="264"/>
      <c r="E4" s="264"/>
      <c r="F4" s="265">
        <v>8</v>
      </c>
      <c r="G4" s="265">
        <v>2</v>
      </c>
      <c r="H4" s="265">
        <v>3</v>
      </c>
      <c r="I4" s="265">
        <v>8</v>
      </c>
      <c r="J4" s="265">
        <v>0</v>
      </c>
      <c r="K4" s="265">
        <v>7</v>
      </c>
      <c r="L4" s="265">
        <v>5</v>
      </c>
      <c r="M4" s="265">
        <v>2</v>
      </c>
      <c r="N4" s="265">
        <v>8</v>
      </c>
      <c r="O4" s="265">
        <v>8</v>
      </c>
      <c r="P4" s="295"/>
      <c r="Q4" s="295"/>
      <c r="R4" s="296" t="s">
        <v>9</v>
      </c>
      <c r="S4" s="296"/>
      <c r="T4" s="296"/>
      <c r="U4" s="296"/>
      <c r="V4" s="265" t="s">
        <v>10</v>
      </c>
      <c r="W4" s="265" t="s">
        <v>11</v>
      </c>
      <c r="X4" s="265" t="s">
        <v>12</v>
      </c>
      <c r="Y4" s="265" t="s">
        <v>13</v>
      </c>
      <c r="Z4" s="265" t="s">
        <v>13</v>
      </c>
      <c r="AA4" s="265">
        <v>1</v>
      </c>
      <c r="AB4" s="265">
        <v>8</v>
      </c>
      <c r="AC4" s="265">
        <v>3</v>
      </c>
      <c r="AD4" s="265">
        <v>2</v>
      </c>
      <c r="AE4" s="265" t="s">
        <v>14</v>
      </c>
      <c r="AF4" s="321"/>
      <c r="AG4" s="262"/>
      <c r="AH4" s="342"/>
      <c r="AI4" s="342"/>
      <c r="AJ4" s="342"/>
      <c r="AK4" s="342"/>
      <c r="AL4" s="342"/>
      <c r="AM4" s="342"/>
      <c r="AN4" s="342"/>
      <c r="AO4" s="342"/>
      <c r="AP4" s="342"/>
      <c r="AQ4" s="342"/>
      <c r="AR4" s="342"/>
      <c r="AS4" s="344"/>
      <c r="AT4" s="344"/>
      <c r="AU4" s="344"/>
      <c r="AV4" s="344"/>
      <c r="AW4" s="344"/>
      <c r="AX4" s="344"/>
      <c r="AY4" s="344"/>
      <c r="AZ4" s="344"/>
      <c r="BA4" s="344"/>
      <c r="BB4" s="344"/>
      <c r="BC4" s="344"/>
      <c r="BD4" s="344"/>
      <c r="BE4" s="344"/>
      <c r="BF4" s="344"/>
      <c r="BG4" s="344"/>
      <c r="BH4" s="344"/>
      <c r="BI4" s="344"/>
      <c r="BJ4" s="344"/>
      <c r="BK4" s="344"/>
      <c r="BL4" s="344"/>
      <c r="BM4" s="344"/>
      <c r="BN4" s="344"/>
      <c r="BO4" s="344"/>
      <c r="BP4" s="344"/>
      <c r="BQ4" s="344"/>
      <c r="BR4" s="348"/>
      <c r="BS4" s="348"/>
      <c r="BT4" s="348"/>
      <c r="BU4" s="348"/>
      <c r="BV4" s="348"/>
      <c r="BW4" s="348"/>
      <c r="BX4" s="348"/>
      <c r="BY4" s="348"/>
      <c r="BZ4" s="348"/>
      <c r="CA4" s="348"/>
      <c r="CB4" s="348"/>
      <c r="CC4" s="348"/>
      <c r="CD4" s="348"/>
      <c r="CE4" s="348"/>
      <c r="CF4" s="348"/>
      <c r="CG4" s="348"/>
    </row>
    <row r="5" s="246" customFormat="1" ht="3.75" customHeight="1" spans="1:85">
      <c r="A5" s="266"/>
      <c r="B5" s="267"/>
      <c r="C5" s="264"/>
      <c r="D5" s="264"/>
      <c r="E5" s="264"/>
      <c r="F5" s="268"/>
      <c r="G5" s="268"/>
      <c r="H5" s="268"/>
      <c r="I5" s="268"/>
      <c r="J5" s="295"/>
      <c r="K5" s="295"/>
      <c r="L5" s="295"/>
      <c r="M5" s="295"/>
      <c r="N5" s="295"/>
      <c r="O5" s="296"/>
      <c r="P5" s="296"/>
      <c r="Q5" s="296"/>
      <c r="R5" s="296"/>
      <c r="S5" s="296"/>
      <c r="T5" s="296"/>
      <c r="U5" s="296"/>
      <c r="V5" s="296"/>
      <c r="W5" s="268"/>
      <c r="X5" s="268"/>
      <c r="Y5" s="268"/>
      <c r="Z5" s="268"/>
      <c r="AA5" s="268"/>
      <c r="AB5" s="295"/>
      <c r="AC5" s="268"/>
      <c r="AD5" s="268"/>
      <c r="AE5" s="268"/>
      <c r="AF5" s="322"/>
      <c r="AG5" s="266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49"/>
      <c r="BK5" s="249"/>
      <c r="BL5" s="249"/>
      <c r="BM5" s="249"/>
      <c r="BN5" s="249"/>
      <c r="BO5" s="249"/>
      <c r="BP5" s="249"/>
      <c r="BQ5" s="249"/>
      <c r="BR5" s="251"/>
      <c r="BS5" s="251"/>
      <c r="BT5" s="251"/>
      <c r="BU5" s="251"/>
      <c r="BV5" s="251"/>
      <c r="BW5" s="251"/>
      <c r="BX5" s="251"/>
      <c r="BY5" s="251"/>
      <c r="BZ5" s="251"/>
      <c r="CA5" s="251"/>
      <c r="CB5" s="251"/>
      <c r="CC5" s="251"/>
      <c r="CD5" s="251"/>
      <c r="CE5" s="251"/>
      <c r="CF5" s="251"/>
      <c r="CG5" s="251"/>
    </row>
    <row r="6" s="247" customFormat="1" customHeight="1" spans="1:85">
      <c r="A6" s="262"/>
      <c r="B6" s="263"/>
      <c r="C6" s="264" t="s">
        <v>15</v>
      </c>
      <c r="D6" s="264"/>
      <c r="E6" s="264"/>
      <c r="F6" s="265">
        <v>2</v>
      </c>
      <c r="G6" s="265">
        <v>5</v>
      </c>
      <c r="H6" s="265">
        <v>2</v>
      </c>
      <c r="I6" s="265">
        <v>4</v>
      </c>
      <c r="J6" s="265">
        <v>3</v>
      </c>
      <c r="K6" s="265">
        <v>9</v>
      </c>
      <c r="L6" s="265">
        <v>9</v>
      </c>
      <c r="M6" s="265">
        <v>4</v>
      </c>
      <c r="N6" s="265">
        <v>5</v>
      </c>
      <c r="O6" s="265">
        <v>2</v>
      </c>
      <c r="P6" s="265">
        <v>9</v>
      </c>
      <c r="Q6" s="265">
        <v>3</v>
      </c>
      <c r="R6" s="296" t="s">
        <v>16</v>
      </c>
      <c r="S6" s="296"/>
      <c r="T6" s="296"/>
      <c r="U6" s="296"/>
      <c r="V6" s="265">
        <v>1</v>
      </c>
      <c r="W6" s="265">
        <v>5</v>
      </c>
      <c r="X6" s="295"/>
      <c r="Y6" s="265">
        <v>1</v>
      </c>
      <c r="Z6" s="265">
        <v>0</v>
      </c>
      <c r="AA6" s="295"/>
      <c r="AB6" s="265">
        <v>1</v>
      </c>
      <c r="AC6" s="265">
        <v>9</v>
      </c>
      <c r="AD6" s="265">
        <v>7</v>
      </c>
      <c r="AE6" s="265">
        <v>5</v>
      </c>
      <c r="AF6" s="321"/>
      <c r="AG6" s="262"/>
      <c r="AH6" s="342"/>
      <c r="AI6" s="342"/>
      <c r="AJ6" s="342"/>
      <c r="AK6" s="342"/>
      <c r="AL6" s="342"/>
      <c r="AM6" s="342"/>
      <c r="AN6" s="342"/>
      <c r="AO6" s="342"/>
      <c r="AP6" s="342"/>
      <c r="AQ6" s="342"/>
      <c r="AR6" s="342"/>
      <c r="AS6" s="344"/>
      <c r="AT6" s="344"/>
      <c r="AU6" s="344"/>
      <c r="AV6" s="344"/>
      <c r="AW6" s="344"/>
      <c r="AX6" s="344"/>
      <c r="AY6" s="344"/>
      <c r="AZ6" s="344"/>
      <c r="BA6" s="344"/>
      <c r="BB6" s="344"/>
      <c r="BC6" s="344"/>
      <c r="BD6" s="344"/>
      <c r="BE6" s="344"/>
      <c r="BF6" s="344"/>
      <c r="BG6" s="344"/>
      <c r="BH6" s="344"/>
      <c r="BI6" s="344"/>
      <c r="BJ6" s="344"/>
      <c r="BK6" s="344"/>
      <c r="BL6" s="344"/>
      <c r="BM6" s="344"/>
      <c r="BN6" s="344"/>
      <c r="BO6" s="344"/>
      <c r="BP6" s="344"/>
      <c r="BQ6" s="344"/>
      <c r="BR6" s="348"/>
      <c r="BS6" s="348"/>
      <c r="BT6" s="348"/>
      <c r="BU6" s="348"/>
      <c r="BV6" s="348"/>
      <c r="BW6" s="348"/>
      <c r="BX6" s="348"/>
      <c r="BY6" s="348"/>
      <c r="BZ6" s="348"/>
      <c r="CA6" s="348"/>
      <c r="CB6" s="348"/>
      <c r="CC6" s="348"/>
      <c r="CD6" s="348"/>
      <c r="CE6" s="348"/>
      <c r="CF6" s="348"/>
      <c r="CG6" s="348"/>
    </row>
    <row r="7" s="247" customFormat="1" ht="3.75" customHeight="1" spans="1:85">
      <c r="A7" s="269"/>
      <c r="B7" s="270"/>
      <c r="D7" s="271"/>
      <c r="E7" s="271"/>
      <c r="F7" s="271"/>
      <c r="R7" s="271"/>
      <c r="S7" s="271"/>
      <c r="T7" s="271"/>
      <c r="U7" s="271"/>
      <c r="AF7" s="323"/>
      <c r="AG7" s="343"/>
      <c r="AH7" s="344"/>
      <c r="AI7" s="344"/>
      <c r="AJ7" s="344"/>
      <c r="AK7" s="344"/>
      <c r="AL7" s="344"/>
      <c r="AM7" s="344"/>
      <c r="AN7" s="344"/>
      <c r="AO7" s="344"/>
      <c r="AP7" s="344"/>
      <c r="AQ7" s="344"/>
      <c r="AR7" s="344"/>
      <c r="AS7" s="344"/>
      <c r="AT7" s="344"/>
      <c r="AU7" s="344"/>
      <c r="AV7" s="344"/>
      <c r="AW7" s="344"/>
      <c r="AX7" s="344"/>
      <c r="AY7" s="344"/>
      <c r="AZ7" s="344"/>
      <c r="BA7" s="344"/>
      <c r="BB7" s="344"/>
      <c r="BC7" s="344"/>
      <c r="BD7" s="344"/>
      <c r="BE7" s="344"/>
      <c r="BF7" s="344"/>
      <c r="BG7" s="344"/>
      <c r="BH7" s="344"/>
      <c r="BI7" s="344"/>
      <c r="BJ7" s="344"/>
      <c r="BK7" s="344"/>
      <c r="BL7" s="344"/>
      <c r="BM7" s="344"/>
      <c r="BN7" s="344"/>
      <c r="BO7" s="344"/>
      <c r="BP7" s="344"/>
      <c r="BQ7" s="344"/>
      <c r="BR7" s="348"/>
      <c r="BS7" s="348"/>
      <c r="BT7" s="348"/>
      <c r="BU7" s="348"/>
      <c r="BV7" s="348"/>
      <c r="BW7" s="348"/>
      <c r="BX7" s="348"/>
      <c r="BY7" s="348"/>
      <c r="BZ7" s="348"/>
      <c r="CA7" s="348"/>
      <c r="CB7" s="348"/>
      <c r="CC7" s="348"/>
      <c r="CD7" s="348"/>
      <c r="CE7" s="348"/>
      <c r="CF7" s="348"/>
      <c r="CG7" s="348"/>
    </row>
    <row r="8" s="246" customFormat="1" customHeight="1" spans="1:85">
      <c r="A8" s="266"/>
      <c r="B8" s="267"/>
      <c r="C8" s="264" t="s">
        <v>17</v>
      </c>
      <c r="D8" s="264"/>
      <c r="E8" s="264"/>
      <c r="F8" s="264"/>
      <c r="G8" s="264"/>
      <c r="H8" s="264"/>
      <c r="I8" s="297" t="s">
        <v>18</v>
      </c>
      <c r="J8" s="297"/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5" t="s">
        <v>19</v>
      </c>
      <c r="Y8" s="295"/>
      <c r="Z8" s="298" t="s">
        <v>20</v>
      </c>
      <c r="AA8" s="298"/>
      <c r="AB8" s="298"/>
      <c r="AC8" s="298"/>
      <c r="AD8" s="298"/>
      <c r="AE8" s="298"/>
      <c r="AF8" s="322"/>
      <c r="AG8" s="266"/>
      <c r="AH8" s="243"/>
      <c r="AI8" s="243"/>
      <c r="AJ8" s="243"/>
      <c r="AK8" s="243"/>
      <c r="AL8" s="243"/>
      <c r="AM8" s="243"/>
      <c r="AN8" s="243"/>
      <c r="AO8" s="243"/>
      <c r="AP8" s="243"/>
      <c r="AQ8" s="243"/>
      <c r="AR8" s="243"/>
      <c r="AS8" s="249"/>
      <c r="AT8" s="249"/>
      <c r="AU8" s="249"/>
      <c r="AV8" s="249"/>
      <c r="AW8" s="249"/>
      <c r="AX8" s="249"/>
      <c r="AY8" s="249"/>
      <c r="AZ8" s="249"/>
      <c r="BA8" s="249"/>
      <c r="BB8" s="249"/>
      <c r="BC8" s="249"/>
      <c r="BD8" s="249"/>
      <c r="BE8" s="249"/>
      <c r="BF8" s="249"/>
      <c r="BG8" s="249"/>
      <c r="BH8" s="249"/>
      <c r="BI8" s="249"/>
      <c r="BJ8" s="249"/>
      <c r="BK8" s="249"/>
      <c r="BL8" s="249"/>
      <c r="BM8" s="249"/>
      <c r="BN8" s="249"/>
      <c r="BO8" s="249"/>
      <c r="BP8" s="249"/>
      <c r="BQ8" s="249"/>
      <c r="BR8" s="251"/>
      <c r="BS8" s="251"/>
      <c r="BT8" s="251"/>
      <c r="BU8" s="251"/>
      <c r="BV8" s="251"/>
      <c r="BW8" s="251"/>
      <c r="BX8" s="251"/>
      <c r="BY8" s="251"/>
      <c r="BZ8" s="251"/>
      <c r="CA8" s="251"/>
      <c r="CB8" s="251"/>
      <c r="CC8" s="251"/>
      <c r="CD8" s="251"/>
      <c r="CE8" s="251"/>
      <c r="CF8" s="251"/>
      <c r="CG8" s="251"/>
    </row>
    <row r="9" s="246" customFormat="1" customHeight="1" spans="1:85">
      <c r="A9" s="266"/>
      <c r="B9" s="267"/>
      <c r="C9" s="264" t="s">
        <v>21</v>
      </c>
      <c r="D9" s="264"/>
      <c r="E9" s="264"/>
      <c r="F9" s="264"/>
      <c r="G9" s="264"/>
      <c r="H9" s="264"/>
      <c r="I9" s="298" t="s">
        <v>22</v>
      </c>
      <c r="J9" s="298"/>
      <c r="K9" s="298"/>
      <c r="L9" s="298"/>
      <c r="M9" s="298"/>
      <c r="N9" s="298"/>
      <c r="O9" s="298"/>
      <c r="P9" s="298"/>
      <c r="Q9" s="298"/>
      <c r="R9" s="298"/>
      <c r="S9" s="298"/>
      <c r="T9" s="298"/>
      <c r="U9" s="298"/>
      <c r="V9" s="295" t="s">
        <v>23</v>
      </c>
      <c r="W9" s="295"/>
      <c r="X9" s="295"/>
      <c r="Y9" s="295"/>
      <c r="Z9" s="324" t="s">
        <v>24</v>
      </c>
      <c r="AA9" s="324"/>
      <c r="AB9" s="324"/>
      <c r="AC9" s="324"/>
      <c r="AD9" s="324"/>
      <c r="AE9" s="324"/>
      <c r="AF9" s="322"/>
      <c r="AG9" s="266"/>
      <c r="AH9" s="243"/>
      <c r="AI9" s="243"/>
      <c r="AJ9" s="243"/>
      <c r="AK9" s="243"/>
      <c r="AL9" s="243"/>
      <c r="AM9" s="243"/>
      <c r="AN9" s="243"/>
      <c r="AO9" s="243"/>
      <c r="AP9" s="243"/>
      <c r="AQ9" s="243"/>
      <c r="AR9" s="243"/>
      <c r="AS9" s="249"/>
      <c r="AT9" s="249"/>
      <c r="AU9" s="249"/>
      <c r="AV9" s="249"/>
      <c r="AW9" s="249"/>
      <c r="AX9" s="249"/>
      <c r="AY9" s="249"/>
      <c r="AZ9" s="249"/>
      <c r="BA9" s="249"/>
      <c r="BB9" s="249"/>
      <c r="BC9" s="249"/>
      <c r="BD9" s="249"/>
      <c r="BE9" s="249"/>
      <c r="BF9" s="249"/>
      <c r="BG9" s="249"/>
      <c r="BH9" s="249"/>
      <c r="BI9" s="249"/>
      <c r="BJ9" s="249"/>
      <c r="BK9" s="249"/>
      <c r="BL9" s="249"/>
      <c r="BM9" s="249"/>
      <c r="BN9" s="249"/>
      <c r="BO9" s="249"/>
      <c r="BP9" s="249"/>
      <c r="BQ9" s="249"/>
      <c r="BR9" s="251"/>
      <c r="BS9" s="251"/>
      <c r="BT9" s="251"/>
      <c r="BU9" s="251"/>
      <c r="BV9" s="251"/>
      <c r="BW9" s="251"/>
      <c r="BX9" s="251"/>
      <c r="BY9" s="251"/>
      <c r="BZ9" s="251"/>
      <c r="CA9" s="251"/>
      <c r="CB9" s="251"/>
      <c r="CC9" s="251"/>
      <c r="CD9" s="251"/>
      <c r="CE9" s="251"/>
      <c r="CF9" s="251"/>
      <c r="CG9" s="251"/>
    </row>
    <row r="10" s="246" customFormat="1" customHeight="1" spans="1:85">
      <c r="A10" s="266"/>
      <c r="B10" s="267"/>
      <c r="C10" s="264" t="s">
        <v>25</v>
      </c>
      <c r="D10" s="264"/>
      <c r="E10" s="264"/>
      <c r="F10" s="264"/>
      <c r="G10" s="264"/>
      <c r="H10" s="264"/>
      <c r="I10" s="298" t="s">
        <v>26</v>
      </c>
      <c r="J10" s="298"/>
      <c r="K10" s="298"/>
      <c r="L10" s="298"/>
      <c r="M10" s="298"/>
      <c r="N10" s="298"/>
      <c r="O10" s="298"/>
      <c r="P10" s="295" t="s">
        <v>27</v>
      </c>
      <c r="Q10" s="295"/>
      <c r="R10" s="305" t="s">
        <v>28</v>
      </c>
      <c r="S10" s="305"/>
      <c r="T10" s="305"/>
      <c r="U10" s="305"/>
      <c r="V10" s="295" t="s">
        <v>29</v>
      </c>
      <c r="W10" s="295"/>
      <c r="X10" s="295"/>
      <c r="Y10" s="295"/>
      <c r="Z10" s="298" t="s">
        <v>30</v>
      </c>
      <c r="AA10" s="298"/>
      <c r="AB10" s="298"/>
      <c r="AC10" s="298"/>
      <c r="AD10" s="298"/>
      <c r="AE10" s="298"/>
      <c r="AF10" s="322"/>
      <c r="AG10" s="266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9"/>
      <c r="AT10" s="249"/>
      <c r="AU10" s="249"/>
      <c r="AV10" s="249"/>
      <c r="AW10" s="249"/>
      <c r="AX10" s="249"/>
      <c r="AY10" s="249"/>
      <c r="AZ10" s="249"/>
      <c r="BA10" s="249"/>
      <c r="BB10" s="249"/>
      <c r="BC10" s="249"/>
      <c r="BD10" s="249"/>
      <c r="BE10" s="249"/>
      <c r="BF10" s="249"/>
      <c r="BG10" s="249"/>
      <c r="BH10" s="249"/>
      <c r="BI10" s="249"/>
      <c r="BJ10" s="249"/>
      <c r="BK10" s="249"/>
      <c r="BL10" s="249"/>
      <c r="BM10" s="249"/>
      <c r="BN10" s="249"/>
      <c r="BO10" s="249"/>
      <c r="BP10" s="249"/>
      <c r="BQ10" s="249"/>
      <c r="BR10" s="251"/>
      <c r="BS10" s="251"/>
      <c r="BT10" s="251"/>
      <c r="BU10" s="251"/>
      <c r="BV10" s="251"/>
      <c r="BW10" s="251"/>
      <c r="BX10" s="251"/>
      <c r="BY10" s="251"/>
      <c r="BZ10" s="251"/>
      <c r="CA10" s="251"/>
      <c r="CB10" s="251"/>
      <c r="CC10" s="251"/>
      <c r="CD10" s="251"/>
      <c r="CE10" s="251"/>
      <c r="CF10" s="251"/>
      <c r="CG10" s="251"/>
    </row>
    <row r="11" s="246" customFormat="1" ht="3.75" customHeight="1" spans="1:85">
      <c r="A11" s="257"/>
      <c r="B11" s="272"/>
      <c r="C11" s="273"/>
      <c r="D11" s="274"/>
      <c r="E11" s="275"/>
      <c r="F11" s="275"/>
      <c r="G11" s="275"/>
      <c r="H11" s="275"/>
      <c r="I11" s="275"/>
      <c r="J11" s="275"/>
      <c r="K11" s="275"/>
      <c r="L11" s="275"/>
      <c r="M11" s="275"/>
      <c r="N11" s="275"/>
      <c r="O11" s="275"/>
      <c r="P11" s="275"/>
      <c r="Q11" s="275"/>
      <c r="R11" s="306"/>
      <c r="S11" s="275"/>
      <c r="T11" s="275"/>
      <c r="U11" s="275"/>
      <c r="V11" s="275"/>
      <c r="W11" s="275"/>
      <c r="X11" s="275"/>
      <c r="Y11" s="275"/>
      <c r="Z11" s="306"/>
      <c r="AA11" s="275"/>
      <c r="AB11" s="275"/>
      <c r="AC11" s="275"/>
      <c r="AD11" s="275"/>
      <c r="AE11" s="275"/>
      <c r="AF11" s="325"/>
      <c r="AG11" s="341"/>
      <c r="AH11" s="249"/>
      <c r="AI11" s="249"/>
      <c r="AJ11" s="249"/>
      <c r="AK11" s="249"/>
      <c r="AL11" s="249"/>
      <c r="AM11" s="249"/>
      <c r="AN11" s="249"/>
      <c r="AO11" s="249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49"/>
      <c r="BK11" s="249"/>
      <c r="BL11" s="249"/>
      <c r="BM11" s="249"/>
      <c r="BN11" s="249"/>
      <c r="BO11" s="249"/>
      <c r="BP11" s="249"/>
      <c r="BQ11" s="249"/>
      <c r="BR11" s="251"/>
      <c r="BS11" s="251"/>
      <c r="BT11" s="251"/>
      <c r="BU11" s="251"/>
      <c r="BV11" s="251"/>
      <c r="BW11" s="251"/>
      <c r="BX11" s="251"/>
      <c r="BY11" s="251"/>
      <c r="BZ11" s="251"/>
      <c r="CA11" s="251"/>
      <c r="CB11" s="251"/>
      <c r="CC11" s="251"/>
      <c r="CD11" s="251"/>
      <c r="CE11" s="251"/>
      <c r="CF11" s="251"/>
      <c r="CG11" s="251"/>
    </row>
    <row r="12" s="246" customFormat="1" ht="3.75" customHeight="1" spans="1:85">
      <c r="A12" s="257"/>
      <c r="B12" s="276"/>
      <c r="C12" s="247"/>
      <c r="D12" s="277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307"/>
      <c r="S12" s="278"/>
      <c r="T12" s="278"/>
      <c r="U12" s="278"/>
      <c r="V12" s="278"/>
      <c r="W12" s="278"/>
      <c r="X12" s="278"/>
      <c r="Y12" s="278"/>
      <c r="Z12" s="307"/>
      <c r="AA12" s="278"/>
      <c r="AB12" s="278"/>
      <c r="AC12" s="278"/>
      <c r="AD12" s="278"/>
      <c r="AE12" s="278"/>
      <c r="AF12" s="326"/>
      <c r="AG12" s="341"/>
      <c r="AH12" s="249"/>
      <c r="AI12" s="249"/>
      <c r="AJ12" s="249"/>
      <c r="AK12" s="249"/>
      <c r="AL12" s="249"/>
      <c r="AM12" s="249"/>
      <c r="AN12" s="249"/>
      <c r="AO12" s="249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49"/>
      <c r="BK12" s="249"/>
      <c r="BL12" s="249"/>
      <c r="BM12" s="249"/>
      <c r="BN12" s="249"/>
      <c r="BO12" s="249"/>
      <c r="BP12" s="249"/>
      <c r="BQ12" s="249"/>
      <c r="BR12" s="251"/>
      <c r="BS12" s="251"/>
      <c r="BT12" s="251"/>
      <c r="BU12" s="251"/>
      <c r="BV12" s="251"/>
      <c r="BW12" s="251"/>
      <c r="BX12" s="251"/>
      <c r="BY12" s="251"/>
      <c r="BZ12" s="251"/>
      <c r="CA12" s="251"/>
      <c r="CB12" s="251"/>
      <c r="CC12" s="251"/>
      <c r="CD12" s="251"/>
      <c r="CE12" s="251"/>
      <c r="CF12" s="251"/>
      <c r="CG12" s="251"/>
    </row>
    <row r="13" s="246" customFormat="1" customHeight="1" spans="1:85">
      <c r="A13" s="257"/>
      <c r="B13" s="276"/>
      <c r="C13" s="279" t="s">
        <v>31</v>
      </c>
      <c r="D13" s="271" t="s">
        <v>32</v>
      </c>
      <c r="E13" s="271"/>
      <c r="F13" s="271"/>
      <c r="G13" s="271"/>
      <c r="H13" s="271"/>
      <c r="I13" s="271"/>
      <c r="J13" s="271"/>
      <c r="K13" s="271"/>
      <c r="L13" s="271"/>
      <c r="M13" s="271"/>
      <c r="N13" s="271"/>
      <c r="O13" s="271"/>
      <c r="P13" s="271"/>
      <c r="Q13" s="271"/>
      <c r="R13" s="282"/>
      <c r="S13" s="255"/>
      <c r="T13" s="255"/>
      <c r="U13" s="255"/>
      <c r="V13" s="255"/>
      <c r="W13" s="255"/>
      <c r="X13" s="255"/>
      <c r="Y13" s="255"/>
      <c r="Z13" s="247" t="s">
        <v>33</v>
      </c>
      <c r="AA13" s="327">
        <f>'કપાટ પત્રક પેહલા ભરવુ '!E25</f>
        <v>1113040</v>
      </c>
      <c r="AB13" s="327"/>
      <c r="AC13" s="327"/>
      <c r="AD13" s="327"/>
      <c r="AE13" s="327"/>
      <c r="AF13" s="326"/>
      <c r="AG13" s="341"/>
      <c r="AH13" s="249"/>
      <c r="AI13" s="249"/>
      <c r="AJ13" s="249"/>
      <c r="AK13" s="249"/>
      <c r="AL13" s="249"/>
      <c r="AM13" s="249"/>
      <c r="AN13" s="249"/>
      <c r="AO13" s="249"/>
      <c r="AP13" s="249"/>
      <c r="AQ13" s="249"/>
      <c r="AR13" s="249"/>
      <c r="AS13" s="249"/>
      <c r="AT13" s="249"/>
      <c r="AU13" s="249"/>
      <c r="AV13" s="249"/>
      <c r="AW13" s="249"/>
      <c r="AX13" s="249"/>
      <c r="AY13" s="249"/>
      <c r="AZ13" s="249"/>
      <c r="BA13" s="249"/>
      <c r="BB13" s="249"/>
      <c r="BC13" s="249"/>
      <c r="BD13" s="249"/>
      <c r="BE13" s="249"/>
      <c r="BF13" s="249"/>
      <c r="BG13" s="249"/>
      <c r="BH13" s="249"/>
      <c r="BI13" s="249"/>
      <c r="BJ13" s="249"/>
      <c r="BK13" s="249"/>
      <c r="BL13" s="249"/>
      <c r="BM13" s="249"/>
      <c r="BN13" s="249"/>
      <c r="BO13" s="249"/>
      <c r="BP13" s="249"/>
      <c r="BQ13" s="249"/>
      <c r="BR13" s="251"/>
      <c r="BS13" s="251"/>
      <c r="BT13" s="251"/>
      <c r="BU13" s="251"/>
      <c r="BV13" s="251"/>
      <c r="BW13" s="251"/>
      <c r="BX13" s="251"/>
      <c r="BY13" s="251"/>
      <c r="BZ13" s="251"/>
      <c r="CA13" s="251"/>
      <c r="CB13" s="251"/>
      <c r="CC13" s="251"/>
      <c r="CD13" s="251"/>
      <c r="CE13" s="251"/>
      <c r="CF13" s="251"/>
      <c r="CG13" s="251"/>
    </row>
    <row r="14" s="246" customFormat="1" customHeight="1" spans="1:85">
      <c r="A14" s="257"/>
      <c r="B14" s="276"/>
      <c r="C14" s="247" t="s">
        <v>34</v>
      </c>
      <c r="D14" s="271" t="s">
        <v>35</v>
      </c>
      <c r="E14" s="271"/>
      <c r="F14" s="255" t="s">
        <v>36</v>
      </c>
      <c r="G14" s="271" t="s">
        <v>37</v>
      </c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47" t="s">
        <v>33</v>
      </c>
      <c r="S14" s="308">
        <v>50000</v>
      </c>
      <c r="T14" s="308"/>
      <c r="U14" s="308"/>
      <c r="V14" s="308"/>
      <c r="W14" s="271"/>
      <c r="X14" s="255"/>
      <c r="Y14" s="282"/>
      <c r="Z14" s="282"/>
      <c r="AA14" s="282"/>
      <c r="AB14" s="282"/>
      <c r="AC14" s="282"/>
      <c r="AD14" s="282"/>
      <c r="AE14" s="282"/>
      <c r="AF14" s="326"/>
      <c r="AG14" s="341"/>
      <c r="AH14" s="249"/>
      <c r="AI14" s="249"/>
      <c r="AJ14" s="249"/>
      <c r="AK14" s="249"/>
      <c r="AL14" s="249"/>
      <c r="AM14" s="249"/>
      <c r="AN14" s="249"/>
      <c r="AO14" s="249"/>
      <c r="AP14" s="249"/>
      <c r="AQ14" s="249"/>
      <c r="AR14" s="249"/>
      <c r="AS14" s="249"/>
      <c r="AT14" s="249"/>
      <c r="AU14" s="249"/>
      <c r="AV14" s="249"/>
      <c r="AW14" s="249"/>
      <c r="AX14" s="249"/>
      <c r="AY14" s="249"/>
      <c r="AZ14" s="249"/>
      <c r="BA14" s="249"/>
      <c r="BB14" s="249"/>
      <c r="BC14" s="249"/>
      <c r="BD14" s="249"/>
      <c r="BE14" s="249"/>
      <c r="BF14" s="249"/>
      <c r="BG14" s="249"/>
      <c r="BH14" s="249"/>
      <c r="BI14" s="249"/>
      <c r="BJ14" s="249"/>
      <c r="BK14" s="249"/>
      <c r="BL14" s="249"/>
      <c r="BM14" s="249"/>
      <c r="BN14" s="249"/>
      <c r="BO14" s="249"/>
      <c r="BP14" s="249"/>
      <c r="BQ14" s="249"/>
      <c r="BR14" s="251"/>
      <c r="BS14" s="251"/>
      <c r="BT14" s="251"/>
      <c r="BU14" s="251"/>
      <c r="BV14" s="251"/>
      <c r="BW14" s="251"/>
      <c r="BX14" s="251"/>
      <c r="BY14" s="251"/>
      <c r="BZ14" s="251"/>
      <c r="CA14" s="251"/>
      <c r="CB14" s="251"/>
      <c r="CC14" s="251"/>
      <c r="CD14" s="251"/>
      <c r="CE14" s="251"/>
      <c r="CF14" s="251"/>
      <c r="CG14" s="251"/>
    </row>
    <row r="15" s="246" customFormat="1" customHeight="1" spans="1:85">
      <c r="A15" s="257"/>
      <c r="B15" s="276"/>
      <c r="C15" s="247"/>
      <c r="D15" s="271"/>
      <c r="E15" s="255"/>
      <c r="F15" s="255" t="s">
        <v>38</v>
      </c>
      <c r="G15" s="271" t="s">
        <v>39</v>
      </c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47" t="s">
        <v>33</v>
      </c>
      <c r="S15" s="308">
        <f>'કપાટ પત્રક પેહલા ભરવુ '!F18</f>
        <v>2400</v>
      </c>
      <c r="T15" s="308"/>
      <c r="U15" s="308"/>
      <c r="V15" s="308"/>
      <c r="W15" s="271"/>
      <c r="X15" s="255"/>
      <c r="Y15" s="282"/>
      <c r="Z15" s="282"/>
      <c r="AA15" s="282"/>
      <c r="AB15" s="282"/>
      <c r="AC15" s="282"/>
      <c r="AD15" s="282"/>
      <c r="AE15" s="282"/>
      <c r="AF15" s="326"/>
      <c r="AG15" s="341"/>
      <c r="AH15" s="249"/>
      <c r="AI15" s="249"/>
      <c r="AJ15" s="249"/>
      <c r="AK15" s="249"/>
      <c r="AL15" s="249"/>
      <c r="AM15" s="249"/>
      <c r="AN15" s="249"/>
      <c r="AO15" s="249"/>
      <c r="AP15" s="249"/>
      <c r="AQ15" s="249"/>
      <c r="AR15" s="249"/>
      <c r="AS15" s="249"/>
      <c r="AT15" s="249"/>
      <c r="AU15" s="249"/>
      <c r="AV15" s="249"/>
      <c r="AW15" s="249"/>
      <c r="AX15" s="249"/>
      <c r="AY15" s="249"/>
      <c r="AZ15" s="249"/>
      <c r="BA15" s="249"/>
      <c r="BB15" s="249"/>
      <c r="BC15" s="249"/>
      <c r="BD15" s="249"/>
      <c r="BE15" s="249"/>
      <c r="BF15" s="249"/>
      <c r="BG15" s="249"/>
      <c r="BH15" s="249"/>
      <c r="BI15" s="249"/>
      <c r="BJ15" s="249"/>
      <c r="BK15" s="249"/>
      <c r="BL15" s="249"/>
      <c r="BM15" s="249"/>
      <c r="BN15" s="249"/>
      <c r="BO15" s="249"/>
      <c r="BP15" s="249"/>
      <c r="BQ15" s="249"/>
      <c r="BR15" s="251"/>
      <c r="BS15" s="251"/>
      <c r="BT15" s="251"/>
      <c r="BU15" s="251"/>
      <c r="BV15" s="251"/>
      <c r="BW15" s="251"/>
      <c r="BX15" s="251"/>
      <c r="BY15" s="251"/>
      <c r="BZ15" s="251"/>
      <c r="CA15" s="251"/>
      <c r="CB15" s="251"/>
      <c r="CC15" s="251"/>
      <c r="CD15" s="251"/>
      <c r="CE15" s="251"/>
      <c r="CF15" s="251"/>
      <c r="CG15" s="251"/>
    </row>
    <row r="16" s="246" customFormat="1" customHeight="1" spans="1:85">
      <c r="A16" s="257"/>
      <c r="B16" s="276"/>
      <c r="C16" s="247"/>
      <c r="D16" s="271"/>
      <c r="E16" s="255"/>
      <c r="F16" s="255" t="s">
        <v>40</v>
      </c>
      <c r="G16" s="271" t="s">
        <v>41</v>
      </c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47" t="s">
        <v>33</v>
      </c>
      <c r="S16" s="308">
        <f>Y78</f>
        <v>200000</v>
      </c>
      <c r="T16" s="308"/>
      <c r="U16" s="308"/>
      <c r="V16" s="308"/>
      <c r="W16" s="271"/>
      <c r="X16" s="255"/>
      <c r="Y16" s="282"/>
      <c r="Z16" s="282"/>
      <c r="AA16" s="282"/>
      <c r="AB16" s="282"/>
      <c r="AC16" s="282"/>
      <c r="AD16" s="282"/>
      <c r="AE16" s="282"/>
      <c r="AF16" s="326"/>
      <c r="AG16" s="341"/>
      <c r="AH16" s="249"/>
      <c r="AI16" s="249"/>
      <c r="AJ16" s="249"/>
      <c r="AK16" s="249"/>
      <c r="AL16" s="249"/>
      <c r="AM16" s="249"/>
      <c r="AN16" s="249"/>
      <c r="AO16" s="249"/>
      <c r="AP16" s="249"/>
      <c r="AQ16" s="249"/>
      <c r="AR16" s="249"/>
      <c r="AS16" s="249"/>
      <c r="AT16" s="249"/>
      <c r="AU16" s="249"/>
      <c r="AV16" s="249"/>
      <c r="AW16" s="249"/>
      <c r="AX16" s="249"/>
      <c r="AY16" s="249"/>
      <c r="AZ16" s="249"/>
      <c r="BA16" s="249"/>
      <c r="BB16" s="249"/>
      <c r="BC16" s="249"/>
      <c r="BD16" s="249"/>
      <c r="BE16" s="249"/>
      <c r="BF16" s="249"/>
      <c r="BG16" s="249"/>
      <c r="BH16" s="249"/>
      <c r="BI16" s="249"/>
      <c r="BJ16" s="249"/>
      <c r="BK16" s="249"/>
      <c r="BL16" s="249"/>
      <c r="BM16" s="249"/>
      <c r="BN16" s="249"/>
      <c r="BO16" s="249"/>
      <c r="BP16" s="249"/>
      <c r="BQ16" s="249"/>
      <c r="BR16" s="251"/>
      <c r="BS16" s="251"/>
      <c r="BT16" s="251"/>
      <c r="BU16" s="251"/>
      <c r="BV16" s="251"/>
      <c r="BW16" s="251"/>
      <c r="BX16" s="251"/>
      <c r="BY16" s="251"/>
      <c r="BZ16" s="251"/>
      <c r="CA16" s="251"/>
      <c r="CB16" s="251"/>
      <c r="CC16" s="251"/>
      <c r="CD16" s="251"/>
      <c r="CE16" s="251"/>
      <c r="CF16" s="251"/>
      <c r="CG16" s="251"/>
    </row>
    <row r="17" s="246" customFormat="1" customHeight="1" spans="1:69">
      <c r="A17" s="280"/>
      <c r="B17" s="276"/>
      <c r="C17" s="247"/>
      <c r="D17" s="271"/>
      <c r="E17" s="255"/>
      <c r="F17" s="255" t="s">
        <v>42</v>
      </c>
      <c r="G17" s="281" t="s">
        <v>43</v>
      </c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47" t="s">
        <v>33</v>
      </c>
      <c r="S17" s="309">
        <v>0</v>
      </c>
      <c r="T17" s="309"/>
      <c r="U17" s="309"/>
      <c r="V17" s="309"/>
      <c r="W17" s="255"/>
      <c r="X17" s="255"/>
      <c r="Y17" s="255"/>
      <c r="Z17" s="255"/>
      <c r="AA17" s="255"/>
      <c r="AB17" s="255"/>
      <c r="AC17" s="255"/>
      <c r="AD17" s="255"/>
      <c r="AE17" s="255"/>
      <c r="AF17" s="326"/>
      <c r="AG17" s="341"/>
      <c r="AH17" s="249"/>
      <c r="AI17" s="249"/>
      <c r="AJ17" s="249"/>
      <c r="AK17" s="249"/>
      <c r="AL17" s="249"/>
      <c r="AM17" s="249"/>
      <c r="AN17" s="249"/>
      <c r="AO17" s="249"/>
      <c r="AP17" s="249"/>
      <c r="AQ17" s="347"/>
      <c r="AR17" s="347"/>
      <c r="AS17" s="347"/>
      <c r="AT17" s="347"/>
      <c r="AU17" s="347"/>
      <c r="AV17" s="347"/>
      <c r="AW17" s="347"/>
      <c r="AX17" s="347"/>
      <c r="AY17" s="347"/>
      <c r="AZ17" s="347"/>
      <c r="BA17" s="347"/>
      <c r="BB17" s="347"/>
      <c r="BC17" s="347"/>
      <c r="BD17" s="347"/>
      <c r="BE17" s="347"/>
      <c r="BF17" s="347"/>
      <c r="BG17" s="347"/>
      <c r="BH17" s="347"/>
      <c r="BI17" s="347"/>
      <c r="BJ17" s="347"/>
      <c r="BK17" s="347"/>
      <c r="BL17" s="347"/>
      <c r="BM17" s="347"/>
      <c r="BN17" s="347"/>
      <c r="BO17" s="347"/>
      <c r="BP17" s="347"/>
      <c r="BQ17" s="347"/>
    </row>
    <row r="18" s="246" customFormat="1" customHeight="1" spans="1:69">
      <c r="A18" s="280"/>
      <c r="B18" s="276"/>
      <c r="C18" s="247"/>
      <c r="D18" s="255"/>
      <c r="E18" s="255"/>
      <c r="F18" s="255" t="s">
        <v>44</v>
      </c>
      <c r="G18" s="281" t="s">
        <v>45</v>
      </c>
      <c r="H18" s="281"/>
      <c r="I18" s="281"/>
      <c r="J18" s="281"/>
      <c r="K18" s="281"/>
      <c r="L18" s="281"/>
      <c r="M18" s="281"/>
      <c r="N18" s="281"/>
      <c r="O18" s="281"/>
      <c r="P18" s="281"/>
      <c r="Q18" s="281"/>
      <c r="R18" s="247" t="s">
        <v>33</v>
      </c>
      <c r="S18" s="309">
        <v>0</v>
      </c>
      <c r="T18" s="309"/>
      <c r="U18" s="309"/>
      <c r="V18" s="309"/>
      <c r="W18" s="310" t="s">
        <v>46</v>
      </c>
      <c r="X18" s="310"/>
      <c r="Y18" s="310"/>
      <c r="Z18" s="247" t="s">
        <v>33</v>
      </c>
      <c r="AA18" s="327">
        <f>SUM(S14:V18)</f>
        <v>252400</v>
      </c>
      <c r="AB18" s="327"/>
      <c r="AC18" s="327"/>
      <c r="AD18" s="327"/>
      <c r="AE18" s="327"/>
      <c r="AF18" s="326"/>
      <c r="AG18" s="341"/>
      <c r="AH18" s="249"/>
      <c r="AI18" s="249"/>
      <c r="AJ18" s="249"/>
      <c r="AK18" s="249"/>
      <c r="AL18" s="249"/>
      <c r="AM18" s="249"/>
      <c r="AN18" s="249"/>
      <c r="AO18" s="249"/>
      <c r="AP18" s="249"/>
      <c r="AQ18" s="347"/>
      <c r="AR18" s="347"/>
      <c r="AS18" s="347"/>
      <c r="AT18" s="347"/>
      <c r="AU18" s="347"/>
      <c r="AV18" s="347"/>
      <c r="AW18" s="347"/>
      <c r="AX18" s="347"/>
      <c r="AY18" s="347"/>
      <c r="AZ18" s="347"/>
      <c r="BA18" s="347"/>
      <c r="BB18" s="347"/>
      <c r="BC18" s="347"/>
      <c r="BD18" s="347"/>
      <c r="BE18" s="347"/>
      <c r="BF18" s="347"/>
      <c r="BG18" s="347"/>
      <c r="BH18" s="347"/>
      <c r="BI18" s="347"/>
      <c r="BJ18" s="347"/>
      <c r="BK18" s="347"/>
      <c r="BL18" s="347"/>
      <c r="BM18" s="347"/>
      <c r="BN18" s="347"/>
      <c r="BO18" s="347"/>
      <c r="BP18" s="347"/>
      <c r="BQ18" s="347"/>
    </row>
    <row r="19" s="246" customFormat="1" customHeight="1" spans="1:69">
      <c r="A19" s="280"/>
      <c r="B19" s="276"/>
      <c r="C19" s="247" t="s">
        <v>47</v>
      </c>
      <c r="D19" s="271" t="s">
        <v>48</v>
      </c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55"/>
      <c r="R19" s="282"/>
      <c r="S19" s="282"/>
      <c r="T19" s="307"/>
      <c r="U19" s="307" t="s">
        <v>49</v>
      </c>
      <c r="V19" s="282"/>
      <c r="W19" s="255"/>
      <c r="X19" s="255"/>
      <c r="Y19" s="255"/>
      <c r="Z19" s="247" t="s">
        <v>33</v>
      </c>
      <c r="AA19" s="327">
        <f>AA13-AA18</f>
        <v>860640</v>
      </c>
      <c r="AB19" s="327"/>
      <c r="AC19" s="327"/>
      <c r="AD19" s="327"/>
      <c r="AE19" s="327"/>
      <c r="AF19" s="326"/>
      <c r="AG19" s="341"/>
      <c r="AH19" s="249"/>
      <c r="AI19" s="249"/>
      <c r="AJ19" s="249"/>
      <c r="AK19" s="249"/>
      <c r="AL19" s="249"/>
      <c r="AM19" s="345">
        <f>SUM(L21:N27)+SUM(X21:Z27)</f>
        <v>291852</v>
      </c>
      <c r="AN19" s="249"/>
      <c r="AO19" s="345"/>
      <c r="AP19" s="249"/>
      <c r="AQ19" s="347"/>
      <c r="AR19" s="347"/>
      <c r="AS19" s="347"/>
      <c r="AT19" s="347"/>
      <c r="AU19" s="347"/>
      <c r="AV19" s="347"/>
      <c r="AW19" s="347"/>
      <c r="AX19" s="347"/>
      <c r="AY19" s="347"/>
      <c r="AZ19" s="347"/>
      <c r="BA19" s="347"/>
      <c r="BB19" s="347"/>
      <c r="BC19" s="347"/>
      <c r="BD19" s="347"/>
      <c r="BE19" s="347"/>
      <c r="BF19" s="347"/>
      <c r="BG19" s="347"/>
      <c r="BH19" s="347"/>
      <c r="BI19" s="347"/>
      <c r="BJ19" s="347"/>
      <c r="BK19" s="347"/>
      <c r="BL19" s="347"/>
      <c r="BM19" s="347"/>
      <c r="BN19" s="347"/>
      <c r="BO19" s="347"/>
      <c r="BP19" s="347"/>
      <c r="BQ19" s="347"/>
    </row>
    <row r="20" s="246" customFormat="1" customHeight="1" spans="1:69">
      <c r="A20" s="280"/>
      <c r="B20" s="276"/>
      <c r="C20" s="247" t="s">
        <v>50</v>
      </c>
      <c r="D20" s="271" t="s">
        <v>51</v>
      </c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55"/>
      <c r="R20" s="282"/>
      <c r="S20" s="282"/>
      <c r="T20" s="282"/>
      <c r="U20" s="282"/>
      <c r="V20" s="282"/>
      <c r="W20" s="255"/>
      <c r="X20" s="255"/>
      <c r="Y20" s="255"/>
      <c r="Z20" s="282"/>
      <c r="AA20" s="255"/>
      <c r="AB20" s="255"/>
      <c r="AC20" s="255"/>
      <c r="AD20" s="255"/>
      <c r="AE20" s="255"/>
      <c r="AF20" s="326"/>
      <c r="AG20" s="341"/>
      <c r="AH20" s="249"/>
      <c r="AI20" s="249"/>
      <c r="AJ20" s="249"/>
      <c r="AK20" s="249"/>
      <c r="AL20" s="249"/>
      <c r="AM20" s="249"/>
      <c r="AN20" s="249"/>
      <c r="AO20" s="249"/>
      <c r="AP20" s="249"/>
      <c r="AQ20" s="347"/>
      <c r="AR20" s="347"/>
      <c r="AS20" s="347"/>
      <c r="AT20" s="347"/>
      <c r="AU20" s="347"/>
      <c r="AV20" s="347"/>
      <c r="AW20" s="347"/>
      <c r="AX20" s="347"/>
      <c r="AY20" s="347"/>
      <c r="AZ20" s="347"/>
      <c r="BA20" s="347"/>
      <c r="BB20" s="347"/>
      <c r="BC20" s="347"/>
      <c r="BD20" s="347"/>
      <c r="BE20" s="347"/>
      <c r="BF20" s="347"/>
      <c r="BG20" s="347"/>
      <c r="BH20" s="347"/>
      <c r="BI20" s="347"/>
      <c r="BJ20" s="347"/>
      <c r="BK20" s="347"/>
      <c r="BL20" s="347"/>
      <c r="BM20" s="347"/>
      <c r="BN20" s="347"/>
      <c r="BO20" s="347"/>
      <c r="BP20" s="347"/>
      <c r="BQ20" s="347"/>
    </row>
    <row r="21" s="246" customFormat="1" customHeight="1" spans="1:69">
      <c r="A21" s="280"/>
      <c r="B21" s="276"/>
      <c r="C21" s="247"/>
      <c r="D21" s="247" t="s">
        <v>36</v>
      </c>
      <c r="E21" s="271" t="s">
        <v>52</v>
      </c>
      <c r="F21" s="271"/>
      <c r="G21" s="271"/>
      <c r="H21" s="271"/>
      <c r="I21" s="271"/>
      <c r="J21" s="271"/>
      <c r="K21" s="247" t="s">
        <v>33</v>
      </c>
      <c r="L21" s="299">
        <f>AP3</f>
        <v>240000</v>
      </c>
      <c r="M21" s="299"/>
      <c r="N21" s="299"/>
      <c r="O21" s="255"/>
      <c r="P21" s="247" t="s">
        <v>53</v>
      </c>
      <c r="Q21" s="271" t="s">
        <v>54</v>
      </c>
      <c r="R21" s="271"/>
      <c r="S21" s="271"/>
      <c r="T21" s="271"/>
      <c r="U21" s="271"/>
      <c r="V21" s="271"/>
      <c r="W21" s="247" t="s">
        <v>33</v>
      </c>
      <c r="X21" s="301">
        <v>0</v>
      </c>
      <c r="Y21" s="301"/>
      <c r="Z21" s="301"/>
      <c r="AA21" s="255"/>
      <c r="AB21" s="255"/>
      <c r="AC21" s="255"/>
      <c r="AD21" s="255"/>
      <c r="AE21" s="255"/>
      <c r="AF21" s="326"/>
      <c r="AG21" s="341"/>
      <c r="AH21" s="249"/>
      <c r="AI21" s="249"/>
      <c r="AJ21" s="249"/>
      <c r="AK21" s="249"/>
      <c r="AL21" s="249"/>
      <c r="AM21" s="345">
        <f>SUM(L21:N27)</f>
        <v>291852</v>
      </c>
      <c r="AN21" s="249">
        <v>50000</v>
      </c>
      <c r="AO21" s="345">
        <f>SUM(AM21:AN21)</f>
        <v>341852</v>
      </c>
      <c r="AP21" s="249"/>
      <c r="AQ21" s="347"/>
      <c r="AR21" s="347"/>
      <c r="AS21" s="347"/>
      <c r="AT21" s="347"/>
      <c r="AU21" s="347"/>
      <c r="AV21" s="347"/>
      <c r="AW21" s="347"/>
      <c r="AX21" s="347"/>
      <c r="AY21" s="347"/>
      <c r="AZ21" s="347"/>
      <c r="BA21" s="347"/>
      <c r="BB21" s="347"/>
      <c r="BC21" s="347"/>
      <c r="BD21" s="347"/>
      <c r="BE21" s="347"/>
      <c r="BF21" s="347"/>
      <c r="BG21" s="347"/>
      <c r="BH21" s="347"/>
      <c r="BI21" s="347"/>
      <c r="BJ21" s="347"/>
      <c r="BK21" s="347"/>
      <c r="BL21" s="347"/>
      <c r="BM21" s="347"/>
      <c r="BN21" s="347"/>
      <c r="BO21" s="347"/>
      <c r="BP21" s="347"/>
      <c r="BQ21" s="347"/>
    </row>
    <row r="22" s="246" customFormat="1" customHeight="1" spans="1:69">
      <c r="A22" s="280"/>
      <c r="B22" s="276"/>
      <c r="C22" s="247"/>
      <c r="D22" s="247" t="s">
        <v>38</v>
      </c>
      <c r="E22" s="271" t="s">
        <v>55</v>
      </c>
      <c r="F22" s="271"/>
      <c r="G22" s="271"/>
      <c r="H22" s="271"/>
      <c r="I22" s="271"/>
      <c r="J22" s="271"/>
      <c r="K22" s="247" t="s">
        <v>33</v>
      </c>
      <c r="L22" s="300">
        <f>AP2</f>
        <v>0</v>
      </c>
      <c r="M22" s="300"/>
      <c r="N22" s="300"/>
      <c r="O22" s="255"/>
      <c r="P22" s="247" t="s">
        <v>56</v>
      </c>
      <c r="Q22" s="271" t="s">
        <v>57</v>
      </c>
      <c r="R22" s="271"/>
      <c r="S22" s="271"/>
      <c r="T22" s="271"/>
      <c r="U22" s="271"/>
      <c r="V22" s="271"/>
      <c r="W22" s="247" t="s">
        <v>33</v>
      </c>
      <c r="X22" s="301">
        <v>0</v>
      </c>
      <c r="Y22" s="301"/>
      <c r="Z22" s="301"/>
      <c r="AA22" s="255"/>
      <c r="AB22" s="255"/>
      <c r="AC22" s="255"/>
      <c r="AD22" s="255"/>
      <c r="AE22" s="255"/>
      <c r="AF22" s="326"/>
      <c r="AG22" s="341"/>
      <c r="AH22" s="249"/>
      <c r="AI22" s="249"/>
      <c r="AJ22" s="249"/>
      <c r="AK22" s="249"/>
      <c r="AL22" s="249"/>
      <c r="AM22" s="249">
        <f>'કપાટ પત્રક પેહલા ભરવુ '!H18</f>
        <v>0</v>
      </c>
      <c r="AN22" s="249"/>
      <c r="AO22" s="249"/>
      <c r="AP22" s="249"/>
      <c r="AQ22" s="347"/>
      <c r="AR22" s="347"/>
      <c r="AS22" s="347"/>
      <c r="AT22" s="347"/>
      <c r="AU22" s="347"/>
      <c r="AV22" s="347"/>
      <c r="AW22" s="347"/>
      <c r="AX22" s="347"/>
      <c r="AY22" s="347"/>
      <c r="AZ22" s="347"/>
      <c r="BA22" s="347"/>
      <c r="BB22" s="347"/>
      <c r="BC22" s="347"/>
      <c r="BD22" s="347"/>
      <c r="BE22" s="347"/>
      <c r="BF22" s="347"/>
      <c r="BG22" s="347"/>
      <c r="BH22" s="347"/>
      <c r="BI22" s="347"/>
      <c r="BJ22" s="347"/>
      <c r="BK22" s="347"/>
      <c r="BL22" s="347"/>
      <c r="BM22" s="347"/>
      <c r="BN22" s="347"/>
      <c r="BO22" s="347"/>
      <c r="BP22" s="347"/>
      <c r="BQ22" s="347"/>
    </row>
    <row r="23" s="246" customFormat="1" customHeight="1" spans="1:69">
      <c r="A23" s="280"/>
      <c r="B23" s="276"/>
      <c r="C23" s="247"/>
      <c r="D23" s="247" t="s">
        <v>40</v>
      </c>
      <c r="E23" s="271" t="s">
        <v>58</v>
      </c>
      <c r="F23" s="271"/>
      <c r="G23" s="271"/>
      <c r="H23" s="271"/>
      <c r="I23" s="271"/>
      <c r="J23" s="271"/>
      <c r="K23" s="247" t="s">
        <v>33</v>
      </c>
      <c r="L23" s="299">
        <f>'કપાટ પત્રક પેહલા ભરવુ '!I18</f>
        <v>9600</v>
      </c>
      <c r="M23" s="299"/>
      <c r="N23" s="299"/>
      <c r="O23" s="255"/>
      <c r="P23" s="247" t="s">
        <v>59</v>
      </c>
      <c r="Q23" s="271" t="s">
        <v>60</v>
      </c>
      <c r="R23" s="271"/>
      <c r="S23" s="271"/>
      <c r="T23" s="271"/>
      <c r="U23" s="271"/>
      <c r="V23" s="271"/>
      <c r="W23" s="247" t="s">
        <v>33</v>
      </c>
      <c r="X23" s="301">
        <v>0</v>
      </c>
      <c r="Y23" s="301"/>
      <c r="Z23" s="301"/>
      <c r="AA23" s="255"/>
      <c r="AB23" s="255"/>
      <c r="AC23" s="255"/>
      <c r="AD23" s="255"/>
      <c r="AE23" s="255"/>
      <c r="AF23" s="326"/>
      <c r="AG23" s="341"/>
      <c r="AH23" s="249"/>
      <c r="AI23" s="249"/>
      <c r="AJ23" s="249"/>
      <c r="AK23" s="249"/>
      <c r="AL23" s="249"/>
      <c r="AM23" s="249"/>
      <c r="AN23" s="249"/>
      <c r="AO23" s="249"/>
      <c r="AP23" s="249"/>
      <c r="AQ23" s="347"/>
      <c r="AR23" s="347"/>
      <c r="AS23" s="347"/>
      <c r="AT23" s="347"/>
      <c r="AU23" s="347"/>
      <c r="AV23" s="347"/>
      <c r="AW23" s="347"/>
      <c r="AX23" s="347"/>
      <c r="AY23" s="347"/>
      <c r="AZ23" s="347"/>
      <c r="BA23" s="347"/>
      <c r="BB23" s="347"/>
      <c r="BC23" s="347"/>
      <c r="BD23" s="347"/>
      <c r="BE23" s="347"/>
      <c r="BF23" s="347"/>
      <c r="BG23" s="347"/>
      <c r="BH23" s="347"/>
      <c r="BI23" s="347"/>
      <c r="BJ23" s="347"/>
      <c r="BK23" s="347"/>
      <c r="BL23" s="347"/>
      <c r="BM23" s="347"/>
      <c r="BN23" s="347"/>
      <c r="BO23" s="347"/>
      <c r="BP23" s="347"/>
      <c r="BQ23" s="347"/>
    </row>
    <row r="24" s="246" customFormat="1" customHeight="1" spans="1:69">
      <c r="A24" s="280"/>
      <c r="B24" s="276"/>
      <c r="C24" s="247"/>
      <c r="D24" s="247" t="s">
        <v>42</v>
      </c>
      <c r="E24" s="271" t="s">
        <v>61</v>
      </c>
      <c r="F24" s="271"/>
      <c r="G24" s="271"/>
      <c r="H24" s="271"/>
      <c r="I24" s="271"/>
      <c r="J24" s="271"/>
      <c r="K24" s="247" t="s">
        <v>33</v>
      </c>
      <c r="L24" s="299">
        <f>'કપાટ પત્રક પેહલા ભરવુ '!K18</f>
        <v>12252</v>
      </c>
      <c r="M24" s="299"/>
      <c r="N24" s="299"/>
      <c r="O24" s="255"/>
      <c r="P24" s="247" t="s">
        <v>62</v>
      </c>
      <c r="Q24" s="271" t="s">
        <v>63</v>
      </c>
      <c r="R24" s="271"/>
      <c r="S24" s="271"/>
      <c r="T24" s="271"/>
      <c r="U24" s="271"/>
      <c r="V24" s="271"/>
      <c r="W24" s="247" t="s">
        <v>33</v>
      </c>
      <c r="X24" s="301">
        <v>0</v>
      </c>
      <c r="Y24" s="301"/>
      <c r="Z24" s="301"/>
      <c r="AA24" s="255"/>
      <c r="AB24" s="255"/>
      <c r="AC24" s="255"/>
      <c r="AD24" s="255"/>
      <c r="AE24" s="255"/>
      <c r="AF24" s="326"/>
      <c r="AG24" s="341"/>
      <c r="AH24" s="249"/>
      <c r="AI24" s="249"/>
      <c r="AJ24" s="249"/>
      <c r="AK24" s="249"/>
      <c r="AL24" s="249"/>
      <c r="AM24" s="249"/>
      <c r="AN24" s="249"/>
      <c r="AO24" s="249"/>
      <c r="AP24" s="249"/>
      <c r="AQ24" s="347"/>
      <c r="AR24" s="347"/>
      <c r="AS24" s="347"/>
      <c r="AT24" s="347"/>
      <c r="AU24" s="347"/>
      <c r="AV24" s="347"/>
      <c r="AW24" s="347"/>
      <c r="AX24" s="347"/>
      <c r="AY24" s="347"/>
      <c r="AZ24" s="347"/>
      <c r="BA24" s="347"/>
      <c r="BB24" s="347"/>
      <c r="BC24" s="347"/>
      <c r="BD24" s="347"/>
      <c r="BE24" s="347"/>
      <c r="BF24" s="347"/>
      <c r="BG24" s="347"/>
      <c r="BH24" s="347"/>
      <c r="BI24" s="347"/>
      <c r="BJ24" s="347"/>
      <c r="BK24" s="347"/>
      <c r="BL24" s="347"/>
      <c r="BM24" s="347"/>
      <c r="BN24" s="347"/>
      <c r="BO24" s="347"/>
      <c r="BP24" s="347"/>
      <c r="BQ24" s="347"/>
    </row>
    <row r="25" s="246" customFormat="1" customHeight="1" spans="1:69">
      <c r="A25" s="280"/>
      <c r="B25" s="276"/>
      <c r="C25" s="247"/>
      <c r="D25" s="247" t="s">
        <v>44</v>
      </c>
      <c r="E25" s="271" t="s">
        <v>64</v>
      </c>
      <c r="F25" s="271"/>
      <c r="G25" s="271"/>
      <c r="H25" s="271"/>
      <c r="I25" s="271"/>
      <c r="J25" s="271"/>
      <c r="K25" s="247" t="s">
        <v>33</v>
      </c>
      <c r="L25" s="301">
        <v>0</v>
      </c>
      <c r="M25" s="301"/>
      <c r="N25" s="301"/>
      <c r="O25" s="255"/>
      <c r="P25" s="247" t="s">
        <v>65</v>
      </c>
      <c r="Q25" s="271" t="s">
        <v>66</v>
      </c>
      <c r="R25" s="271"/>
      <c r="S25" s="271"/>
      <c r="T25" s="271"/>
      <c r="U25" s="271"/>
      <c r="V25" s="271"/>
      <c r="W25" s="247" t="s">
        <v>33</v>
      </c>
      <c r="X25" s="301">
        <v>0</v>
      </c>
      <c r="Y25" s="301"/>
      <c r="Z25" s="301"/>
      <c r="AA25" s="255"/>
      <c r="AB25" s="255"/>
      <c r="AC25" s="255"/>
      <c r="AD25" s="255"/>
      <c r="AE25" s="255"/>
      <c r="AF25" s="326"/>
      <c r="AG25" s="341"/>
      <c r="AH25" s="249"/>
      <c r="AI25" s="249"/>
      <c r="AJ25" s="249"/>
      <c r="AK25" s="249"/>
      <c r="AL25" s="249"/>
      <c r="AM25" s="249"/>
      <c r="AN25" s="249"/>
      <c r="AO25" s="249"/>
      <c r="AP25" s="249"/>
      <c r="AQ25" s="347"/>
      <c r="AR25" s="347"/>
      <c r="AS25" s="347"/>
      <c r="AT25" s="347"/>
      <c r="AU25" s="347"/>
      <c r="AV25" s="347"/>
      <c r="AW25" s="347"/>
      <c r="AX25" s="347"/>
      <c r="AY25" s="347"/>
      <c r="AZ25" s="347"/>
      <c r="BA25" s="347"/>
      <c r="BB25" s="347"/>
      <c r="BC25" s="347"/>
      <c r="BD25" s="347"/>
      <c r="BE25" s="347"/>
      <c r="BF25" s="347"/>
      <c r="BG25" s="347"/>
      <c r="BH25" s="347"/>
      <c r="BI25" s="347"/>
      <c r="BJ25" s="347"/>
      <c r="BK25" s="347"/>
      <c r="BL25" s="347"/>
      <c r="BM25" s="347"/>
      <c r="BN25" s="347"/>
      <c r="BO25" s="347"/>
      <c r="BP25" s="347"/>
      <c r="BQ25" s="347"/>
    </row>
    <row r="26" s="246" customFormat="1" customHeight="1" spans="1:69">
      <c r="A26" s="280"/>
      <c r="B26" s="276"/>
      <c r="C26" s="247"/>
      <c r="D26" s="247" t="s">
        <v>67</v>
      </c>
      <c r="E26" s="271" t="s">
        <v>68</v>
      </c>
      <c r="F26" s="271"/>
      <c r="G26" s="271"/>
      <c r="H26" s="271"/>
      <c r="I26" s="271"/>
      <c r="J26" s="271"/>
      <c r="K26" s="247" t="s">
        <v>33</v>
      </c>
      <c r="L26" s="299">
        <f>'કપાટ પત્રક પેહલા ભરવુ '!M18</f>
        <v>30000</v>
      </c>
      <c r="M26" s="299"/>
      <c r="N26" s="299"/>
      <c r="O26" s="255"/>
      <c r="P26" s="247" t="s">
        <v>69</v>
      </c>
      <c r="Q26" s="271" t="s">
        <v>70</v>
      </c>
      <c r="R26" s="271"/>
      <c r="S26" s="271"/>
      <c r="T26" s="271"/>
      <c r="U26" s="271"/>
      <c r="V26" s="271"/>
      <c r="W26" s="247" t="s">
        <v>33</v>
      </c>
      <c r="X26" s="301">
        <v>0</v>
      </c>
      <c r="Y26" s="301"/>
      <c r="Z26" s="301"/>
      <c r="AA26" s="255"/>
      <c r="AB26" s="255"/>
      <c r="AC26" s="255"/>
      <c r="AD26" s="255"/>
      <c r="AE26" s="255"/>
      <c r="AF26" s="326"/>
      <c r="AG26" s="341"/>
      <c r="AH26" s="249"/>
      <c r="AI26" s="249"/>
      <c r="AJ26" s="249"/>
      <c r="AK26" s="249"/>
      <c r="AL26" s="249"/>
      <c r="AM26" s="249"/>
      <c r="AN26" s="249"/>
      <c r="AO26" s="249"/>
      <c r="AP26" s="249"/>
      <c r="AQ26" s="347"/>
      <c r="AR26" s="347"/>
      <c r="AS26" s="347"/>
      <c r="AT26" s="347"/>
      <c r="AU26" s="347"/>
      <c r="AV26" s="347"/>
      <c r="AW26" s="347"/>
      <c r="AX26" s="347"/>
      <c r="AY26" s="347"/>
      <c r="AZ26" s="347"/>
      <c r="BA26" s="347"/>
      <c r="BB26" s="347"/>
      <c r="BC26" s="347"/>
      <c r="BD26" s="347"/>
      <c r="BE26" s="347"/>
      <c r="BF26" s="347"/>
      <c r="BG26" s="347"/>
      <c r="BH26" s="347"/>
      <c r="BI26" s="347"/>
      <c r="BJ26" s="347"/>
      <c r="BK26" s="347"/>
      <c r="BL26" s="347"/>
      <c r="BM26" s="347"/>
      <c r="BN26" s="347"/>
      <c r="BO26" s="347"/>
      <c r="BP26" s="347"/>
      <c r="BQ26" s="347"/>
    </row>
    <row r="27" s="246" customFormat="1" customHeight="1" spans="1:69">
      <c r="A27" s="280"/>
      <c r="B27" s="276"/>
      <c r="C27" s="247"/>
      <c r="D27" s="247" t="s">
        <v>71</v>
      </c>
      <c r="E27" s="271" t="s">
        <v>72</v>
      </c>
      <c r="F27" s="271"/>
      <c r="G27" s="271"/>
      <c r="H27" s="271"/>
      <c r="I27" s="271"/>
      <c r="J27" s="271"/>
      <c r="K27" s="247" t="s">
        <v>33</v>
      </c>
      <c r="L27" s="299">
        <f>'કપાટ પત્રક પેહલા ભરવુ '!N18</f>
        <v>0</v>
      </c>
      <c r="M27" s="299"/>
      <c r="N27" s="299"/>
      <c r="O27" s="255"/>
      <c r="P27" s="247" t="s">
        <v>73</v>
      </c>
      <c r="Q27" s="281"/>
      <c r="R27" s="281"/>
      <c r="S27" s="281"/>
      <c r="T27" s="281"/>
      <c r="U27" s="281"/>
      <c r="V27" s="281"/>
      <c r="W27" s="247" t="s">
        <v>33</v>
      </c>
      <c r="X27" s="301">
        <v>0</v>
      </c>
      <c r="Y27" s="301"/>
      <c r="Z27" s="301"/>
      <c r="AA27" s="255"/>
      <c r="AB27" s="255"/>
      <c r="AC27" s="255"/>
      <c r="AD27" s="255"/>
      <c r="AE27" s="255"/>
      <c r="AF27" s="326"/>
      <c r="AG27" s="341"/>
      <c r="AH27" s="249"/>
      <c r="AI27" s="249"/>
      <c r="AJ27" s="249"/>
      <c r="AK27" s="249"/>
      <c r="AL27" s="249"/>
      <c r="AM27" s="249"/>
      <c r="AN27" s="249"/>
      <c r="AO27" s="249"/>
      <c r="AP27" s="249"/>
      <c r="AQ27" s="347"/>
      <c r="AR27" s="347"/>
      <c r="AS27" s="347"/>
      <c r="AT27" s="347"/>
      <c r="AU27" s="347"/>
      <c r="AV27" s="347"/>
      <c r="AW27" s="347"/>
      <c r="AX27" s="347"/>
      <c r="AY27" s="347"/>
      <c r="AZ27" s="347"/>
      <c r="BA27" s="347"/>
      <c r="BB27" s="347"/>
      <c r="BC27" s="347"/>
      <c r="BD27" s="347"/>
      <c r="BE27" s="347"/>
      <c r="BF27" s="347"/>
      <c r="BG27" s="347"/>
      <c r="BH27" s="347"/>
      <c r="BI27" s="347"/>
      <c r="BJ27" s="347"/>
      <c r="BK27" s="347"/>
      <c r="BL27" s="347"/>
      <c r="BM27" s="347"/>
      <c r="BN27" s="347"/>
      <c r="BO27" s="347"/>
      <c r="BP27" s="347"/>
      <c r="BQ27" s="347"/>
    </row>
    <row r="28" s="246" customFormat="1" ht="3.75" customHeight="1" spans="1:69">
      <c r="A28" s="280"/>
      <c r="B28" s="276"/>
      <c r="C28" s="247"/>
      <c r="D28" s="247"/>
      <c r="E28" s="271"/>
      <c r="F28" s="271"/>
      <c r="G28" s="271"/>
      <c r="H28" s="271"/>
      <c r="I28" s="271"/>
      <c r="J28" s="255"/>
      <c r="K28" s="247"/>
      <c r="L28" s="247"/>
      <c r="M28" s="247"/>
      <c r="N28" s="247"/>
      <c r="O28" s="255"/>
      <c r="P28" s="247"/>
      <c r="Q28" s="271"/>
      <c r="R28" s="271"/>
      <c r="S28" s="271"/>
      <c r="T28" s="271"/>
      <c r="U28" s="271"/>
      <c r="V28" s="255"/>
      <c r="W28" s="247"/>
      <c r="X28" s="247"/>
      <c r="Y28" s="247"/>
      <c r="Z28" s="247"/>
      <c r="AA28" s="255"/>
      <c r="AB28" s="255"/>
      <c r="AC28" s="255"/>
      <c r="AD28" s="255"/>
      <c r="AE28" s="255"/>
      <c r="AF28" s="326"/>
      <c r="AG28" s="341"/>
      <c r="AH28" s="249"/>
      <c r="AI28" s="249"/>
      <c r="AJ28" s="249"/>
      <c r="AK28" s="249"/>
      <c r="AL28" s="249"/>
      <c r="AM28" s="249"/>
      <c r="AN28" s="249"/>
      <c r="AO28" s="249"/>
      <c r="AP28" s="249"/>
      <c r="AQ28" s="347"/>
      <c r="AR28" s="347"/>
      <c r="AS28" s="347"/>
      <c r="AT28" s="347"/>
      <c r="AU28" s="347"/>
      <c r="AV28" s="347"/>
      <c r="AW28" s="347"/>
      <c r="AX28" s="347"/>
      <c r="AY28" s="347"/>
      <c r="AZ28" s="347"/>
      <c r="BA28" s="347"/>
      <c r="BB28" s="347"/>
      <c r="BC28" s="347"/>
      <c r="BD28" s="347"/>
      <c r="BE28" s="347"/>
      <c r="BF28" s="347"/>
      <c r="BG28" s="347"/>
      <c r="BH28" s="347"/>
      <c r="BI28" s="347"/>
      <c r="BJ28" s="347"/>
      <c r="BK28" s="347"/>
      <c r="BL28" s="347"/>
      <c r="BM28" s="347"/>
      <c r="BN28" s="347"/>
      <c r="BO28" s="347"/>
      <c r="BP28" s="347"/>
      <c r="BQ28" s="347"/>
    </row>
    <row r="29" s="246" customFormat="1" customHeight="1" spans="1:69">
      <c r="A29" s="280"/>
      <c r="B29" s="276"/>
      <c r="C29" s="282" t="s">
        <v>74</v>
      </c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71"/>
      <c r="P29" s="302" t="s">
        <v>33</v>
      </c>
      <c r="Q29" s="311">
        <f>AM33</f>
        <v>150000</v>
      </c>
      <c r="R29" s="311"/>
      <c r="S29" s="311"/>
      <c r="T29" s="311"/>
      <c r="U29" s="311"/>
      <c r="V29" s="312"/>
      <c r="W29" s="255"/>
      <c r="X29" s="255"/>
      <c r="Y29" s="255"/>
      <c r="Z29" s="247"/>
      <c r="AA29" s="255"/>
      <c r="AB29" s="255"/>
      <c r="AC29" s="255"/>
      <c r="AD29" s="255"/>
      <c r="AE29" s="255"/>
      <c r="AF29" s="326"/>
      <c r="AG29" s="341"/>
      <c r="AH29" s="249"/>
      <c r="AI29" s="249"/>
      <c r="AJ29" s="249"/>
      <c r="AK29" s="249"/>
      <c r="AL29" s="249"/>
      <c r="AM29" s="345">
        <f>L21+AM22+L23+L24+L25+L26+L27</f>
        <v>291852</v>
      </c>
      <c r="AN29" s="345">
        <f>SUM(X21:Z27)</f>
        <v>0</v>
      </c>
      <c r="AO29" s="345">
        <f>SUM(AM29:AN29)</f>
        <v>291852</v>
      </c>
      <c r="AP29" s="249"/>
      <c r="AQ29" s="347"/>
      <c r="AR29" s="347"/>
      <c r="AS29" s="347"/>
      <c r="AT29" s="347"/>
      <c r="AU29" s="347"/>
      <c r="AV29" s="347"/>
      <c r="AW29" s="347"/>
      <c r="AX29" s="347"/>
      <c r="AY29" s="347"/>
      <c r="AZ29" s="347"/>
      <c r="BA29" s="347"/>
      <c r="BB29" s="347"/>
      <c r="BC29" s="347"/>
      <c r="BD29" s="347"/>
      <c r="BE29" s="347"/>
      <c r="BF29" s="347"/>
      <c r="BG29" s="347"/>
      <c r="BH29" s="347"/>
      <c r="BI29" s="347"/>
      <c r="BJ29" s="347"/>
      <c r="BK29" s="347"/>
      <c r="BL29" s="347"/>
      <c r="BM29" s="347"/>
      <c r="BN29" s="347"/>
      <c r="BO29" s="347"/>
      <c r="BP29" s="347"/>
      <c r="BQ29" s="347"/>
    </row>
    <row r="30" s="246" customFormat="1" ht="3.75" customHeight="1" spans="1:69">
      <c r="A30" s="280"/>
      <c r="B30" s="276"/>
      <c r="C30" s="247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55"/>
      <c r="R30" s="282"/>
      <c r="S30" s="313"/>
      <c r="T30" s="313"/>
      <c r="U30" s="313"/>
      <c r="V30" s="313"/>
      <c r="W30" s="255"/>
      <c r="X30" s="255"/>
      <c r="Y30" s="255"/>
      <c r="Z30" s="282"/>
      <c r="AA30" s="255"/>
      <c r="AB30" s="255"/>
      <c r="AC30" s="255"/>
      <c r="AD30" s="255"/>
      <c r="AE30" s="255"/>
      <c r="AF30" s="326"/>
      <c r="AG30" s="341"/>
      <c r="AH30" s="249"/>
      <c r="AI30" s="249"/>
      <c r="AJ30" s="249"/>
      <c r="AK30" s="249"/>
      <c r="AL30" s="249"/>
      <c r="AM30" s="249"/>
      <c r="AN30" s="249"/>
      <c r="AO30" s="249"/>
      <c r="AP30" s="249"/>
      <c r="AQ30" s="347"/>
      <c r="AR30" s="347"/>
      <c r="AS30" s="347"/>
      <c r="AT30" s="347"/>
      <c r="AU30" s="347"/>
      <c r="AV30" s="347"/>
      <c r="AW30" s="347"/>
      <c r="AX30" s="347"/>
      <c r="AY30" s="347"/>
      <c r="AZ30" s="347"/>
      <c r="BA30" s="347"/>
      <c r="BB30" s="347"/>
      <c r="BC30" s="347"/>
      <c r="BD30" s="347"/>
      <c r="BE30" s="347"/>
      <c r="BF30" s="347"/>
      <c r="BG30" s="347"/>
      <c r="BH30" s="347"/>
      <c r="BI30" s="347"/>
      <c r="BJ30" s="347"/>
      <c r="BK30" s="347"/>
      <c r="BL30" s="347"/>
      <c r="BM30" s="347"/>
      <c r="BN30" s="347"/>
      <c r="BO30" s="347"/>
      <c r="BP30" s="347"/>
      <c r="BQ30" s="347"/>
    </row>
    <row r="31" s="246" customFormat="1" customHeight="1" spans="1:69">
      <c r="A31" s="280"/>
      <c r="B31" s="276"/>
      <c r="C31" s="247"/>
      <c r="D31" s="247" t="s">
        <v>75</v>
      </c>
      <c r="E31" s="271" t="s">
        <v>76</v>
      </c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47" t="s">
        <v>33</v>
      </c>
      <c r="S31" s="314">
        <v>25000</v>
      </c>
      <c r="T31" s="314"/>
      <c r="U31" s="314"/>
      <c r="V31" s="314"/>
      <c r="W31" s="255"/>
      <c r="X31" s="255"/>
      <c r="Y31" s="255"/>
      <c r="Z31" s="282"/>
      <c r="AA31" s="255"/>
      <c r="AB31" s="255"/>
      <c r="AC31" s="255"/>
      <c r="AD31" s="255"/>
      <c r="AE31" s="255"/>
      <c r="AF31" s="326"/>
      <c r="AG31" s="341"/>
      <c r="AH31" s="249"/>
      <c r="AI31" s="249"/>
      <c r="AJ31" s="249"/>
      <c r="AK31" s="249"/>
      <c r="AL31" s="249"/>
      <c r="AM31" s="249">
        <f>IF(AO29&gt;150000,150000,AO29)</f>
        <v>150000</v>
      </c>
      <c r="AN31" s="249">
        <f>IF(AO29&gt;AM31,AO29-AM31,"")</f>
        <v>141852</v>
      </c>
      <c r="AO31" s="249">
        <f>IF(AP31&gt;50000,50000,AP31)</f>
        <v>0</v>
      </c>
      <c r="AP31" s="249">
        <f>IF(AN31&gt;AM22,AM22,AN31)</f>
        <v>0</v>
      </c>
      <c r="AQ31" s="347"/>
      <c r="AR31" s="347"/>
      <c r="AS31" s="347"/>
      <c r="AT31" s="347"/>
      <c r="AU31" s="347"/>
      <c r="AV31" s="347"/>
      <c r="AW31" s="347"/>
      <c r="AX31" s="347"/>
      <c r="AY31" s="347"/>
      <c r="AZ31" s="347"/>
      <c r="BA31" s="347"/>
      <c r="BB31" s="347"/>
      <c r="BC31" s="347"/>
      <c r="BD31" s="347"/>
      <c r="BE31" s="347"/>
      <c r="BF31" s="347"/>
      <c r="BG31" s="347"/>
      <c r="BH31" s="347"/>
      <c r="BI31" s="347"/>
      <c r="BJ31" s="347"/>
      <c r="BK31" s="347"/>
      <c r="BL31" s="347"/>
      <c r="BM31" s="347"/>
      <c r="BN31" s="347"/>
      <c r="BO31" s="347"/>
      <c r="BP31" s="347"/>
      <c r="BQ31" s="347"/>
    </row>
    <row r="32" s="246" customFormat="1" customHeight="1" spans="1:69">
      <c r="A32" s="280"/>
      <c r="B32" s="276"/>
      <c r="C32" s="247"/>
      <c r="D32" s="247" t="s">
        <v>77</v>
      </c>
      <c r="E32" s="271" t="s">
        <v>78</v>
      </c>
      <c r="F32" s="271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47" t="s">
        <v>33</v>
      </c>
      <c r="S32" s="314">
        <v>0</v>
      </c>
      <c r="T32" s="314"/>
      <c r="U32" s="314"/>
      <c r="V32" s="314"/>
      <c r="W32" s="255"/>
      <c r="X32" s="255"/>
      <c r="Y32" s="255"/>
      <c r="Z32" s="282"/>
      <c r="AA32" s="255"/>
      <c r="AB32" s="255"/>
      <c r="AC32" s="255"/>
      <c r="AD32" s="255"/>
      <c r="AE32" s="255"/>
      <c r="AF32" s="326"/>
      <c r="AG32" s="341"/>
      <c r="AH32" s="249"/>
      <c r="AI32" s="249"/>
      <c r="AJ32" s="249"/>
      <c r="AK32" s="249"/>
      <c r="AL32" s="249"/>
      <c r="AM32" s="249">
        <f>IF(AP31&gt;50000,AM22-AO31,AM22-AP31)</f>
        <v>0</v>
      </c>
      <c r="AN32" s="249">
        <f>IF(K1="ના",0,AO31)</f>
        <v>0</v>
      </c>
      <c r="AO32" s="249">
        <f>IF(K1="ના",AM22,AM32)</f>
        <v>0</v>
      </c>
      <c r="AP32" s="249"/>
      <c r="AQ32" s="347"/>
      <c r="AR32" s="347"/>
      <c r="AS32" s="347"/>
      <c r="AT32" s="347"/>
      <c r="AU32" s="347"/>
      <c r="AV32" s="347"/>
      <c r="AW32" s="347"/>
      <c r="AX32" s="347"/>
      <c r="AY32" s="347"/>
      <c r="AZ32" s="347"/>
      <c r="BA32" s="347"/>
      <c r="BB32" s="347"/>
      <c r="BC32" s="347"/>
      <c r="BD32" s="347"/>
      <c r="BE32" s="347"/>
      <c r="BF32" s="347"/>
      <c r="BG32" s="347"/>
      <c r="BH32" s="347"/>
      <c r="BI32" s="347"/>
      <c r="BJ32" s="347"/>
      <c r="BK32" s="347"/>
      <c r="BL32" s="347"/>
      <c r="BM32" s="347"/>
      <c r="BN32" s="347"/>
      <c r="BO32" s="347"/>
      <c r="BP32" s="347"/>
      <c r="BQ32" s="347"/>
    </row>
    <row r="33" s="246" customFormat="1" customHeight="1" spans="1:69">
      <c r="A33" s="280"/>
      <c r="B33" s="276"/>
      <c r="C33" s="247"/>
      <c r="D33" s="247" t="s">
        <v>79</v>
      </c>
      <c r="E33" s="271" t="s">
        <v>80</v>
      </c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47" t="s">
        <v>33</v>
      </c>
      <c r="S33" s="314">
        <v>0</v>
      </c>
      <c r="T33" s="314"/>
      <c r="U33" s="314"/>
      <c r="V33" s="314"/>
      <c r="W33" s="255"/>
      <c r="X33" s="255"/>
      <c r="Y33" s="255"/>
      <c r="Z33" s="282"/>
      <c r="AA33" s="255"/>
      <c r="AB33" s="255"/>
      <c r="AC33" s="255"/>
      <c r="AD33" s="255"/>
      <c r="AE33" s="255"/>
      <c r="AF33" s="326"/>
      <c r="AG33" s="341"/>
      <c r="AH33" s="249"/>
      <c r="AI33" s="249"/>
      <c r="AJ33" s="249"/>
      <c r="AK33" s="249"/>
      <c r="AL33" s="249"/>
      <c r="AM33" s="346">
        <f>IF(AM19&lt;150000,AM19,AM31)</f>
        <v>150000</v>
      </c>
      <c r="AN33" s="249"/>
      <c r="AO33" s="249"/>
      <c r="AP33" s="249"/>
      <c r="AQ33" s="249"/>
      <c r="AR33" s="249"/>
      <c r="AS33" s="249"/>
      <c r="AT33" s="249"/>
      <c r="AU33" s="249"/>
      <c r="AV33" s="249"/>
      <c r="AW33" s="347"/>
      <c r="AX33" s="347"/>
      <c r="AY33" s="347"/>
      <c r="AZ33" s="347"/>
      <c r="BA33" s="347"/>
      <c r="BB33" s="347"/>
      <c r="BC33" s="347"/>
      <c r="BD33" s="347"/>
      <c r="BE33" s="347"/>
      <c r="BF33" s="347"/>
      <c r="BG33" s="347"/>
      <c r="BH33" s="347"/>
      <c r="BI33" s="347"/>
      <c r="BJ33" s="347"/>
      <c r="BK33" s="347"/>
      <c r="BL33" s="347"/>
      <c r="BM33" s="347"/>
      <c r="BN33" s="347"/>
      <c r="BO33" s="347"/>
      <c r="BP33" s="347"/>
      <c r="BQ33" s="347"/>
    </row>
    <row r="34" s="246" customFormat="1" customHeight="1" spans="1:69">
      <c r="A34" s="280"/>
      <c r="B34" s="276"/>
      <c r="C34" s="247"/>
      <c r="D34" s="247" t="s">
        <v>81</v>
      </c>
      <c r="E34" s="271" t="s">
        <v>82</v>
      </c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47" t="s">
        <v>33</v>
      </c>
      <c r="S34" s="315">
        <f>AR2</f>
        <v>0</v>
      </c>
      <c r="T34" s="315"/>
      <c r="U34" s="315"/>
      <c r="V34" s="315"/>
      <c r="W34" s="255"/>
      <c r="X34" s="255"/>
      <c r="Y34" s="255"/>
      <c r="Z34" s="282"/>
      <c r="AA34" s="282"/>
      <c r="AB34" s="282"/>
      <c r="AC34" s="282"/>
      <c r="AD34" s="282"/>
      <c r="AE34" s="282"/>
      <c r="AF34" s="326"/>
      <c r="AG34" s="341"/>
      <c r="AH34" s="249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9"/>
      <c r="AT34" s="249"/>
      <c r="AU34" s="249"/>
      <c r="AV34" s="249"/>
      <c r="AW34" s="347"/>
      <c r="AX34" s="347"/>
      <c r="AY34" s="347"/>
      <c r="AZ34" s="347"/>
      <c r="BA34" s="347"/>
      <c r="BB34" s="347"/>
      <c r="BC34" s="347"/>
      <c r="BD34" s="347"/>
      <c r="BE34" s="347"/>
      <c r="BF34" s="347"/>
      <c r="BG34" s="347"/>
      <c r="BH34" s="347"/>
      <c r="BI34" s="347"/>
      <c r="BJ34" s="347"/>
      <c r="BK34" s="347"/>
      <c r="BL34" s="347"/>
      <c r="BM34" s="347"/>
      <c r="BN34" s="347"/>
      <c r="BO34" s="347"/>
      <c r="BP34" s="347"/>
      <c r="BQ34" s="347"/>
    </row>
    <row r="35" s="246" customFormat="1" customHeight="1" spans="1:69">
      <c r="A35" s="280"/>
      <c r="B35" s="276"/>
      <c r="C35" s="247"/>
      <c r="D35" s="247" t="s">
        <v>83</v>
      </c>
      <c r="E35" s="271" t="s">
        <v>84</v>
      </c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47" t="s">
        <v>33</v>
      </c>
      <c r="S35" s="314">
        <v>0</v>
      </c>
      <c r="T35" s="314"/>
      <c r="U35" s="314"/>
      <c r="V35" s="314"/>
      <c r="W35" s="255"/>
      <c r="X35" s="255"/>
      <c r="Y35" s="255"/>
      <c r="Z35" s="255"/>
      <c r="AA35" s="255"/>
      <c r="AB35" s="328"/>
      <c r="AC35" s="328"/>
      <c r="AD35" s="328"/>
      <c r="AE35" s="328"/>
      <c r="AF35" s="326"/>
      <c r="AG35" s="341"/>
      <c r="AH35" s="249"/>
      <c r="AI35" s="249"/>
      <c r="AJ35" s="249"/>
      <c r="AK35" s="249"/>
      <c r="AL35" s="249"/>
      <c r="AM35" s="249"/>
      <c r="AN35" s="249"/>
      <c r="AO35" s="249"/>
      <c r="AP35" s="249"/>
      <c r="AQ35" s="249"/>
      <c r="AR35" s="249"/>
      <c r="AS35" s="249"/>
      <c r="AT35" s="249"/>
      <c r="AU35" s="249"/>
      <c r="AV35" s="249"/>
      <c r="AW35" s="347"/>
      <c r="AX35" s="347"/>
      <c r="AY35" s="347"/>
      <c r="AZ35" s="347"/>
      <c r="BA35" s="347"/>
      <c r="BB35" s="347"/>
      <c r="BC35" s="347"/>
      <c r="BD35" s="347"/>
      <c r="BE35" s="347"/>
      <c r="BF35" s="347"/>
      <c r="BG35" s="347"/>
      <c r="BH35" s="347"/>
      <c r="BI35" s="347"/>
      <c r="BJ35" s="347"/>
      <c r="BK35" s="347"/>
      <c r="BL35" s="347"/>
      <c r="BM35" s="347"/>
      <c r="BN35" s="347"/>
      <c r="BO35" s="347"/>
      <c r="BP35" s="347"/>
      <c r="BQ35" s="347"/>
    </row>
    <row r="36" s="246" customFormat="1" customHeight="1" spans="1:69">
      <c r="A36" s="280"/>
      <c r="B36" s="276"/>
      <c r="C36" s="247"/>
      <c r="D36" s="247" t="s">
        <v>85</v>
      </c>
      <c r="E36" s="271" t="s">
        <v>86</v>
      </c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47" t="s">
        <v>33</v>
      </c>
      <c r="S36" s="314">
        <v>0</v>
      </c>
      <c r="T36" s="314"/>
      <c r="U36" s="314"/>
      <c r="V36" s="314"/>
      <c r="W36" s="247"/>
      <c r="X36" s="247"/>
      <c r="Y36" s="247"/>
      <c r="Z36" s="247"/>
      <c r="AA36" s="247"/>
      <c r="AB36" s="328"/>
      <c r="AC36" s="328"/>
      <c r="AD36" s="328"/>
      <c r="AE36" s="328"/>
      <c r="AF36" s="326"/>
      <c r="AG36" s="341"/>
      <c r="AH36" s="249"/>
      <c r="AI36" s="249"/>
      <c r="AJ36" s="249"/>
      <c r="AK36" s="249"/>
      <c r="AL36" s="249"/>
      <c r="AM36" s="249"/>
      <c r="AN36" s="249"/>
      <c r="AO36" s="249"/>
      <c r="AP36" s="249"/>
      <c r="AQ36" s="249"/>
      <c r="AR36" s="249"/>
      <c r="AS36" s="249"/>
      <c r="AT36" s="249"/>
      <c r="AU36" s="249"/>
      <c r="AV36" s="249"/>
      <c r="AW36" s="347"/>
      <c r="AX36" s="347"/>
      <c r="AY36" s="347"/>
      <c r="AZ36" s="347"/>
      <c r="BA36" s="347"/>
      <c r="BB36" s="347"/>
      <c r="BC36" s="347"/>
      <c r="BD36" s="347"/>
      <c r="BE36" s="347"/>
      <c r="BF36" s="347"/>
      <c r="BG36" s="347"/>
      <c r="BH36" s="347"/>
      <c r="BI36" s="347"/>
      <c r="BJ36" s="347"/>
      <c r="BK36" s="347"/>
      <c r="BL36" s="347"/>
      <c r="BM36" s="347"/>
      <c r="BN36" s="347"/>
      <c r="BO36" s="347"/>
      <c r="BP36" s="347"/>
      <c r="BQ36" s="347"/>
    </row>
    <row r="37" s="246" customFormat="1" customHeight="1" spans="1:69">
      <c r="A37" s="280"/>
      <c r="B37" s="276"/>
      <c r="C37" s="247"/>
      <c r="D37" s="247" t="s">
        <v>87</v>
      </c>
      <c r="E37" s="271" t="s">
        <v>88</v>
      </c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47" t="s">
        <v>33</v>
      </c>
      <c r="S37" s="314">
        <v>0</v>
      </c>
      <c r="T37" s="314"/>
      <c r="U37" s="314"/>
      <c r="V37" s="314"/>
      <c r="W37" s="247"/>
      <c r="X37" s="247"/>
      <c r="Y37" s="247"/>
      <c r="Z37" s="247"/>
      <c r="AA37" s="247"/>
      <c r="AB37" s="328"/>
      <c r="AC37" s="328"/>
      <c r="AD37" s="328"/>
      <c r="AE37" s="328"/>
      <c r="AF37" s="326"/>
      <c r="AG37" s="341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347"/>
      <c r="AX37" s="347"/>
      <c r="AY37" s="347"/>
      <c r="AZ37" s="347"/>
      <c r="BA37" s="347"/>
      <c r="BB37" s="347"/>
      <c r="BC37" s="347"/>
      <c r="BD37" s="347"/>
      <c r="BE37" s="347"/>
      <c r="BF37" s="347"/>
      <c r="BG37" s="347"/>
      <c r="BH37" s="347"/>
      <c r="BI37" s="347"/>
      <c r="BJ37" s="347"/>
      <c r="BK37" s="347"/>
      <c r="BL37" s="347"/>
      <c r="BM37" s="347"/>
      <c r="BN37" s="347"/>
      <c r="BO37" s="347"/>
      <c r="BP37" s="347"/>
      <c r="BQ37" s="347"/>
    </row>
    <row r="38" s="246" customFormat="1" customHeight="1" spans="1:69">
      <c r="A38" s="280"/>
      <c r="B38" s="276"/>
      <c r="C38" s="247"/>
      <c r="D38" s="247" t="s">
        <v>89</v>
      </c>
      <c r="E38" s="271" t="s">
        <v>90</v>
      </c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47" t="s">
        <v>33</v>
      </c>
      <c r="S38" s="314">
        <v>0</v>
      </c>
      <c r="T38" s="314"/>
      <c r="U38" s="314"/>
      <c r="V38" s="314"/>
      <c r="W38" s="247"/>
      <c r="X38" s="247"/>
      <c r="Y38" s="247"/>
      <c r="Z38" s="247"/>
      <c r="AA38" s="247"/>
      <c r="AB38" s="328"/>
      <c r="AC38" s="328"/>
      <c r="AD38" s="328"/>
      <c r="AE38" s="328"/>
      <c r="AF38" s="326"/>
      <c r="AG38" s="341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347"/>
      <c r="AX38" s="347"/>
      <c r="AY38" s="347"/>
      <c r="AZ38" s="347"/>
      <c r="BA38" s="347"/>
      <c r="BB38" s="347"/>
      <c r="BC38" s="347"/>
      <c r="BD38" s="347"/>
      <c r="BE38" s="347"/>
      <c r="BF38" s="347"/>
      <c r="BG38" s="347"/>
      <c r="BH38" s="347"/>
      <c r="BI38" s="347"/>
      <c r="BJ38" s="347"/>
      <c r="BK38" s="347"/>
      <c r="BL38" s="347"/>
      <c r="BM38" s="347"/>
      <c r="BN38" s="347"/>
      <c r="BO38" s="347"/>
      <c r="BP38" s="347"/>
      <c r="BQ38" s="347"/>
    </row>
    <row r="39" s="246" customFormat="1" customHeight="1" spans="1:69">
      <c r="A39" s="280"/>
      <c r="B39" s="276"/>
      <c r="C39" s="247"/>
      <c r="D39" s="247" t="s">
        <v>91</v>
      </c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47" t="s">
        <v>33</v>
      </c>
      <c r="S39" s="314">
        <v>0</v>
      </c>
      <c r="T39" s="314"/>
      <c r="U39" s="314"/>
      <c r="V39" s="314"/>
      <c r="W39" s="316" t="s">
        <v>92</v>
      </c>
      <c r="X39" s="316"/>
      <c r="Y39" s="316"/>
      <c r="Z39" s="316"/>
      <c r="AA39" s="316"/>
      <c r="AB39" s="329">
        <f>SUM(Q29+S31+S32+S33+S34+S35+S36+S37+S38+S39)</f>
        <v>175000</v>
      </c>
      <c r="AC39" s="329"/>
      <c r="AD39" s="329"/>
      <c r="AE39" s="329"/>
      <c r="AF39" s="326"/>
      <c r="AG39" s="341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347"/>
      <c r="AX39" s="347"/>
      <c r="AY39" s="347"/>
      <c r="AZ39" s="347"/>
      <c r="BA39" s="347"/>
      <c r="BB39" s="347"/>
      <c r="BC39" s="347"/>
      <c r="BD39" s="347"/>
      <c r="BE39" s="347"/>
      <c r="BF39" s="347"/>
      <c r="BG39" s="347"/>
      <c r="BH39" s="347"/>
      <c r="BI39" s="347"/>
      <c r="BJ39" s="347"/>
      <c r="BK39" s="347"/>
      <c r="BL39" s="347"/>
      <c r="BM39" s="347"/>
      <c r="BN39" s="347"/>
      <c r="BO39" s="347"/>
      <c r="BP39" s="347"/>
      <c r="BQ39" s="347"/>
    </row>
    <row r="40" s="246" customFormat="1" ht="3.75" customHeight="1" spans="1:69">
      <c r="A40" s="280"/>
      <c r="B40" s="276"/>
      <c r="C40" s="247"/>
      <c r="D40" s="247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55"/>
      <c r="R40" s="282"/>
      <c r="S40" s="282"/>
      <c r="T40" s="282"/>
      <c r="U40" s="282"/>
      <c r="V40" s="282"/>
      <c r="W40" s="255"/>
      <c r="X40" s="255"/>
      <c r="Y40" s="255"/>
      <c r="Z40" s="282"/>
      <c r="AA40" s="282"/>
      <c r="AB40" s="282"/>
      <c r="AC40" s="282"/>
      <c r="AD40" s="282"/>
      <c r="AE40" s="282"/>
      <c r="AF40" s="326"/>
      <c r="AG40" s="341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347"/>
      <c r="AX40" s="347"/>
      <c r="AY40" s="347"/>
      <c r="AZ40" s="347"/>
      <c r="BA40" s="347"/>
      <c r="BB40" s="347"/>
      <c r="BC40" s="347"/>
      <c r="BD40" s="347"/>
      <c r="BE40" s="347"/>
      <c r="BF40" s="347"/>
      <c r="BG40" s="347"/>
      <c r="BH40" s="347"/>
      <c r="BI40" s="347"/>
      <c r="BJ40" s="347"/>
      <c r="BK40" s="347"/>
      <c r="BL40" s="347"/>
      <c r="BM40" s="347"/>
      <c r="BN40" s="347"/>
      <c r="BO40" s="347"/>
      <c r="BP40" s="347"/>
      <c r="BQ40" s="347"/>
    </row>
    <row r="41" s="246" customFormat="1" customHeight="1" spans="1:69">
      <c r="A41" s="280"/>
      <c r="B41" s="276"/>
      <c r="C41" s="247" t="s">
        <v>93</v>
      </c>
      <c r="D41" s="271" t="s">
        <v>94</v>
      </c>
      <c r="E41" s="271"/>
      <c r="F41" s="271"/>
      <c r="G41" s="271"/>
      <c r="H41" s="271"/>
      <c r="I41" s="271"/>
      <c r="J41" s="271"/>
      <c r="K41" s="255"/>
      <c r="L41" s="255"/>
      <c r="M41" s="255"/>
      <c r="N41" s="255"/>
      <c r="O41" s="255"/>
      <c r="P41" s="255"/>
      <c r="Q41" s="271" t="s">
        <v>95</v>
      </c>
      <c r="R41" s="271"/>
      <c r="S41" s="271"/>
      <c r="T41" s="271"/>
      <c r="U41" s="271"/>
      <c r="V41" s="271"/>
      <c r="W41" s="271"/>
      <c r="X41" s="271"/>
      <c r="Y41" s="247" t="s">
        <v>33</v>
      </c>
      <c r="Z41" s="330">
        <f>AA19-AB39</f>
        <v>685640</v>
      </c>
      <c r="AA41" s="331"/>
      <c r="AB41" s="331"/>
      <c r="AC41" s="331"/>
      <c r="AD41" s="331"/>
      <c r="AE41" s="332"/>
      <c r="AF41" s="326"/>
      <c r="AG41" s="341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347"/>
      <c r="AX41" s="347"/>
      <c r="AY41" s="347"/>
      <c r="AZ41" s="347"/>
      <c r="BA41" s="347"/>
      <c r="BB41" s="347"/>
      <c r="BC41" s="347"/>
      <c r="BD41" s="347"/>
      <c r="BE41" s="347"/>
      <c r="BF41" s="347"/>
      <c r="BG41" s="347"/>
      <c r="BH41" s="347"/>
      <c r="BI41" s="347"/>
      <c r="BJ41" s="347"/>
      <c r="BK41" s="347"/>
      <c r="BL41" s="347"/>
      <c r="BM41" s="347"/>
      <c r="BN41" s="347"/>
      <c r="BO41" s="347"/>
      <c r="BP41" s="347"/>
      <c r="BQ41" s="347"/>
    </row>
    <row r="42" s="246" customFormat="1" customHeight="1" spans="1:69">
      <c r="A42" s="280"/>
      <c r="B42" s="276"/>
      <c r="C42" s="247" t="s">
        <v>96</v>
      </c>
      <c r="D42" s="271" t="s">
        <v>97</v>
      </c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55"/>
      <c r="R42" s="282"/>
      <c r="S42" s="255"/>
      <c r="T42" s="255"/>
      <c r="U42" s="255"/>
      <c r="V42" s="255"/>
      <c r="W42" s="255"/>
      <c r="X42" s="255"/>
      <c r="Y42" s="247"/>
      <c r="Z42" s="282"/>
      <c r="AA42" s="282"/>
      <c r="AB42" s="282"/>
      <c r="AC42" s="282"/>
      <c r="AD42" s="282"/>
      <c r="AE42" s="255"/>
      <c r="AF42" s="326"/>
      <c r="AG42" s="341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347"/>
      <c r="AX42" s="347"/>
      <c r="AY42" s="347"/>
      <c r="AZ42" s="347"/>
      <c r="BA42" s="347"/>
      <c r="BB42" s="347"/>
      <c r="BC42" s="347"/>
      <c r="BD42" s="347"/>
      <c r="BE42" s="347"/>
      <c r="BF42" s="347"/>
      <c r="BG42" s="347"/>
      <c r="BH42" s="347"/>
      <c r="BI42" s="347"/>
      <c r="BJ42" s="347"/>
      <c r="BK42" s="347"/>
      <c r="BL42" s="347"/>
      <c r="BM42" s="347"/>
      <c r="BN42" s="347"/>
      <c r="BO42" s="347"/>
      <c r="BP42" s="347"/>
      <c r="BQ42" s="347"/>
    </row>
    <row r="43" s="246" customFormat="1" customHeight="1" spans="1:69">
      <c r="A43" s="280"/>
      <c r="B43" s="276"/>
      <c r="C43" s="247"/>
      <c r="D43" s="255"/>
      <c r="E43" s="255" t="s">
        <v>31</v>
      </c>
      <c r="F43" s="255" t="s">
        <v>98</v>
      </c>
      <c r="G43" s="255" t="s">
        <v>99</v>
      </c>
      <c r="H43" s="255"/>
      <c r="I43" s="255"/>
      <c r="J43" s="271" t="s">
        <v>100</v>
      </c>
      <c r="K43" s="271"/>
      <c r="L43" s="271"/>
      <c r="M43" s="255"/>
      <c r="N43" s="255"/>
      <c r="O43" s="255"/>
      <c r="P43" s="255"/>
      <c r="Q43" s="255"/>
      <c r="R43" s="247" t="s">
        <v>33</v>
      </c>
      <c r="S43" s="317" t="s">
        <v>101</v>
      </c>
      <c r="T43" s="317"/>
      <c r="U43" s="317"/>
      <c r="V43" s="317"/>
      <c r="W43" s="255"/>
      <c r="X43" s="255"/>
      <c r="Y43" s="255"/>
      <c r="Z43" s="282"/>
      <c r="AA43" s="282"/>
      <c r="AB43" s="282"/>
      <c r="AC43" s="282"/>
      <c r="AD43" s="282"/>
      <c r="AE43" s="255"/>
      <c r="AF43" s="326"/>
      <c r="AG43" s="341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347"/>
      <c r="AX43" s="347"/>
      <c r="AY43" s="347"/>
      <c r="AZ43" s="347"/>
      <c r="BA43" s="347"/>
      <c r="BB43" s="347"/>
      <c r="BC43" s="347"/>
      <c r="BD43" s="347"/>
      <c r="BE43" s="347"/>
      <c r="BF43" s="347"/>
      <c r="BG43" s="347"/>
      <c r="BH43" s="347"/>
      <c r="BI43" s="347"/>
      <c r="BJ43" s="347"/>
      <c r="BK43" s="347"/>
      <c r="BL43" s="347"/>
      <c r="BM43" s="347"/>
      <c r="BN43" s="347"/>
      <c r="BO43" s="347"/>
      <c r="BP43" s="347"/>
      <c r="BQ43" s="347"/>
    </row>
    <row r="44" s="246" customFormat="1" customHeight="1" spans="1:69">
      <c r="A44" s="280"/>
      <c r="B44" s="276"/>
      <c r="C44" s="247"/>
      <c r="D44" s="255"/>
      <c r="E44" s="255" t="s">
        <v>34</v>
      </c>
      <c r="F44" s="255" t="s">
        <v>102</v>
      </c>
      <c r="G44" s="255" t="s">
        <v>103</v>
      </c>
      <c r="H44" s="255"/>
      <c r="I44" s="255"/>
      <c r="J44" s="247" t="s">
        <v>104</v>
      </c>
      <c r="K44" s="255" t="s">
        <v>105</v>
      </c>
      <c r="L44" s="255"/>
      <c r="M44" s="255"/>
      <c r="N44" s="255"/>
      <c r="O44" s="255"/>
      <c r="P44" s="255"/>
      <c r="Q44" s="255"/>
      <c r="R44" s="247" t="s">
        <v>33</v>
      </c>
      <c r="S44" s="308">
        <f>AA67</f>
        <v>12500</v>
      </c>
      <c r="T44" s="308"/>
      <c r="U44" s="308"/>
      <c r="V44" s="308"/>
      <c r="W44" s="255"/>
      <c r="X44" s="255"/>
      <c r="Y44" s="255"/>
      <c r="Z44" s="282"/>
      <c r="AA44" s="282"/>
      <c r="AB44" s="282"/>
      <c r="AC44" s="282"/>
      <c r="AD44" s="282"/>
      <c r="AE44" s="255"/>
      <c r="AF44" s="326"/>
      <c r="AG44" s="341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347"/>
      <c r="AX44" s="347"/>
      <c r="AY44" s="347"/>
      <c r="AZ44" s="347"/>
      <c r="BA44" s="347"/>
      <c r="BB44" s="347"/>
      <c r="BC44" s="347"/>
      <c r="BD44" s="347"/>
      <c r="BE44" s="347"/>
      <c r="BF44" s="347"/>
      <c r="BG44" s="347"/>
      <c r="BH44" s="347"/>
      <c r="BI44" s="347"/>
      <c r="BJ44" s="347"/>
      <c r="BK44" s="347"/>
      <c r="BL44" s="347"/>
      <c r="BM44" s="347"/>
      <c r="BN44" s="347"/>
      <c r="BO44" s="347"/>
      <c r="BP44" s="347"/>
      <c r="BQ44" s="347"/>
    </row>
    <row r="45" s="246" customFormat="1" customHeight="1" spans="1:69">
      <c r="A45" s="280"/>
      <c r="B45" s="276"/>
      <c r="C45" s="247"/>
      <c r="D45" s="255"/>
      <c r="E45" s="255" t="s">
        <v>47</v>
      </c>
      <c r="F45" s="255" t="s">
        <v>102</v>
      </c>
      <c r="G45" s="255" t="s">
        <v>106</v>
      </c>
      <c r="H45" s="255"/>
      <c r="I45" s="255"/>
      <c r="J45" s="247" t="s">
        <v>104</v>
      </c>
      <c r="K45" s="255" t="s">
        <v>107</v>
      </c>
      <c r="L45" s="255"/>
      <c r="M45" s="255"/>
      <c r="N45" s="255"/>
      <c r="O45" s="255"/>
      <c r="P45" s="255"/>
      <c r="Q45" s="255"/>
      <c r="R45" s="247" t="s">
        <v>33</v>
      </c>
      <c r="S45" s="308">
        <f>AA68</f>
        <v>37128</v>
      </c>
      <c r="T45" s="308"/>
      <c r="U45" s="308"/>
      <c r="V45" s="308"/>
      <c r="W45" s="255"/>
      <c r="X45" s="255"/>
      <c r="Y45" s="255"/>
      <c r="Z45" s="282"/>
      <c r="AA45" s="282"/>
      <c r="AB45" s="282"/>
      <c r="AC45" s="282"/>
      <c r="AD45" s="282"/>
      <c r="AE45" s="255"/>
      <c r="AF45" s="320"/>
      <c r="AG45" s="341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347"/>
      <c r="AX45" s="347"/>
      <c r="AY45" s="347"/>
      <c r="AZ45" s="347"/>
      <c r="BA45" s="347"/>
      <c r="BB45" s="347"/>
      <c r="BC45" s="347"/>
      <c r="BD45" s="347"/>
      <c r="BE45" s="347"/>
      <c r="BF45" s="347"/>
      <c r="BG45" s="347"/>
      <c r="BH45" s="347"/>
      <c r="BI45" s="347"/>
      <c r="BJ45" s="347"/>
      <c r="BK45" s="347"/>
      <c r="BL45" s="347"/>
      <c r="BM45" s="347"/>
      <c r="BN45" s="347"/>
      <c r="BO45" s="347"/>
      <c r="BP45" s="347"/>
      <c r="BQ45" s="347"/>
    </row>
    <row r="46" s="246" customFormat="1" customHeight="1" spans="1:69">
      <c r="A46" s="280"/>
      <c r="B46" s="276"/>
      <c r="C46" s="247"/>
      <c r="D46" s="255"/>
      <c r="E46" s="255" t="s">
        <v>50</v>
      </c>
      <c r="F46" s="255" t="s">
        <v>102</v>
      </c>
      <c r="G46" s="255" t="s">
        <v>108</v>
      </c>
      <c r="H46" s="255"/>
      <c r="I46" s="255"/>
      <c r="J46" s="247" t="s">
        <v>104</v>
      </c>
      <c r="K46" s="271" t="s">
        <v>109</v>
      </c>
      <c r="L46" s="271"/>
      <c r="M46" s="271"/>
      <c r="N46" s="271"/>
      <c r="O46" s="271"/>
      <c r="P46" s="271"/>
      <c r="Q46" s="255"/>
      <c r="R46" s="247" t="s">
        <v>33</v>
      </c>
      <c r="S46" s="308">
        <f>AA69</f>
        <v>0</v>
      </c>
      <c r="T46" s="308"/>
      <c r="U46" s="308"/>
      <c r="V46" s="308"/>
      <c r="W46" s="255"/>
      <c r="X46" s="255"/>
      <c r="Y46" s="255"/>
      <c r="Z46" s="282"/>
      <c r="AA46" s="282"/>
      <c r="AB46" s="282"/>
      <c r="AC46" s="282"/>
      <c r="AD46" s="282"/>
      <c r="AE46" s="255"/>
      <c r="AF46" s="326"/>
      <c r="AG46" s="341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347"/>
      <c r="AX46" s="347"/>
      <c r="AY46" s="347"/>
      <c r="AZ46" s="347"/>
      <c r="BA46" s="347"/>
      <c r="BB46" s="347"/>
      <c r="BC46" s="347"/>
      <c r="BD46" s="347"/>
      <c r="BE46" s="347"/>
      <c r="BF46" s="347"/>
      <c r="BG46" s="347"/>
      <c r="BH46" s="347"/>
      <c r="BI46" s="347"/>
      <c r="BJ46" s="347"/>
      <c r="BK46" s="347"/>
      <c r="BL46" s="347"/>
      <c r="BM46" s="347"/>
      <c r="BN46" s="347"/>
      <c r="BO46" s="347"/>
      <c r="BP46" s="347"/>
      <c r="BQ46" s="347"/>
    </row>
    <row r="47" s="246" customFormat="1" ht="3.75" customHeight="1" spans="1:69">
      <c r="A47" s="280"/>
      <c r="B47" s="276"/>
      <c r="C47" s="247"/>
      <c r="D47" s="255"/>
      <c r="E47" s="255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47"/>
      <c r="S47" s="313"/>
      <c r="T47" s="313"/>
      <c r="U47" s="313"/>
      <c r="V47" s="313"/>
      <c r="W47" s="255"/>
      <c r="X47" s="255"/>
      <c r="Y47" s="255"/>
      <c r="Z47" s="282"/>
      <c r="AA47" s="282"/>
      <c r="AB47" s="282"/>
      <c r="AC47" s="282"/>
      <c r="AD47" s="282"/>
      <c r="AE47" s="255"/>
      <c r="AF47" s="326"/>
      <c r="AG47" s="341"/>
      <c r="AH47" s="249"/>
      <c r="AI47" s="249"/>
      <c r="AJ47" s="249"/>
      <c r="AK47" s="290"/>
      <c r="AL47" s="290"/>
      <c r="AM47" s="290"/>
      <c r="AN47" s="290"/>
      <c r="AO47" s="290"/>
      <c r="AP47" s="290"/>
      <c r="AQ47" s="290"/>
      <c r="AR47" s="290"/>
      <c r="AS47" s="290"/>
      <c r="AT47" s="290"/>
      <c r="AU47" s="290"/>
      <c r="AV47" s="290"/>
      <c r="AW47" s="347"/>
      <c r="AX47" s="347"/>
      <c r="AY47" s="347"/>
      <c r="AZ47" s="347"/>
      <c r="BA47" s="347"/>
      <c r="BB47" s="347"/>
      <c r="BC47" s="347"/>
      <c r="BD47" s="347"/>
      <c r="BE47" s="347"/>
      <c r="BF47" s="347"/>
      <c r="BG47" s="347"/>
      <c r="BH47" s="347"/>
      <c r="BI47" s="347"/>
      <c r="BJ47" s="347"/>
      <c r="BK47" s="347"/>
      <c r="BL47" s="347"/>
      <c r="BM47" s="347"/>
      <c r="BN47" s="347"/>
      <c r="BO47" s="347"/>
      <c r="BP47" s="347"/>
      <c r="BQ47" s="347"/>
    </row>
    <row r="48" s="246" customFormat="1" customHeight="1" spans="1:69">
      <c r="A48" s="280"/>
      <c r="B48" s="276"/>
      <c r="C48" s="283" t="s">
        <v>110</v>
      </c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55"/>
      <c r="Z48" s="247" t="s">
        <v>33</v>
      </c>
      <c r="AA48" s="333">
        <f>ROUND(SUM(S44:V46),0)</f>
        <v>49628</v>
      </c>
      <c r="AB48" s="333"/>
      <c r="AC48" s="333"/>
      <c r="AD48" s="333"/>
      <c r="AE48" s="333"/>
      <c r="AF48" s="326"/>
      <c r="AG48" s="341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347"/>
      <c r="AX48" s="347"/>
      <c r="AY48" s="347"/>
      <c r="AZ48" s="347"/>
      <c r="BA48" s="347"/>
      <c r="BB48" s="347"/>
      <c r="BC48" s="347"/>
      <c r="BD48" s="347"/>
      <c r="BE48" s="347"/>
      <c r="BF48" s="347"/>
      <c r="BG48" s="347"/>
      <c r="BH48" s="347"/>
      <c r="BI48" s="347"/>
      <c r="BJ48" s="347"/>
      <c r="BK48" s="347"/>
      <c r="BL48" s="347"/>
      <c r="BM48" s="347"/>
      <c r="BN48" s="347"/>
      <c r="BO48" s="347"/>
      <c r="BP48" s="347"/>
      <c r="BQ48" s="347"/>
    </row>
    <row r="49" s="246" customFormat="1" customHeight="1" spans="1:85">
      <c r="A49" s="280"/>
      <c r="B49" s="276"/>
      <c r="C49" s="247" t="s">
        <v>111</v>
      </c>
      <c r="D49" s="271" t="s">
        <v>112</v>
      </c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47"/>
      <c r="AA49" s="334"/>
      <c r="AB49" s="334"/>
      <c r="AC49" s="334"/>
      <c r="AD49" s="334"/>
      <c r="AE49" s="334"/>
      <c r="AF49" s="326"/>
      <c r="AG49" s="341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49"/>
      <c r="BE49" s="249"/>
      <c r="BF49" s="249"/>
      <c r="BG49" s="249"/>
      <c r="BH49" s="249"/>
      <c r="BI49" s="249"/>
      <c r="BJ49" s="249"/>
      <c r="BK49" s="249"/>
      <c r="BL49" s="249"/>
      <c r="BM49" s="249"/>
      <c r="BN49" s="249"/>
      <c r="BO49" s="249"/>
      <c r="BP49" s="249"/>
      <c r="BQ49" s="249"/>
      <c r="BR49" s="251"/>
      <c r="BS49" s="251"/>
      <c r="BT49" s="251"/>
      <c r="BU49" s="251"/>
      <c r="BV49" s="251"/>
      <c r="BW49" s="251"/>
      <c r="BX49" s="251"/>
      <c r="BY49" s="251"/>
      <c r="BZ49" s="251"/>
      <c r="CA49" s="251"/>
      <c r="CB49" s="251"/>
      <c r="CC49" s="251"/>
      <c r="CD49" s="251"/>
      <c r="CE49" s="251"/>
      <c r="CF49" s="251"/>
      <c r="CG49" s="251"/>
    </row>
    <row r="50" s="246" customFormat="1" customHeight="1" spans="1:85">
      <c r="A50" s="280"/>
      <c r="B50" s="276"/>
      <c r="C50" s="247"/>
      <c r="D50" s="271" t="s">
        <v>113</v>
      </c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47" t="s">
        <v>33</v>
      </c>
      <c r="AA50" s="335">
        <f>IF($Z$41&gt;500000,0,IF($Z$41&lt;500000,AA48,IF($Z$41&lt;=500000,12500)))</f>
        <v>0</v>
      </c>
      <c r="AB50" s="335"/>
      <c r="AC50" s="335"/>
      <c r="AD50" s="335"/>
      <c r="AE50" s="335"/>
      <c r="AF50" s="326"/>
      <c r="AG50" s="341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49"/>
      <c r="BE50" s="249"/>
      <c r="BF50" s="249"/>
      <c r="BG50" s="249"/>
      <c r="BH50" s="249"/>
      <c r="BI50" s="249"/>
      <c r="BJ50" s="249"/>
      <c r="BK50" s="249"/>
      <c r="BL50" s="249"/>
      <c r="BM50" s="249"/>
      <c r="BN50" s="249"/>
      <c r="BO50" s="249"/>
      <c r="BP50" s="249"/>
      <c r="BQ50" s="249"/>
      <c r="BR50" s="251"/>
      <c r="BS50" s="251"/>
      <c r="BT50" s="251"/>
      <c r="BU50" s="251"/>
      <c r="BV50" s="251"/>
      <c r="BW50" s="251"/>
      <c r="BX50" s="251"/>
      <c r="BY50" s="251"/>
      <c r="BZ50" s="251"/>
      <c r="CA50" s="251"/>
      <c r="CB50" s="251"/>
      <c r="CC50" s="251"/>
      <c r="CD50" s="251"/>
      <c r="CE50" s="251"/>
      <c r="CF50" s="251"/>
      <c r="CG50" s="251"/>
    </row>
    <row r="51" s="246" customFormat="1" customHeight="1" spans="1:85">
      <c r="A51" s="280"/>
      <c r="B51" s="276"/>
      <c r="C51" s="279" t="s">
        <v>114</v>
      </c>
      <c r="D51" s="271" t="s">
        <v>115</v>
      </c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47" t="s">
        <v>33</v>
      </c>
      <c r="AA51" s="308">
        <f>AA48-AA50</f>
        <v>49628</v>
      </c>
      <c r="AB51" s="308"/>
      <c r="AC51" s="308"/>
      <c r="AD51" s="308"/>
      <c r="AE51" s="308"/>
      <c r="AF51" s="323"/>
      <c r="AG51" s="341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49"/>
      <c r="BE51" s="249"/>
      <c r="BF51" s="249"/>
      <c r="BG51" s="249"/>
      <c r="BH51" s="249"/>
      <c r="BI51" s="249"/>
      <c r="BJ51" s="249"/>
      <c r="BK51" s="249"/>
      <c r="BL51" s="249"/>
      <c r="BM51" s="249"/>
      <c r="BN51" s="249"/>
      <c r="BO51" s="249"/>
      <c r="BP51" s="249"/>
      <c r="BQ51" s="249"/>
      <c r="BR51" s="251"/>
      <c r="BS51" s="251"/>
      <c r="BT51" s="251"/>
      <c r="BU51" s="251"/>
      <c r="BV51" s="251"/>
      <c r="BW51" s="251"/>
      <c r="BX51" s="251"/>
      <c r="BY51" s="251"/>
      <c r="BZ51" s="251"/>
      <c r="CA51" s="251"/>
      <c r="CB51" s="251"/>
      <c r="CC51" s="251"/>
      <c r="CD51" s="251"/>
      <c r="CE51" s="251"/>
      <c r="CF51" s="251"/>
      <c r="CG51" s="251"/>
    </row>
    <row r="52" s="246" customFormat="1" customHeight="1" spans="1:85">
      <c r="A52" s="280"/>
      <c r="B52" s="276"/>
      <c r="C52" s="247" t="s">
        <v>116</v>
      </c>
      <c r="D52" s="271" t="s">
        <v>117</v>
      </c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47" t="s">
        <v>33</v>
      </c>
      <c r="AA52" s="336">
        <f>ROUND(AA51*4%,0)</f>
        <v>1985</v>
      </c>
      <c r="AB52" s="336"/>
      <c r="AC52" s="336"/>
      <c r="AD52" s="336"/>
      <c r="AE52" s="336"/>
      <c r="AF52" s="326"/>
      <c r="AG52" s="341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49"/>
      <c r="BE52" s="249"/>
      <c r="BF52" s="249"/>
      <c r="BG52" s="249"/>
      <c r="BH52" s="249"/>
      <c r="BI52" s="249"/>
      <c r="BJ52" s="249"/>
      <c r="BK52" s="249"/>
      <c r="BL52" s="249"/>
      <c r="BM52" s="249"/>
      <c r="BN52" s="249"/>
      <c r="BO52" s="249"/>
      <c r="BP52" s="249"/>
      <c r="BQ52" s="249"/>
      <c r="BR52" s="251"/>
      <c r="BS52" s="251"/>
      <c r="BT52" s="251"/>
      <c r="BU52" s="251"/>
      <c r="BV52" s="251"/>
      <c r="BW52" s="251"/>
      <c r="BX52" s="251"/>
      <c r="BY52" s="251"/>
      <c r="BZ52" s="251"/>
      <c r="CA52" s="251"/>
      <c r="CB52" s="251"/>
      <c r="CC52" s="251"/>
      <c r="CD52" s="251"/>
      <c r="CE52" s="251"/>
      <c r="CF52" s="251"/>
      <c r="CG52" s="251"/>
    </row>
    <row r="53" s="246" customFormat="1" customHeight="1" spans="1:85">
      <c r="A53" s="280"/>
      <c r="B53" s="276"/>
      <c r="C53" s="247" t="s">
        <v>118</v>
      </c>
      <c r="D53" s="255" t="s">
        <v>119</v>
      </c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47" t="s">
        <v>33</v>
      </c>
      <c r="AA53" s="327">
        <f>AA51+AA52</f>
        <v>51613</v>
      </c>
      <c r="AB53" s="327"/>
      <c r="AC53" s="327"/>
      <c r="AD53" s="327"/>
      <c r="AE53" s="327"/>
      <c r="AF53" s="326"/>
      <c r="AG53" s="341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49"/>
      <c r="BE53" s="249"/>
      <c r="BF53" s="249"/>
      <c r="BG53" s="249"/>
      <c r="BH53" s="249"/>
      <c r="BI53" s="249"/>
      <c r="BJ53" s="249"/>
      <c r="BK53" s="249"/>
      <c r="BL53" s="249"/>
      <c r="BM53" s="249"/>
      <c r="BN53" s="249"/>
      <c r="BO53" s="249"/>
      <c r="BP53" s="249"/>
      <c r="BQ53" s="249"/>
      <c r="BR53" s="251"/>
      <c r="BS53" s="251"/>
      <c r="BT53" s="251"/>
      <c r="BU53" s="251"/>
      <c r="BV53" s="251"/>
      <c r="BW53" s="251"/>
      <c r="BX53" s="251"/>
      <c r="BY53" s="251"/>
      <c r="BZ53" s="251"/>
      <c r="CA53" s="251"/>
      <c r="CB53" s="251"/>
      <c r="CC53" s="251"/>
      <c r="CD53" s="251"/>
      <c r="CE53" s="251"/>
      <c r="CF53" s="251"/>
      <c r="CG53" s="251"/>
    </row>
    <row r="54" s="246" customFormat="1" customHeight="1" spans="1:85">
      <c r="A54" s="280"/>
      <c r="B54" s="276"/>
      <c r="C54" s="247" t="s">
        <v>120</v>
      </c>
      <c r="D54" s="284" t="s">
        <v>121</v>
      </c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47" t="s">
        <v>33</v>
      </c>
      <c r="AA54" s="309"/>
      <c r="AB54" s="309"/>
      <c r="AC54" s="309"/>
      <c r="AD54" s="309"/>
      <c r="AE54" s="309"/>
      <c r="AF54" s="326"/>
      <c r="AG54" s="341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49"/>
      <c r="BE54" s="249"/>
      <c r="BF54" s="249"/>
      <c r="BG54" s="249"/>
      <c r="BH54" s="249"/>
      <c r="BI54" s="249"/>
      <c r="BJ54" s="249"/>
      <c r="BK54" s="249"/>
      <c r="BL54" s="249"/>
      <c r="BM54" s="249"/>
      <c r="BN54" s="249"/>
      <c r="BO54" s="249"/>
      <c r="BP54" s="249"/>
      <c r="BQ54" s="249"/>
      <c r="BR54" s="251"/>
      <c r="BS54" s="251"/>
      <c r="BT54" s="251"/>
      <c r="BU54" s="251"/>
      <c r="BV54" s="251"/>
      <c r="BW54" s="251"/>
      <c r="BX54" s="251"/>
      <c r="BY54" s="251"/>
      <c r="BZ54" s="251"/>
      <c r="CA54" s="251"/>
      <c r="CB54" s="251"/>
      <c r="CC54" s="251"/>
      <c r="CD54" s="251"/>
      <c r="CE54" s="251"/>
      <c r="CF54" s="251"/>
      <c r="CG54" s="251"/>
    </row>
    <row r="55" s="246" customFormat="1" customHeight="1" spans="1:85">
      <c r="A55" s="280"/>
      <c r="B55" s="276"/>
      <c r="C55" s="247" t="s">
        <v>122</v>
      </c>
      <c r="D55" s="285" t="s">
        <v>123</v>
      </c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85"/>
      <c r="U55" s="285"/>
      <c r="V55" s="285"/>
      <c r="W55" s="285"/>
      <c r="X55" s="285"/>
      <c r="Y55" s="285"/>
      <c r="Z55" s="247" t="s">
        <v>33</v>
      </c>
      <c r="AA55" s="308">
        <f>AA53-AA54</f>
        <v>51613</v>
      </c>
      <c r="AB55" s="308"/>
      <c r="AC55" s="308"/>
      <c r="AD55" s="308"/>
      <c r="AE55" s="308"/>
      <c r="AF55" s="326"/>
      <c r="AG55" s="341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49"/>
      <c r="BE55" s="249"/>
      <c r="BF55" s="249"/>
      <c r="BG55" s="249"/>
      <c r="BH55" s="249"/>
      <c r="BI55" s="249"/>
      <c r="BJ55" s="249"/>
      <c r="BK55" s="249"/>
      <c r="BL55" s="249"/>
      <c r="BM55" s="249"/>
      <c r="BN55" s="249"/>
      <c r="BO55" s="249"/>
      <c r="BP55" s="249"/>
      <c r="BQ55" s="249"/>
      <c r="BR55" s="251"/>
      <c r="BS55" s="251"/>
      <c r="BT55" s="251"/>
      <c r="BU55" s="251"/>
      <c r="BV55" s="251"/>
      <c r="BW55" s="251"/>
      <c r="BX55" s="251"/>
      <c r="BY55" s="251"/>
      <c r="BZ55" s="251"/>
      <c r="CA55" s="251"/>
      <c r="CB55" s="251"/>
      <c r="CC55" s="251"/>
      <c r="CD55" s="251"/>
      <c r="CE55" s="251"/>
      <c r="CF55" s="251"/>
      <c r="CG55" s="251"/>
    </row>
    <row r="56" s="246" customFormat="1" customHeight="1" spans="1:85">
      <c r="A56" s="280"/>
      <c r="B56" s="276"/>
      <c r="C56" s="247" t="s">
        <v>124</v>
      </c>
      <c r="D56" s="271" t="s">
        <v>125</v>
      </c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47" t="s">
        <v>33</v>
      </c>
      <c r="AA56" s="308">
        <f>'કપાટ પત્રક પેહલા ભરવુ '!S10</f>
        <v>38500</v>
      </c>
      <c r="AB56" s="308"/>
      <c r="AC56" s="308"/>
      <c r="AD56" s="308"/>
      <c r="AE56" s="308"/>
      <c r="AF56" s="326"/>
      <c r="AG56" s="341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49"/>
      <c r="BE56" s="249"/>
      <c r="BF56" s="249"/>
      <c r="BG56" s="249"/>
      <c r="BH56" s="249"/>
      <c r="BI56" s="249"/>
      <c r="BJ56" s="249"/>
      <c r="BK56" s="249"/>
      <c r="BL56" s="249"/>
      <c r="BM56" s="249"/>
      <c r="BN56" s="249"/>
      <c r="BO56" s="249"/>
      <c r="BP56" s="249"/>
      <c r="BQ56" s="249"/>
      <c r="BR56" s="251"/>
      <c r="BS56" s="251"/>
      <c r="BT56" s="251"/>
      <c r="BU56" s="251"/>
      <c r="BV56" s="251"/>
      <c r="BW56" s="251"/>
      <c r="BX56" s="251"/>
      <c r="BY56" s="251"/>
      <c r="BZ56" s="251"/>
      <c r="CA56" s="251"/>
      <c r="CB56" s="251"/>
      <c r="CC56" s="251"/>
      <c r="CD56" s="251"/>
      <c r="CE56" s="251"/>
      <c r="CF56" s="251"/>
      <c r="CG56" s="251"/>
    </row>
    <row r="57" s="246" customFormat="1" customHeight="1" spans="1:85">
      <c r="A57" s="280"/>
      <c r="B57" s="276"/>
      <c r="C57" s="247" t="s">
        <v>126</v>
      </c>
      <c r="D57" s="271" t="s">
        <v>127</v>
      </c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47" t="s">
        <v>33</v>
      </c>
      <c r="AA57" s="337">
        <f>'કપાટ પત્રક પેહલા ભરવુ '!J17</f>
        <v>13113</v>
      </c>
      <c r="AB57" s="337"/>
      <c r="AC57" s="337"/>
      <c r="AD57" s="337"/>
      <c r="AE57" s="337"/>
      <c r="AF57" s="326"/>
      <c r="AG57" s="341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49"/>
      <c r="BE57" s="249"/>
      <c r="BF57" s="249"/>
      <c r="BG57" s="249"/>
      <c r="BH57" s="249"/>
      <c r="BI57" s="249"/>
      <c r="BJ57" s="249"/>
      <c r="BK57" s="249"/>
      <c r="BL57" s="249"/>
      <c r="BM57" s="249"/>
      <c r="BN57" s="249"/>
      <c r="BO57" s="249"/>
      <c r="BP57" s="249"/>
      <c r="BQ57" s="249"/>
      <c r="BR57" s="251"/>
      <c r="BS57" s="251"/>
      <c r="BT57" s="251"/>
      <c r="BU57" s="251"/>
      <c r="BV57" s="251"/>
      <c r="BW57" s="251"/>
      <c r="BX57" s="251"/>
      <c r="BY57" s="251"/>
      <c r="BZ57" s="251"/>
      <c r="CA57" s="251"/>
      <c r="CB57" s="251"/>
      <c r="CC57" s="251"/>
      <c r="CD57" s="251"/>
      <c r="CE57" s="251"/>
      <c r="CF57" s="251"/>
      <c r="CG57" s="251"/>
    </row>
    <row r="58" s="246" customFormat="1" customHeight="1" spans="1:85">
      <c r="A58" s="280"/>
      <c r="B58" s="276"/>
      <c r="C58" s="247" t="s">
        <v>128</v>
      </c>
      <c r="D58" s="271" t="s">
        <v>129</v>
      </c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47" t="s">
        <v>33</v>
      </c>
      <c r="AA58" s="327">
        <f>AA56+AA57</f>
        <v>51613</v>
      </c>
      <c r="AB58" s="327"/>
      <c r="AC58" s="327"/>
      <c r="AD58" s="327"/>
      <c r="AE58" s="327"/>
      <c r="AF58" s="326"/>
      <c r="AG58" s="341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49"/>
      <c r="BE58" s="249"/>
      <c r="BF58" s="249"/>
      <c r="BG58" s="249"/>
      <c r="BH58" s="249"/>
      <c r="BI58" s="249"/>
      <c r="BJ58" s="249"/>
      <c r="BK58" s="249"/>
      <c r="BL58" s="249"/>
      <c r="BM58" s="249"/>
      <c r="BN58" s="249"/>
      <c r="BO58" s="249"/>
      <c r="BP58" s="249"/>
      <c r="BQ58" s="249"/>
      <c r="BR58" s="251"/>
      <c r="BS58" s="251"/>
      <c r="BT58" s="251"/>
      <c r="BU58" s="251"/>
      <c r="BV58" s="251"/>
      <c r="BW58" s="251"/>
      <c r="BX58" s="251"/>
      <c r="BY58" s="251"/>
      <c r="BZ58" s="251"/>
      <c r="CA58" s="251"/>
      <c r="CB58" s="251"/>
      <c r="CC58" s="251"/>
      <c r="CD58" s="251"/>
      <c r="CE58" s="251"/>
      <c r="CF58" s="251"/>
      <c r="CG58" s="251"/>
    </row>
    <row r="59" s="246" customFormat="1" customHeight="1" spans="1:85">
      <c r="A59" s="280"/>
      <c r="B59" s="276"/>
      <c r="C59" s="247" t="s">
        <v>130</v>
      </c>
      <c r="D59" s="271" t="s">
        <v>131</v>
      </c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47" t="s">
        <v>33</v>
      </c>
      <c r="AA59" s="338">
        <f>IF(AA58&gt;AA55,(AA58-AA55),0)</f>
        <v>0</v>
      </c>
      <c r="AB59" s="338"/>
      <c r="AC59" s="338"/>
      <c r="AD59" s="338"/>
      <c r="AE59" s="338"/>
      <c r="AF59" s="326"/>
      <c r="AG59" s="341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49"/>
      <c r="BE59" s="249"/>
      <c r="BF59" s="249"/>
      <c r="BG59" s="249"/>
      <c r="BH59" s="249"/>
      <c r="BI59" s="249"/>
      <c r="BJ59" s="249"/>
      <c r="BK59" s="249"/>
      <c r="BL59" s="249"/>
      <c r="BM59" s="249"/>
      <c r="BN59" s="249"/>
      <c r="BO59" s="249"/>
      <c r="BP59" s="249"/>
      <c r="BQ59" s="249"/>
      <c r="BR59" s="251"/>
      <c r="BS59" s="251"/>
      <c r="BT59" s="251"/>
      <c r="BU59" s="251"/>
      <c r="BV59" s="251"/>
      <c r="BW59" s="251"/>
      <c r="BX59" s="251"/>
      <c r="BY59" s="251"/>
      <c r="BZ59" s="251"/>
      <c r="CA59" s="251"/>
      <c r="CB59" s="251"/>
      <c r="CC59" s="251"/>
      <c r="CD59" s="251"/>
      <c r="CE59" s="251"/>
      <c r="CF59" s="251"/>
      <c r="CG59" s="251"/>
    </row>
    <row r="60" s="246" customFormat="1" ht="18.75" customHeight="1" spans="1:85">
      <c r="A60" s="280"/>
      <c r="B60" s="286"/>
      <c r="C60" s="287" t="s">
        <v>132</v>
      </c>
      <c r="D60" s="288"/>
      <c r="E60" s="288"/>
      <c r="F60" s="288"/>
      <c r="G60" s="288"/>
      <c r="H60" s="288"/>
      <c r="I60" s="288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339"/>
      <c r="AA60" s="339"/>
      <c r="AB60" s="339"/>
      <c r="AC60" s="339"/>
      <c r="AD60" s="339"/>
      <c r="AE60" s="339"/>
      <c r="AF60" s="340"/>
      <c r="AG60" s="341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49"/>
      <c r="BE60" s="249"/>
      <c r="BF60" s="249"/>
      <c r="BG60" s="249"/>
      <c r="BH60" s="249"/>
      <c r="BI60" s="249"/>
      <c r="BJ60" s="249"/>
      <c r="BK60" s="249"/>
      <c r="BL60" s="249"/>
      <c r="BM60" s="249"/>
      <c r="BN60" s="249"/>
      <c r="BO60" s="249"/>
      <c r="BP60" s="249"/>
      <c r="BQ60" s="249"/>
      <c r="BR60" s="251"/>
      <c r="BS60" s="251"/>
      <c r="BT60" s="251"/>
      <c r="BU60" s="251"/>
      <c r="BV60" s="251"/>
      <c r="BW60" s="251"/>
      <c r="BX60" s="251"/>
      <c r="BY60" s="251"/>
      <c r="BZ60" s="251"/>
      <c r="CA60" s="251"/>
      <c r="CB60" s="251"/>
      <c r="CC60" s="251"/>
      <c r="CD60" s="251"/>
      <c r="CE60" s="251"/>
      <c r="CF60" s="251"/>
      <c r="CG60" s="251"/>
    </row>
    <row r="61" s="248" customFormat="1" hidden="1" customHeight="1" spans="2:32">
      <c r="B61" s="289"/>
      <c r="C61" s="289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0"/>
      <c r="P61" s="290"/>
      <c r="Q61" s="290"/>
      <c r="R61" s="290"/>
      <c r="S61" s="290"/>
      <c r="T61" s="290"/>
      <c r="U61" s="290"/>
      <c r="V61" s="290"/>
      <c r="W61" s="290"/>
      <c r="X61" s="290"/>
      <c r="Y61" s="290"/>
      <c r="Z61" s="290"/>
      <c r="AA61" s="290"/>
      <c r="AB61" s="290"/>
      <c r="AC61" s="290"/>
      <c r="AD61" s="290"/>
      <c r="AE61" s="290"/>
      <c r="AF61" s="290"/>
    </row>
    <row r="62" s="249" customFormat="1" ht="24.75" hidden="1" customHeight="1" spans="2:32"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M62" s="303"/>
      <c r="N62" s="290"/>
      <c r="O62" s="290"/>
      <c r="P62" s="290"/>
      <c r="Q62" s="290"/>
      <c r="R62" s="290"/>
      <c r="S62" s="290"/>
      <c r="T62" s="290"/>
      <c r="U62" s="290"/>
      <c r="V62" s="290"/>
      <c r="W62" s="290"/>
      <c r="X62" s="290"/>
      <c r="Y62" s="290"/>
      <c r="Z62" s="290"/>
      <c r="AA62" s="290"/>
      <c r="AB62" s="290"/>
      <c r="AC62" s="290"/>
      <c r="AD62" s="290"/>
      <c r="AE62" s="290"/>
      <c r="AF62" s="290"/>
    </row>
    <row r="63" s="249" customFormat="1" hidden="1" customHeight="1" spans="2:32"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90"/>
      <c r="AB63" s="290"/>
      <c r="AC63" s="290"/>
      <c r="AD63" s="290"/>
      <c r="AE63" s="290"/>
      <c r="AF63" s="290"/>
    </row>
    <row r="64" s="249" customFormat="1" hidden="1" customHeight="1" spans="2:32"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90"/>
      <c r="AB64" s="290"/>
      <c r="AC64" s="290"/>
      <c r="AD64" s="290"/>
      <c r="AE64" s="290"/>
      <c r="AF64" s="290"/>
    </row>
    <row r="65" s="249" customFormat="1" hidden="1" customHeight="1" spans="3:26">
      <c r="C65" s="344"/>
      <c r="R65" s="352"/>
      <c r="Z65" s="352"/>
    </row>
    <row r="66" s="249" customFormat="1" hidden="1" customHeight="1" spans="3:26">
      <c r="C66" s="344"/>
      <c r="R66" s="352"/>
      <c r="Z66" s="352"/>
    </row>
    <row r="67" s="249" customFormat="1" hidden="1" customHeight="1" spans="3:27">
      <c r="C67" s="344"/>
      <c r="R67" s="352"/>
      <c r="Z67" s="366">
        <f>IF(Z41&gt;=C89,C84,IF(Z41&lt;C85,0,IF(Z41&lt;C89,Z41-C84)))</f>
        <v>250000</v>
      </c>
      <c r="AA67" s="249">
        <f>Z67*5%</f>
        <v>12500</v>
      </c>
    </row>
    <row r="68" s="249" customFormat="1" hidden="1" customHeight="1" spans="3:27">
      <c r="C68" s="344"/>
      <c r="R68" s="352"/>
      <c r="Z68" s="366">
        <f>IF(Z41&gt;=C90,C89,IF(Z41&lt;C86,0,IF(Z41&lt;C90,Z41-C89)))</f>
        <v>185640</v>
      </c>
      <c r="AA68" s="249">
        <f>Z68*20%</f>
        <v>37128</v>
      </c>
    </row>
    <row r="69" s="249" customFormat="1" hidden="1" customHeight="1" spans="3:27">
      <c r="C69" s="344"/>
      <c r="D69" s="349"/>
      <c r="N69" s="360">
        <f>SUM(L21+L22+L23+L24+L25+L26+L27+X21+X22+X23+X24+X25+X26+X27)</f>
        <v>291852</v>
      </c>
      <c r="O69" s="361">
        <f>IF(N69&gt;150000,150000,IF(N69&lt;150000,N69,150000))</f>
        <v>150000</v>
      </c>
      <c r="R69" s="352"/>
      <c r="T69" s="363"/>
      <c r="Z69" s="366">
        <f>IF(Z41&gt;C87,Z41-C87,IF(Z41&lt;C87,0))</f>
        <v>0</v>
      </c>
      <c r="AA69" s="366">
        <f>Z69*30%</f>
        <v>0</v>
      </c>
    </row>
    <row r="70" s="249" customFormat="1" hidden="1" customHeight="1" spans="2:26">
      <c r="B70" s="344"/>
      <c r="C70" s="344"/>
      <c r="N70" s="352"/>
      <c r="R70" s="352"/>
      <c r="S70" s="344"/>
      <c r="Z70" s="352"/>
    </row>
    <row r="71" s="249" customFormat="1" hidden="1" customHeight="1" spans="2:26">
      <c r="B71" s="344"/>
      <c r="C71" s="344"/>
      <c r="N71" s="352"/>
      <c r="R71" s="352"/>
      <c r="Z71" s="352"/>
    </row>
    <row r="72" s="249" customFormat="1" hidden="1" customHeight="1" spans="2:26">
      <c r="B72" s="344"/>
      <c r="C72" s="344"/>
      <c r="G72" s="344"/>
      <c r="L72" s="344"/>
      <c r="N72" s="352"/>
      <c r="O72" s="344"/>
      <c r="R72" s="352"/>
      <c r="Z72" s="352"/>
    </row>
    <row r="73" s="249" customFormat="1" hidden="1" customHeight="1" spans="2:26">
      <c r="B73" s="344"/>
      <c r="C73" s="344"/>
      <c r="J73" s="344"/>
      <c r="O73" s="344"/>
      <c r="R73" s="344"/>
      <c r="U73" s="344"/>
      <c r="Z73" s="352"/>
    </row>
    <row r="74" s="249" customFormat="1" hidden="1" customHeight="1" spans="1:26">
      <c r="A74" s="350"/>
      <c r="B74" s="350"/>
      <c r="C74" s="350"/>
      <c r="D74" s="350"/>
      <c r="E74" s="350"/>
      <c r="F74" s="350"/>
      <c r="G74" s="350"/>
      <c r="J74" s="344"/>
      <c r="N74" s="360"/>
      <c r="O74" s="344"/>
      <c r="R74" s="344"/>
      <c r="Z74" s="352"/>
    </row>
    <row r="75" s="249" customFormat="1" hidden="1" customHeight="1" spans="1:26">
      <c r="A75" s="350"/>
      <c r="B75" s="350"/>
      <c r="C75" s="350"/>
      <c r="D75" s="350"/>
      <c r="E75" s="350"/>
      <c r="F75" s="350"/>
      <c r="G75" s="350"/>
      <c r="N75" s="352"/>
      <c r="O75" s="344"/>
      <c r="R75" s="352"/>
      <c r="Z75" s="352"/>
    </row>
    <row r="76" s="249" customFormat="1" hidden="1" customHeight="1" spans="1:26">
      <c r="A76" s="350"/>
      <c r="B76" s="350"/>
      <c r="C76" s="350"/>
      <c r="D76" s="350"/>
      <c r="E76" s="350"/>
      <c r="F76" s="350"/>
      <c r="G76" s="350"/>
      <c r="N76" s="352"/>
      <c r="O76" s="344"/>
      <c r="R76" s="344"/>
      <c r="U76" s="344"/>
      <c r="Z76" s="352"/>
    </row>
    <row r="77" s="249" customFormat="1" hidden="1" customHeight="1" spans="1:26">
      <c r="A77" s="350"/>
      <c r="B77" s="350"/>
      <c r="C77" s="350"/>
      <c r="D77" s="350"/>
      <c r="E77" s="350"/>
      <c r="F77" s="350"/>
      <c r="G77" s="350"/>
      <c r="N77" s="352"/>
      <c r="O77" s="344"/>
      <c r="R77" s="352"/>
      <c r="Z77" s="352"/>
    </row>
    <row r="78" s="249" customFormat="1" hidden="1" customHeight="1" spans="1:25">
      <c r="A78" s="350"/>
      <c r="B78" s="350"/>
      <c r="C78" s="350"/>
      <c r="D78" s="350"/>
      <c r="E78" s="350"/>
      <c r="F78" s="351"/>
      <c r="G78" s="350"/>
      <c r="N78" s="352"/>
      <c r="O78" s="344"/>
      <c r="P78" s="344"/>
      <c r="Q78" s="344"/>
      <c r="R78" s="344"/>
      <c r="Y78" s="367">
        <f>IF('કપાટ પત્રક પેહલા ભરવુ '!L18=0,0,MIN('કપાટ પત્રક પેહલા ભરવુ '!L18,C103))</f>
        <v>200000</v>
      </c>
    </row>
    <row r="79" s="249" customFormat="1" hidden="1" customHeight="1" spans="1:25">
      <c r="A79" s="350"/>
      <c r="B79" s="350"/>
      <c r="C79" s="350"/>
      <c r="D79" s="350"/>
      <c r="E79" s="350"/>
      <c r="F79" s="351"/>
      <c r="G79" s="350"/>
      <c r="N79" s="352"/>
      <c r="O79" s="344"/>
      <c r="R79" s="352"/>
      <c r="Y79" s="367"/>
    </row>
    <row r="80" s="249" customFormat="1" hidden="1" customHeight="1" spans="1:26">
      <c r="A80" s="350"/>
      <c r="B80" s="350"/>
      <c r="C80" s="350"/>
      <c r="D80" s="350"/>
      <c r="E80" s="350"/>
      <c r="F80" s="351"/>
      <c r="G80" s="350"/>
      <c r="N80" s="352"/>
      <c r="R80" s="352"/>
      <c r="S80" s="344"/>
      <c r="Z80" s="352"/>
    </row>
    <row r="81" s="249" customFormat="1" hidden="1" customHeight="1" spans="1:26">
      <c r="A81" s="350"/>
      <c r="B81" s="350"/>
      <c r="C81" s="350"/>
      <c r="D81" s="350"/>
      <c r="E81" s="350"/>
      <c r="F81" s="351"/>
      <c r="G81" s="350"/>
      <c r="H81" s="352"/>
      <c r="I81" s="352"/>
      <c r="J81" s="352"/>
      <c r="K81" s="352"/>
      <c r="L81" s="352"/>
      <c r="M81" s="352"/>
      <c r="N81" s="352"/>
      <c r="R81" s="352"/>
      <c r="S81" s="344"/>
      <c r="T81" s="344"/>
      <c r="U81" s="344"/>
      <c r="V81" s="344"/>
      <c r="X81" s="344"/>
      <c r="Z81" s="352"/>
    </row>
    <row r="82" s="249" customFormat="1" hidden="1" customHeight="1" spans="1:26">
      <c r="A82" s="350"/>
      <c r="B82" s="350"/>
      <c r="C82" s="350"/>
      <c r="D82" s="350"/>
      <c r="E82" s="350"/>
      <c r="F82" s="351"/>
      <c r="G82" s="350"/>
      <c r="M82" s="362">
        <f>IF(Z41&gt;C97,0,IF(Z41&lt;C97,AA48,IF(Z41&lt;=C97,C98)))</f>
        <v>0</v>
      </c>
      <c r="R82" s="352"/>
      <c r="S82" s="344"/>
      <c r="Z82" s="352"/>
    </row>
    <row r="83" s="249" customFormat="1" hidden="1" customHeight="1" spans="1:26">
      <c r="A83" s="350"/>
      <c r="B83" s="350"/>
      <c r="C83" s="350"/>
      <c r="D83" s="350"/>
      <c r="E83" s="350"/>
      <c r="F83" s="350"/>
      <c r="G83" s="350"/>
      <c r="N83" s="352"/>
      <c r="O83" s="344"/>
      <c r="R83" s="352"/>
      <c r="S83" s="344"/>
      <c r="Z83" s="352"/>
    </row>
    <row r="84" s="249" customFormat="1" hidden="1" customHeight="1" spans="1:26">
      <c r="A84" s="350"/>
      <c r="B84" s="350"/>
      <c r="C84" s="353">
        <v>250000</v>
      </c>
      <c r="D84" s="290"/>
      <c r="E84" s="290"/>
      <c r="F84" s="350"/>
      <c r="G84" s="350"/>
      <c r="N84" s="352"/>
      <c r="R84" s="352"/>
      <c r="S84" s="344"/>
      <c r="Z84" s="352"/>
    </row>
    <row r="85" s="249" customFormat="1" hidden="1" customHeight="1" spans="2:26">
      <c r="B85" s="344"/>
      <c r="C85" s="353">
        <v>250001</v>
      </c>
      <c r="D85" s="290"/>
      <c r="E85" s="290"/>
      <c r="N85" s="352"/>
      <c r="R85" s="352"/>
      <c r="S85" s="344"/>
      <c r="Z85" s="352"/>
    </row>
    <row r="86" s="249" customFormat="1" hidden="1" customHeight="1" spans="2:26">
      <c r="B86" s="344"/>
      <c r="C86" s="353">
        <v>500001</v>
      </c>
      <c r="D86" s="290"/>
      <c r="E86" s="290"/>
      <c r="N86" s="352"/>
      <c r="R86" s="352"/>
      <c r="S86" s="344"/>
      <c r="Z86" s="352"/>
    </row>
    <row r="87" s="249" customFormat="1" hidden="1" customHeight="1" spans="2:26">
      <c r="B87" s="344"/>
      <c r="C87" s="353">
        <v>1000001</v>
      </c>
      <c r="D87" s="290"/>
      <c r="E87" s="290"/>
      <c r="N87" s="352"/>
      <c r="R87" s="352"/>
      <c r="S87" s="344"/>
      <c r="Z87" s="352"/>
    </row>
    <row r="88" s="249" customFormat="1" hidden="1" customHeight="1" spans="2:26">
      <c r="B88" s="344"/>
      <c r="C88" s="344"/>
      <c r="N88" s="352"/>
      <c r="R88" s="352"/>
      <c r="S88" s="344"/>
      <c r="Z88" s="352"/>
    </row>
    <row r="89" s="249" customFormat="1" hidden="1" customHeight="1" spans="2:26">
      <c r="B89" s="344"/>
      <c r="C89" s="353">
        <v>500000</v>
      </c>
      <c r="D89" s="290"/>
      <c r="E89" s="290"/>
      <c r="M89" s="362">
        <f>ROUND(AA51*C100,0)</f>
        <v>1985</v>
      </c>
      <c r="N89" s="352"/>
      <c r="R89" s="352"/>
      <c r="S89" s="344"/>
      <c r="Z89" s="352"/>
    </row>
    <row r="90" s="249" customFormat="1" hidden="1" customHeight="1" spans="3:26">
      <c r="C90" s="353">
        <v>1000000</v>
      </c>
      <c r="D90" s="290"/>
      <c r="E90" s="290"/>
      <c r="R90" s="352"/>
      <c r="Z90" s="352"/>
    </row>
    <row r="91" s="249" customFormat="1" hidden="1" customHeight="1" spans="3:26">
      <c r="C91" s="344"/>
      <c r="R91" s="352"/>
      <c r="Z91" s="352"/>
    </row>
    <row r="92" s="249" customFormat="1" hidden="1" customHeight="1" spans="3:26">
      <c r="C92" s="354">
        <v>0.05</v>
      </c>
      <c r="D92" s="354"/>
      <c r="R92" s="352"/>
      <c r="Z92" s="352"/>
    </row>
    <row r="93" s="249" customFormat="1" hidden="1" customHeight="1" spans="3:26">
      <c r="C93" s="354">
        <v>0.2</v>
      </c>
      <c r="D93" s="354"/>
      <c r="R93" s="352"/>
      <c r="Z93" s="352"/>
    </row>
    <row r="94" s="249" customFormat="1" hidden="1" customHeight="1" spans="3:26">
      <c r="C94" s="354">
        <v>0.3</v>
      </c>
      <c r="D94" s="354"/>
      <c r="R94" s="352"/>
      <c r="Z94" s="352"/>
    </row>
    <row r="95" s="249" customFormat="1" hidden="1" customHeight="1" spans="3:26">
      <c r="C95" s="344"/>
      <c r="R95" s="352"/>
      <c r="Z95" s="352"/>
    </row>
    <row r="96" s="249" customFormat="1" hidden="1" customHeight="1" spans="3:26">
      <c r="C96" s="344"/>
      <c r="R96" s="352"/>
      <c r="Z96" s="352"/>
    </row>
    <row r="97" s="249" customFormat="1" hidden="1" customHeight="1" spans="3:26">
      <c r="C97" s="349">
        <v>500000</v>
      </c>
      <c r="R97" s="352"/>
      <c r="Z97" s="352"/>
    </row>
    <row r="98" s="249" customFormat="1" hidden="1" customHeight="1" spans="3:26">
      <c r="C98" s="349">
        <v>12500</v>
      </c>
      <c r="R98" s="352"/>
      <c r="Z98" s="352"/>
    </row>
    <row r="99" s="249" customFormat="1" hidden="1" customHeight="1" spans="3:26">
      <c r="C99" s="344"/>
      <c r="R99" s="352"/>
      <c r="Z99" s="352"/>
    </row>
    <row r="100" s="249" customFormat="1" hidden="1" customHeight="1" spans="3:26">
      <c r="C100" s="355">
        <v>0.04</v>
      </c>
      <c r="R100" s="352"/>
      <c r="Z100" s="352"/>
    </row>
    <row r="101" s="249" customFormat="1" hidden="1" customHeight="1" spans="3:26">
      <c r="C101" s="344"/>
      <c r="R101" s="352"/>
      <c r="Z101" s="352"/>
    </row>
    <row r="102" s="249" customFormat="1" hidden="1" customHeight="1" spans="3:26">
      <c r="C102" s="344"/>
      <c r="R102" s="352"/>
      <c r="Z102" s="352"/>
    </row>
    <row r="103" s="249" customFormat="1" customHeight="1" spans="1:33">
      <c r="A103" s="356"/>
      <c r="B103" s="357"/>
      <c r="C103" s="358">
        <v>200000</v>
      </c>
      <c r="D103" s="357"/>
      <c r="E103" s="357"/>
      <c r="F103" s="357"/>
      <c r="G103" s="357"/>
      <c r="H103" s="357"/>
      <c r="I103" s="357"/>
      <c r="J103" s="357"/>
      <c r="K103" s="357"/>
      <c r="L103" s="357"/>
      <c r="M103" s="357"/>
      <c r="N103" s="357"/>
      <c r="O103" s="357"/>
      <c r="P103" s="357"/>
      <c r="Q103" s="357"/>
      <c r="R103" s="364"/>
      <c r="S103" s="357"/>
      <c r="T103" s="357"/>
      <c r="U103" s="357"/>
      <c r="V103" s="357"/>
      <c r="W103" s="357"/>
      <c r="X103" s="357"/>
      <c r="Y103" s="357"/>
      <c r="Z103" s="364"/>
      <c r="AA103" s="357"/>
      <c r="AB103" s="357"/>
      <c r="AC103" s="357"/>
      <c r="AD103" s="357"/>
      <c r="AE103" s="357"/>
      <c r="AF103" s="357"/>
      <c r="AG103" s="356"/>
    </row>
    <row r="104" s="249" customFormat="1" hidden="1" customHeight="1" spans="1:33">
      <c r="A104" s="356"/>
      <c r="B104" s="356"/>
      <c r="C104" s="359"/>
      <c r="D104" s="356"/>
      <c r="E104" s="356"/>
      <c r="F104" s="356"/>
      <c r="G104" s="356"/>
      <c r="H104" s="356"/>
      <c r="I104" s="356"/>
      <c r="J104" s="356"/>
      <c r="K104" s="356"/>
      <c r="L104" s="356"/>
      <c r="M104" s="356"/>
      <c r="N104" s="356"/>
      <c r="O104" s="356"/>
      <c r="P104" s="356"/>
      <c r="Q104" s="356"/>
      <c r="R104" s="365"/>
      <c r="S104" s="356"/>
      <c r="T104" s="356"/>
      <c r="U104" s="356"/>
      <c r="V104" s="356"/>
      <c r="W104" s="356"/>
      <c r="X104" s="356"/>
      <c r="Y104" s="356"/>
      <c r="Z104" s="365"/>
      <c r="AA104" s="356"/>
      <c r="AB104" s="356"/>
      <c r="AC104" s="356"/>
      <c r="AD104" s="356"/>
      <c r="AE104" s="356"/>
      <c r="AF104" s="356"/>
      <c r="AG104" s="356"/>
    </row>
    <row r="105" s="249" customFormat="1" hidden="1" customHeight="1" spans="1:33">
      <c r="A105" s="356"/>
      <c r="B105" s="356"/>
      <c r="C105" s="359"/>
      <c r="D105" s="356"/>
      <c r="E105" s="356"/>
      <c r="F105" s="356"/>
      <c r="G105" s="356"/>
      <c r="H105" s="356"/>
      <c r="I105" s="356"/>
      <c r="J105" s="356"/>
      <c r="K105" s="356"/>
      <c r="L105" s="356"/>
      <c r="M105" s="356"/>
      <c r="N105" s="356"/>
      <c r="O105" s="356"/>
      <c r="P105" s="356"/>
      <c r="Q105" s="356"/>
      <c r="R105" s="365"/>
      <c r="S105" s="356"/>
      <c r="T105" s="356"/>
      <c r="U105" s="356"/>
      <c r="V105" s="356"/>
      <c r="W105" s="356"/>
      <c r="X105" s="356"/>
      <c r="Y105" s="356"/>
      <c r="Z105" s="365"/>
      <c r="AA105" s="356"/>
      <c r="AB105" s="356"/>
      <c r="AC105" s="356"/>
      <c r="AD105" s="356"/>
      <c r="AE105" s="356"/>
      <c r="AF105" s="356"/>
      <c r="AG105" s="356"/>
    </row>
    <row r="106" s="249" customFormat="1" hidden="1" customHeight="1" spans="1:33">
      <c r="A106" s="356"/>
      <c r="B106" s="356"/>
      <c r="C106" s="359"/>
      <c r="D106" s="356"/>
      <c r="E106" s="356"/>
      <c r="F106" s="356"/>
      <c r="G106" s="356"/>
      <c r="H106" s="356"/>
      <c r="I106" s="356"/>
      <c r="J106" s="356"/>
      <c r="K106" s="356"/>
      <c r="L106" s="356"/>
      <c r="M106" s="356"/>
      <c r="N106" s="356"/>
      <c r="O106" s="356"/>
      <c r="P106" s="356"/>
      <c r="Q106" s="356"/>
      <c r="R106" s="365"/>
      <c r="S106" s="356"/>
      <c r="T106" s="356"/>
      <c r="U106" s="356"/>
      <c r="V106" s="356"/>
      <c r="W106" s="356"/>
      <c r="X106" s="356"/>
      <c r="Y106" s="356"/>
      <c r="Z106" s="365"/>
      <c r="AA106" s="356"/>
      <c r="AB106" s="356"/>
      <c r="AC106" s="356"/>
      <c r="AD106" s="356"/>
      <c r="AE106" s="356"/>
      <c r="AF106" s="356"/>
      <c r="AG106" s="356"/>
    </row>
    <row r="107" s="249" customFormat="1" hidden="1" customHeight="1" spans="1:33">
      <c r="A107" s="356"/>
      <c r="B107" s="356"/>
      <c r="C107" s="359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65"/>
      <c r="S107" s="356"/>
      <c r="T107" s="356"/>
      <c r="U107" s="356"/>
      <c r="V107" s="356"/>
      <c r="W107" s="356"/>
      <c r="X107" s="356"/>
      <c r="Y107" s="356"/>
      <c r="Z107" s="365"/>
      <c r="AA107" s="356"/>
      <c r="AB107" s="356"/>
      <c r="AC107" s="356"/>
      <c r="AD107" s="356"/>
      <c r="AE107" s="356"/>
      <c r="AF107" s="356"/>
      <c r="AG107" s="356"/>
    </row>
    <row r="108" s="249" customFormat="1" hidden="1" customHeight="1" spans="1:33">
      <c r="A108" s="356"/>
      <c r="B108" s="356"/>
      <c r="C108" s="359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65"/>
      <c r="S108" s="356"/>
      <c r="T108" s="356"/>
      <c r="U108" s="356"/>
      <c r="V108" s="356"/>
      <c r="W108" s="356"/>
      <c r="X108" s="356"/>
      <c r="Y108" s="356"/>
      <c r="Z108" s="365"/>
      <c r="AA108" s="356"/>
      <c r="AB108" s="356"/>
      <c r="AC108" s="356"/>
      <c r="AD108" s="356"/>
      <c r="AE108" s="356"/>
      <c r="AF108" s="356"/>
      <c r="AG108" s="356"/>
    </row>
    <row r="109" s="249" customFormat="1" hidden="1" customHeight="1" spans="1:33">
      <c r="A109" s="356"/>
      <c r="B109" s="356"/>
      <c r="C109" s="359"/>
      <c r="D109" s="356"/>
      <c r="E109" s="356"/>
      <c r="F109" s="356"/>
      <c r="G109" s="356"/>
      <c r="H109" s="356"/>
      <c r="I109" s="356"/>
      <c r="J109" s="356"/>
      <c r="K109" s="356"/>
      <c r="L109" s="356"/>
      <c r="M109" s="356"/>
      <c r="N109" s="356"/>
      <c r="O109" s="356"/>
      <c r="P109" s="356"/>
      <c r="Q109" s="356"/>
      <c r="R109" s="365"/>
      <c r="S109" s="356"/>
      <c r="T109" s="356"/>
      <c r="U109" s="356"/>
      <c r="V109" s="356"/>
      <c r="W109" s="356"/>
      <c r="X109" s="356"/>
      <c r="Y109" s="356"/>
      <c r="Z109" s="365"/>
      <c r="AA109" s="356"/>
      <c r="AB109" s="356"/>
      <c r="AC109" s="356"/>
      <c r="AD109" s="356"/>
      <c r="AE109" s="356"/>
      <c r="AF109" s="356"/>
      <c r="AG109" s="356"/>
    </row>
    <row r="110" s="249" customFormat="1" hidden="1" customHeight="1" spans="1:33">
      <c r="A110" s="356"/>
      <c r="B110" s="356"/>
      <c r="C110" s="359"/>
      <c r="D110" s="356"/>
      <c r="E110" s="356"/>
      <c r="F110" s="356"/>
      <c r="G110" s="356"/>
      <c r="H110" s="356"/>
      <c r="I110" s="356"/>
      <c r="J110" s="356"/>
      <c r="K110" s="356"/>
      <c r="L110" s="356"/>
      <c r="M110" s="356"/>
      <c r="N110" s="356"/>
      <c r="O110" s="356"/>
      <c r="P110" s="356"/>
      <c r="Q110" s="356"/>
      <c r="R110" s="365"/>
      <c r="S110" s="356"/>
      <c r="T110" s="356"/>
      <c r="U110" s="356"/>
      <c r="V110" s="356"/>
      <c r="W110" s="356"/>
      <c r="X110" s="356"/>
      <c r="Y110" s="356"/>
      <c r="Z110" s="365"/>
      <c r="AA110" s="356"/>
      <c r="AB110" s="356"/>
      <c r="AC110" s="356"/>
      <c r="AD110" s="356"/>
      <c r="AE110" s="356"/>
      <c r="AF110" s="356"/>
      <c r="AG110" s="356"/>
    </row>
    <row r="111" s="249" customFormat="1" hidden="1" customHeight="1" spans="1:33">
      <c r="A111" s="356"/>
      <c r="B111" s="356"/>
      <c r="C111" s="359"/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56"/>
      <c r="Q111" s="356"/>
      <c r="R111" s="365"/>
      <c r="S111" s="356"/>
      <c r="T111" s="356"/>
      <c r="U111" s="356"/>
      <c r="V111" s="356"/>
      <c r="W111" s="356"/>
      <c r="X111" s="356"/>
      <c r="Y111" s="356"/>
      <c r="Z111" s="365"/>
      <c r="AA111" s="356"/>
      <c r="AB111" s="356"/>
      <c r="AC111" s="356"/>
      <c r="AD111" s="356"/>
      <c r="AE111" s="356"/>
      <c r="AF111" s="356"/>
      <c r="AG111" s="356"/>
    </row>
    <row r="112" s="249" customFormat="1" hidden="1" customHeight="1" spans="1:33">
      <c r="A112" s="356"/>
      <c r="B112" s="356"/>
      <c r="C112" s="359"/>
      <c r="D112" s="356"/>
      <c r="E112" s="356"/>
      <c r="F112" s="356"/>
      <c r="G112" s="356"/>
      <c r="H112" s="356"/>
      <c r="I112" s="356"/>
      <c r="J112" s="356"/>
      <c r="K112" s="356"/>
      <c r="L112" s="356"/>
      <c r="M112" s="356"/>
      <c r="N112" s="356"/>
      <c r="O112" s="356"/>
      <c r="P112" s="356"/>
      <c r="Q112" s="356"/>
      <c r="R112" s="365"/>
      <c r="S112" s="356"/>
      <c r="T112" s="356"/>
      <c r="U112" s="356"/>
      <c r="V112" s="356"/>
      <c r="W112" s="356"/>
      <c r="X112" s="356"/>
      <c r="Y112" s="356"/>
      <c r="Z112" s="365"/>
      <c r="AA112" s="356"/>
      <c r="AB112" s="356"/>
      <c r="AC112" s="356"/>
      <c r="AD112" s="356"/>
      <c r="AE112" s="356"/>
      <c r="AF112" s="356"/>
      <c r="AG112" s="356"/>
    </row>
    <row r="113" s="249" customFormat="1" hidden="1" customHeight="1" spans="1:33">
      <c r="A113" s="356"/>
      <c r="B113" s="356"/>
      <c r="C113" s="359"/>
      <c r="D113" s="356"/>
      <c r="E113" s="356"/>
      <c r="F113" s="356"/>
      <c r="G113" s="356"/>
      <c r="H113" s="356"/>
      <c r="I113" s="356"/>
      <c r="J113" s="356"/>
      <c r="K113" s="356"/>
      <c r="L113" s="356"/>
      <c r="M113" s="356"/>
      <c r="N113" s="356"/>
      <c r="O113" s="356"/>
      <c r="P113" s="356"/>
      <c r="Q113" s="356"/>
      <c r="R113" s="365"/>
      <c r="S113" s="356"/>
      <c r="T113" s="356"/>
      <c r="U113" s="356"/>
      <c r="V113" s="356"/>
      <c r="W113" s="356"/>
      <c r="X113" s="356"/>
      <c r="Y113" s="356"/>
      <c r="Z113" s="365"/>
      <c r="AA113" s="356"/>
      <c r="AB113" s="356"/>
      <c r="AC113" s="356"/>
      <c r="AD113" s="356"/>
      <c r="AE113" s="356"/>
      <c r="AF113" s="356"/>
      <c r="AG113" s="356"/>
    </row>
    <row r="114" s="249" customFormat="1" hidden="1" customHeight="1" spans="1:33">
      <c r="A114" s="356"/>
      <c r="B114" s="356"/>
      <c r="C114" s="359"/>
      <c r="D114" s="356"/>
      <c r="E114" s="356"/>
      <c r="F114" s="356"/>
      <c r="G114" s="356"/>
      <c r="H114" s="356"/>
      <c r="I114" s="356"/>
      <c r="J114" s="356"/>
      <c r="K114" s="356"/>
      <c r="L114" s="356"/>
      <c r="M114" s="356"/>
      <c r="N114" s="356"/>
      <c r="O114" s="356"/>
      <c r="P114" s="356"/>
      <c r="Q114" s="356"/>
      <c r="R114" s="365"/>
      <c r="S114" s="356"/>
      <c r="T114" s="356"/>
      <c r="U114" s="356"/>
      <c r="V114" s="356"/>
      <c r="W114" s="356"/>
      <c r="X114" s="356"/>
      <c r="Y114" s="356"/>
      <c r="Z114" s="365"/>
      <c r="AA114" s="356"/>
      <c r="AB114" s="356"/>
      <c r="AC114" s="356"/>
      <c r="AD114" s="356"/>
      <c r="AE114" s="356"/>
      <c r="AF114" s="356"/>
      <c r="AG114" s="356"/>
    </row>
    <row r="115" s="249" customFormat="1" hidden="1" customHeight="1" spans="1:33">
      <c r="A115" s="356"/>
      <c r="B115" s="356"/>
      <c r="C115" s="359"/>
      <c r="D115" s="356"/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65"/>
      <c r="S115" s="356"/>
      <c r="T115" s="356"/>
      <c r="U115" s="356"/>
      <c r="V115" s="356"/>
      <c r="W115" s="356"/>
      <c r="X115" s="356"/>
      <c r="Y115" s="356"/>
      <c r="Z115" s="365"/>
      <c r="AA115" s="356"/>
      <c r="AB115" s="356"/>
      <c r="AC115" s="356"/>
      <c r="AD115" s="356"/>
      <c r="AE115" s="356"/>
      <c r="AF115" s="356"/>
      <c r="AG115" s="356"/>
    </row>
    <row r="116" s="249" customFormat="1" hidden="1" customHeight="1" spans="1:33">
      <c r="A116" s="356"/>
      <c r="B116" s="356"/>
      <c r="C116" s="359"/>
      <c r="D116" s="356"/>
      <c r="E116" s="356"/>
      <c r="F116" s="356"/>
      <c r="G116" s="356"/>
      <c r="H116" s="356"/>
      <c r="I116" s="356"/>
      <c r="J116" s="356"/>
      <c r="K116" s="356"/>
      <c r="L116" s="356"/>
      <c r="M116" s="356"/>
      <c r="N116" s="356"/>
      <c r="O116" s="356"/>
      <c r="P116" s="356"/>
      <c r="Q116" s="356"/>
      <c r="R116" s="365"/>
      <c r="S116" s="356"/>
      <c r="T116" s="356"/>
      <c r="U116" s="356"/>
      <c r="V116" s="356"/>
      <c r="W116" s="356"/>
      <c r="X116" s="356"/>
      <c r="Y116" s="356"/>
      <c r="Z116" s="365"/>
      <c r="AA116" s="356"/>
      <c r="AB116" s="356"/>
      <c r="AC116" s="356"/>
      <c r="AD116" s="356"/>
      <c r="AE116" s="356"/>
      <c r="AF116" s="356"/>
      <c r="AG116" s="356"/>
    </row>
    <row r="117" s="249" customFormat="1" hidden="1" customHeight="1" spans="1:33">
      <c r="A117" s="356"/>
      <c r="B117" s="356"/>
      <c r="C117" s="359"/>
      <c r="D117" s="356"/>
      <c r="E117" s="356"/>
      <c r="F117" s="356"/>
      <c r="G117" s="356"/>
      <c r="H117" s="356"/>
      <c r="I117" s="356"/>
      <c r="J117" s="356"/>
      <c r="K117" s="356"/>
      <c r="L117" s="356"/>
      <c r="M117" s="356"/>
      <c r="N117" s="356"/>
      <c r="O117" s="356"/>
      <c r="P117" s="356"/>
      <c r="Q117" s="356"/>
      <c r="R117" s="365"/>
      <c r="S117" s="356"/>
      <c r="T117" s="356"/>
      <c r="U117" s="356"/>
      <c r="V117" s="356"/>
      <c r="W117" s="356"/>
      <c r="X117" s="356"/>
      <c r="Y117" s="356"/>
      <c r="Z117" s="365"/>
      <c r="AA117" s="356"/>
      <c r="AB117" s="356"/>
      <c r="AC117" s="356"/>
      <c r="AD117" s="356"/>
      <c r="AE117" s="356"/>
      <c r="AF117" s="356"/>
      <c r="AG117" s="356"/>
    </row>
    <row r="118" s="249" customFormat="1" hidden="1" customHeight="1" spans="1:33">
      <c r="A118" s="356"/>
      <c r="B118" s="356"/>
      <c r="C118" s="359"/>
      <c r="D118" s="356"/>
      <c r="E118" s="356"/>
      <c r="F118" s="356"/>
      <c r="G118" s="356"/>
      <c r="H118" s="356"/>
      <c r="I118" s="356"/>
      <c r="J118" s="356"/>
      <c r="K118" s="356"/>
      <c r="L118" s="356"/>
      <c r="M118" s="356"/>
      <c r="N118" s="356"/>
      <c r="O118" s="356"/>
      <c r="P118" s="356"/>
      <c r="Q118" s="356"/>
      <c r="R118" s="365"/>
      <c r="S118" s="356"/>
      <c r="T118" s="356"/>
      <c r="U118" s="356"/>
      <c r="V118" s="356"/>
      <c r="W118" s="356"/>
      <c r="X118" s="356"/>
      <c r="Y118" s="356"/>
      <c r="Z118" s="365"/>
      <c r="AA118" s="356"/>
      <c r="AB118" s="356"/>
      <c r="AC118" s="356"/>
      <c r="AD118" s="356"/>
      <c r="AE118" s="356"/>
      <c r="AF118" s="356"/>
      <c r="AG118" s="356"/>
    </row>
    <row r="119" s="249" customFormat="1" hidden="1" customHeight="1" spans="1:33">
      <c r="A119" s="356"/>
      <c r="B119" s="356"/>
      <c r="C119" s="359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6"/>
      <c r="P119" s="356"/>
      <c r="Q119" s="356"/>
      <c r="R119" s="365"/>
      <c r="S119" s="356"/>
      <c r="T119" s="356"/>
      <c r="U119" s="356"/>
      <c r="V119" s="356"/>
      <c r="W119" s="356"/>
      <c r="X119" s="356"/>
      <c r="Y119" s="356"/>
      <c r="Z119" s="365"/>
      <c r="AA119" s="356"/>
      <c r="AB119" s="356"/>
      <c r="AC119" s="356"/>
      <c r="AD119" s="356"/>
      <c r="AE119" s="356"/>
      <c r="AF119" s="356"/>
      <c r="AG119" s="356"/>
    </row>
    <row r="120" s="249" customFormat="1" hidden="1" customHeight="1" spans="1:33">
      <c r="A120" s="356"/>
      <c r="B120" s="356"/>
      <c r="C120" s="359"/>
      <c r="D120" s="356"/>
      <c r="E120" s="356"/>
      <c r="F120" s="356"/>
      <c r="G120" s="356"/>
      <c r="H120" s="356"/>
      <c r="I120" s="356"/>
      <c r="J120" s="356"/>
      <c r="K120" s="356"/>
      <c r="L120" s="356"/>
      <c r="M120" s="356"/>
      <c r="N120" s="356"/>
      <c r="O120" s="356"/>
      <c r="P120" s="356"/>
      <c r="Q120" s="356"/>
      <c r="R120" s="365"/>
      <c r="S120" s="356"/>
      <c r="T120" s="356"/>
      <c r="U120" s="356"/>
      <c r="V120" s="356"/>
      <c r="W120" s="356"/>
      <c r="X120" s="356"/>
      <c r="Y120" s="356"/>
      <c r="Z120" s="365"/>
      <c r="AA120" s="356"/>
      <c r="AB120" s="356"/>
      <c r="AC120" s="356"/>
      <c r="AD120" s="356"/>
      <c r="AE120" s="356"/>
      <c r="AF120" s="356"/>
      <c r="AG120" s="356"/>
    </row>
    <row r="121" s="249" customFormat="1" hidden="1" customHeight="1" spans="1:33">
      <c r="A121" s="356"/>
      <c r="B121" s="356"/>
      <c r="C121" s="359"/>
      <c r="D121" s="356"/>
      <c r="E121" s="356"/>
      <c r="F121" s="356"/>
      <c r="G121" s="356"/>
      <c r="H121" s="356"/>
      <c r="I121" s="356"/>
      <c r="J121" s="356"/>
      <c r="K121" s="356"/>
      <c r="L121" s="356"/>
      <c r="M121" s="356"/>
      <c r="N121" s="356"/>
      <c r="O121" s="356"/>
      <c r="P121" s="356"/>
      <c r="Q121" s="356"/>
      <c r="R121" s="365"/>
      <c r="S121" s="356"/>
      <c r="T121" s="356"/>
      <c r="U121" s="356"/>
      <c r="V121" s="356"/>
      <c r="W121" s="356"/>
      <c r="X121" s="356"/>
      <c r="Y121" s="356"/>
      <c r="Z121" s="365"/>
      <c r="AA121" s="356"/>
      <c r="AB121" s="356"/>
      <c r="AC121" s="356"/>
      <c r="AD121" s="356"/>
      <c r="AE121" s="356"/>
      <c r="AF121" s="356"/>
      <c r="AG121" s="356"/>
    </row>
    <row r="122" s="249" customFormat="1" hidden="1" customHeight="1" spans="1:33">
      <c r="A122" s="356"/>
      <c r="B122" s="356"/>
      <c r="C122" s="359"/>
      <c r="D122" s="356"/>
      <c r="E122" s="356"/>
      <c r="F122" s="356"/>
      <c r="G122" s="356"/>
      <c r="H122" s="356"/>
      <c r="I122" s="356"/>
      <c r="J122" s="356"/>
      <c r="K122" s="356"/>
      <c r="L122" s="356"/>
      <c r="M122" s="356"/>
      <c r="N122" s="356"/>
      <c r="O122" s="356"/>
      <c r="P122" s="356"/>
      <c r="Q122" s="356"/>
      <c r="R122" s="365"/>
      <c r="S122" s="356"/>
      <c r="T122" s="356"/>
      <c r="U122" s="356"/>
      <c r="V122" s="356"/>
      <c r="W122" s="356"/>
      <c r="X122" s="356"/>
      <c r="Y122" s="356"/>
      <c r="Z122" s="365"/>
      <c r="AA122" s="356"/>
      <c r="AB122" s="356"/>
      <c r="AC122" s="356"/>
      <c r="AD122" s="356"/>
      <c r="AE122" s="356"/>
      <c r="AF122" s="356"/>
      <c r="AG122" s="356"/>
    </row>
    <row r="123" s="249" customFormat="1" hidden="1" customHeight="1" spans="1:33">
      <c r="A123" s="356"/>
      <c r="B123" s="356"/>
      <c r="C123" s="359"/>
      <c r="D123" s="356"/>
      <c r="E123" s="356"/>
      <c r="F123" s="356"/>
      <c r="G123" s="356"/>
      <c r="H123" s="356"/>
      <c r="I123" s="356"/>
      <c r="J123" s="356"/>
      <c r="K123" s="356"/>
      <c r="L123" s="356"/>
      <c r="M123" s="356"/>
      <c r="N123" s="356"/>
      <c r="O123" s="356"/>
      <c r="P123" s="356"/>
      <c r="Q123" s="356"/>
      <c r="R123" s="365"/>
      <c r="S123" s="356"/>
      <c r="T123" s="356"/>
      <c r="U123" s="356"/>
      <c r="V123" s="356"/>
      <c r="W123" s="356"/>
      <c r="X123" s="356"/>
      <c r="Y123" s="356"/>
      <c r="Z123" s="365"/>
      <c r="AA123" s="356"/>
      <c r="AB123" s="356"/>
      <c r="AC123" s="356"/>
      <c r="AD123" s="356"/>
      <c r="AE123" s="356"/>
      <c r="AF123" s="356"/>
      <c r="AG123" s="356"/>
    </row>
    <row r="124" s="249" customFormat="1" hidden="1" customHeight="1" spans="1:33">
      <c r="A124" s="356"/>
      <c r="B124" s="356"/>
      <c r="C124" s="359"/>
      <c r="D124" s="356"/>
      <c r="E124" s="356"/>
      <c r="F124" s="356"/>
      <c r="G124" s="356"/>
      <c r="H124" s="356"/>
      <c r="I124" s="356"/>
      <c r="J124" s="356"/>
      <c r="K124" s="356"/>
      <c r="L124" s="356"/>
      <c r="M124" s="356"/>
      <c r="N124" s="356"/>
      <c r="O124" s="356"/>
      <c r="P124" s="356"/>
      <c r="Q124" s="356"/>
      <c r="R124" s="365"/>
      <c r="S124" s="356"/>
      <c r="T124" s="356"/>
      <c r="U124" s="356"/>
      <c r="V124" s="356"/>
      <c r="W124" s="356"/>
      <c r="X124" s="356"/>
      <c r="Y124" s="356"/>
      <c r="Z124" s="365"/>
      <c r="AA124" s="356"/>
      <c r="AB124" s="356"/>
      <c r="AC124" s="356"/>
      <c r="AD124" s="356"/>
      <c r="AE124" s="356"/>
      <c r="AF124" s="356"/>
      <c r="AG124" s="356"/>
    </row>
    <row r="125" s="249" customFormat="1" hidden="1" customHeight="1" spans="1:33">
      <c r="A125" s="356"/>
      <c r="B125" s="356"/>
      <c r="C125" s="359"/>
      <c r="D125" s="356"/>
      <c r="E125" s="356"/>
      <c r="F125" s="356"/>
      <c r="G125" s="356"/>
      <c r="H125" s="356"/>
      <c r="I125" s="356"/>
      <c r="J125" s="356"/>
      <c r="K125" s="356"/>
      <c r="L125" s="356"/>
      <c r="M125" s="356"/>
      <c r="N125" s="356"/>
      <c r="O125" s="356"/>
      <c r="P125" s="356"/>
      <c r="Q125" s="356"/>
      <c r="R125" s="365"/>
      <c r="S125" s="356"/>
      <c r="T125" s="356"/>
      <c r="U125" s="356"/>
      <c r="V125" s="356"/>
      <c r="W125" s="356"/>
      <c r="X125" s="356"/>
      <c r="Y125" s="356"/>
      <c r="Z125" s="365"/>
      <c r="AA125" s="356"/>
      <c r="AB125" s="356"/>
      <c r="AC125" s="356"/>
      <c r="AD125" s="356"/>
      <c r="AE125" s="356"/>
      <c r="AF125" s="356"/>
      <c r="AG125" s="356"/>
    </row>
    <row r="126" s="249" customFormat="1" hidden="1" customHeight="1" spans="1:33">
      <c r="A126" s="356"/>
      <c r="B126" s="356"/>
      <c r="C126" s="359"/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6"/>
      <c r="Q126" s="356"/>
      <c r="R126" s="365"/>
      <c r="S126" s="356"/>
      <c r="T126" s="356"/>
      <c r="U126" s="356"/>
      <c r="V126" s="356"/>
      <c r="W126" s="356"/>
      <c r="X126" s="356"/>
      <c r="Y126" s="356"/>
      <c r="Z126" s="365"/>
      <c r="AA126" s="356"/>
      <c r="AB126" s="356"/>
      <c r="AC126" s="356"/>
      <c r="AD126" s="356"/>
      <c r="AE126" s="356"/>
      <c r="AF126" s="356"/>
      <c r="AG126" s="356"/>
    </row>
    <row r="127" s="249" customFormat="1" hidden="1" customHeight="1" spans="1:33">
      <c r="A127" s="356"/>
      <c r="B127" s="356"/>
      <c r="C127" s="359"/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6"/>
      <c r="Q127" s="356"/>
      <c r="R127" s="365"/>
      <c r="S127" s="356"/>
      <c r="T127" s="356"/>
      <c r="U127" s="356"/>
      <c r="V127" s="356"/>
      <c r="W127" s="356"/>
      <c r="X127" s="356"/>
      <c r="Y127" s="356"/>
      <c r="Z127" s="365"/>
      <c r="AA127" s="356"/>
      <c r="AB127" s="356"/>
      <c r="AC127" s="356"/>
      <c r="AD127" s="356"/>
      <c r="AE127" s="356"/>
      <c r="AF127" s="356"/>
      <c r="AG127" s="356"/>
    </row>
    <row r="128" s="249" customFormat="1" hidden="1" customHeight="1" spans="1:33">
      <c r="A128" s="356"/>
      <c r="B128" s="356"/>
      <c r="C128" s="359"/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6"/>
      <c r="Q128" s="356"/>
      <c r="R128" s="365"/>
      <c r="S128" s="356"/>
      <c r="T128" s="356"/>
      <c r="U128" s="356"/>
      <c r="V128" s="356"/>
      <c r="W128" s="356"/>
      <c r="X128" s="356"/>
      <c r="Y128" s="356"/>
      <c r="Z128" s="365"/>
      <c r="AA128" s="356"/>
      <c r="AB128" s="356"/>
      <c r="AC128" s="356"/>
      <c r="AD128" s="356"/>
      <c r="AE128" s="356"/>
      <c r="AF128" s="356"/>
      <c r="AG128" s="356"/>
    </row>
    <row r="129" s="249" customFormat="1" hidden="1" customHeight="1" spans="1:33">
      <c r="A129" s="356"/>
      <c r="B129" s="356"/>
      <c r="C129" s="359"/>
      <c r="D129" s="356"/>
      <c r="E129" s="356"/>
      <c r="F129" s="356"/>
      <c r="G129" s="356"/>
      <c r="H129" s="356"/>
      <c r="I129" s="356"/>
      <c r="J129" s="356"/>
      <c r="K129" s="356"/>
      <c r="L129" s="356"/>
      <c r="M129" s="356"/>
      <c r="N129" s="356"/>
      <c r="O129" s="356"/>
      <c r="P129" s="356"/>
      <c r="Q129" s="356"/>
      <c r="R129" s="365"/>
      <c r="S129" s="356"/>
      <c r="T129" s="356"/>
      <c r="U129" s="356"/>
      <c r="V129" s="356"/>
      <c r="W129" s="356"/>
      <c r="X129" s="356"/>
      <c r="Y129" s="356"/>
      <c r="Z129" s="365"/>
      <c r="AA129" s="356"/>
      <c r="AB129" s="356"/>
      <c r="AC129" s="356"/>
      <c r="AD129" s="356"/>
      <c r="AE129" s="356"/>
      <c r="AF129" s="356"/>
      <c r="AG129" s="356"/>
    </row>
    <row r="130" s="249" customFormat="1" hidden="1" customHeight="1" spans="1:33">
      <c r="A130" s="356"/>
      <c r="B130" s="356"/>
      <c r="C130" s="359"/>
      <c r="D130" s="356"/>
      <c r="E130" s="356"/>
      <c r="F130" s="356"/>
      <c r="G130" s="356"/>
      <c r="H130" s="356"/>
      <c r="I130" s="356"/>
      <c r="J130" s="356"/>
      <c r="K130" s="356"/>
      <c r="L130" s="356"/>
      <c r="M130" s="356"/>
      <c r="N130" s="356"/>
      <c r="O130" s="356"/>
      <c r="P130" s="356"/>
      <c r="Q130" s="356"/>
      <c r="R130" s="365"/>
      <c r="S130" s="356"/>
      <c r="T130" s="356"/>
      <c r="U130" s="356"/>
      <c r="V130" s="356"/>
      <c r="W130" s="356"/>
      <c r="X130" s="356"/>
      <c r="Y130" s="356"/>
      <c r="Z130" s="365"/>
      <c r="AA130" s="356"/>
      <c r="AB130" s="356"/>
      <c r="AC130" s="356"/>
      <c r="AD130" s="356"/>
      <c r="AE130" s="356"/>
      <c r="AF130" s="356"/>
      <c r="AG130" s="356"/>
    </row>
    <row r="131" s="249" customFormat="1" hidden="1" customHeight="1" spans="1:33">
      <c r="A131" s="356"/>
      <c r="B131" s="356"/>
      <c r="C131" s="359"/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6"/>
      <c r="Q131" s="356"/>
      <c r="R131" s="365"/>
      <c r="S131" s="356"/>
      <c r="T131" s="356"/>
      <c r="U131" s="356"/>
      <c r="V131" s="356"/>
      <c r="W131" s="356"/>
      <c r="X131" s="356"/>
      <c r="Y131" s="356"/>
      <c r="Z131" s="365"/>
      <c r="AA131" s="356"/>
      <c r="AB131" s="356"/>
      <c r="AC131" s="356"/>
      <c r="AD131" s="356"/>
      <c r="AE131" s="356"/>
      <c r="AF131" s="356"/>
      <c r="AG131" s="356"/>
    </row>
    <row r="132" s="249" customFormat="1" hidden="1" customHeight="1" spans="1:33">
      <c r="A132" s="356"/>
      <c r="B132" s="356"/>
      <c r="C132" s="359"/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6"/>
      <c r="Q132" s="356"/>
      <c r="R132" s="365"/>
      <c r="S132" s="356"/>
      <c r="T132" s="356"/>
      <c r="U132" s="356"/>
      <c r="V132" s="356"/>
      <c r="W132" s="356"/>
      <c r="X132" s="356"/>
      <c r="Y132" s="356"/>
      <c r="Z132" s="365"/>
      <c r="AA132" s="356"/>
      <c r="AB132" s="356"/>
      <c r="AC132" s="356"/>
      <c r="AD132" s="356"/>
      <c r="AE132" s="356"/>
      <c r="AF132" s="356"/>
      <c r="AG132" s="356"/>
    </row>
    <row r="133" s="249" customFormat="1" hidden="1" customHeight="1" spans="1:33">
      <c r="A133" s="356"/>
      <c r="B133" s="356"/>
      <c r="C133" s="359"/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6"/>
      <c r="Q133" s="356"/>
      <c r="R133" s="365"/>
      <c r="S133" s="356"/>
      <c r="T133" s="356"/>
      <c r="U133" s="356"/>
      <c r="V133" s="356"/>
      <c r="W133" s="356"/>
      <c r="X133" s="356"/>
      <c r="Y133" s="356"/>
      <c r="Z133" s="365"/>
      <c r="AA133" s="356"/>
      <c r="AB133" s="356"/>
      <c r="AC133" s="356"/>
      <c r="AD133" s="356"/>
      <c r="AE133" s="356"/>
      <c r="AF133" s="356"/>
      <c r="AG133" s="356"/>
    </row>
    <row r="134" s="249" customFormat="1" hidden="1" customHeight="1" spans="1:33">
      <c r="A134" s="356"/>
      <c r="B134" s="356"/>
      <c r="C134" s="359"/>
      <c r="D134" s="356"/>
      <c r="E134" s="356"/>
      <c r="F134" s="356"/>
      <c r="G134" s="356"/>
      <c r="H134" s="356"/>
      <c r="I134" s="356"/>
      <c r="J134" s="356"/>
      <c r="K134" s="356"/>
      <c r="L134" s="356"/>
      <c r="M134" s="356"/>
      <c r="N134" s="356"/>
      <c r="O134" s="356"/>
      <c r="P134" s="356"/>
      <c r="Q134" s="356"/>
      <c r="R134" s="365"/>
      <c r="S134" s="356"/>
      <c r="T134" s="356"/>
      <c r="U134" s="356"/>
      <c r="V134" s="356"/>
      <c r="W134" s="356"/>
      <c r="X134" s="356"/>
      <c r="Y134" s="356"/>
      <c r="Z134" s="365"/>
      <c r="AA134" s="356"/>
      <c r="AB134" s="356"/>
      <c r="AC134" s="356"/>
      <c r="AD134" s="356"/>
      <c r="AE134" s="356"/>
      <c r="AF134" s="356"/>
      <c r="AG134" s="356"/>
    </row>
    <row r="135" s="249" customFormat="1" hidden="1" customHeight="1" spans="1:33">
      <c r="A135" s="356"/>
      <c r="B135" s="356"/>
      <c r="C135" s="359"/>
      <c r="D135" s="356"/>
      <c r="E135" s="356"/>
      <c r="F135" s="356"/>
      <c r="G135" s="356"/>
      <c r="H135" s="356"/>
      <c r="I135" s="356"/>
      <c r="J135" s="356"/>
      <c r="K135" s="356"/>
      <c r="L135" s="356"/>
      <c r="M135" s="356"/>
      <c r="N135" s="356"/>
      <c r="O135" s="356"/>
      <c r="P135" s="356"/>
      <c r="Q135" s="356"/>
      <c r="R135" s="365"/>
      <c r="S135" s="356"/>
      <c r="T135" s="356"/>
      <c r="U135" s="356"/>
      <c r="V135" s="356"/>
      <c r="W135" s="356"/>
      <c r="X135" s="356"/>
      <c r="Y135" s="356"/>
      <c r="Z135" s="365"/>
      <c r="AA135" s="356"/>
      <c r="AB135" s="356"/>
      <c r="AC135" s="356"/>
      <c r="AD135" s="356"/>
      <c r="AE135" s="356"/>
      <c r="AF135" s="356"/>
      <c r="AG135" s="356"/>
    </row>
    <row r="136" s="249" customFormat="1" hidden="1" customHeight="1" spans="1:33">
      <c r="A136" s="356"/>
      <c r="B136" s="356"/>
      <c r="C136" s="359"/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6"/>
      <c r="Q136" s="356"/>
      <c r="R136" s="365"/>
      <c r="S136" s="356"/>
      <c r="T136" s="356"/>
      <c r="U136" s="356"/>
      <c r="V136" s="356"/>
      <c r="W136" s="356"/>
      <c r="X136" s="356"/>
      <c r="Y136" s="356"/>
      <c r="Z136" s="365"/>
      <c r="AA136" s="356"/>
      <c r="AB136" s="356"/>
      <c r="AC136" s="356"/>
      <c r="AD136" s="356"/>
      <c r="AE136" s="356"/>
      <c r="AF136" s="356"/>
      <c r="AG136" s="356"/>
    </row>
    <row r="137" s="249" customFormat="1" hidden="1" customHeight="1" spans="1:33">
      <c r="A137" s="356"/>
      <c r="B137" s="356"/>
      <c r="C137" s="359"/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6"/>
      <c r="Q137" s="356"/>
      <c r="R137" s="365"/>
      <c r="S137" s="356"/>
      <c r="T137" s="356"/>
      <c r="U137" s="356"/>
      <c r="V137" s="356"/>
      <c r="W137" s="356"/>
      <c r="X137" s="356"/>
      <c r="Y137" s="356"/>
      <c r="Z137" s="365"/>
      <c r="AA137" s="356"/>
      <c r="AB137" s="356"/>
      <c r="AC137" s="356"/>
      <c r="AD137" s="356"/>
      <c r="AE137" s="356"/>
      <c r="AF137" s="356"/>
      <c r="AG137" s="356"/>
    </row>
    <row r="138" s="249" customFormat="1" hidden="1" customHeight="1" spans="1:33">
      <c r="A138" s="356"/>
      <c r="B138" s="356"/>
      <c r="C138" s="359"/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6"/>
      <c r="Q138" s="356"/>
      <c r="R138" s="365"/>
      <c r="S138" s="356"/>
      <c r="T138" s="356"/>
      <c r="U138" s="356"/>
      <c r="V138" s="356"/>
      <c r="W138" s="356"/>
      <c r="X138" s="356"/>
      <c r="Y138" s="356"/>
      <c r="Z138" s="365"/>
      <c r="AA138" s="356"/>
      <c r="AB138" s="356"/>
      <c r="AC138" s="356"/>
      <c r="AD138" s="356"/>
      <c r="AE138" s="356"/>
      <c r="AF138" s="356"/>
      <c r="AG138" s="356"/>
    </row>
    <row r="139" s="249" customFormat="1" hidden="1" customHeight="1" spans="1:33">
      <c r="A139" s="356"/>
      <c r="B139" s="356"/>
      <c r="C139" s="359"/>
      <c r="D139" s="356"/>
      <c r="E139" s="356"/>
      <c r="F139" s="356"/>
      <c r="G139" s="356"/>
      <c r="H139" s="356"/>
      <c r="I139" s="356"/>
      <c r="J139" s="356"/>
      <c r="K139" s="356"/>
      <c r="L139" s="356"/>
      <c r="M139" s="356"/>
      <c r="N139" s="356"/>
      <c r="O139" s="356"/>
      <c r="P139" s="356"/>
      <c r="Q139" s="356"/>
      <c r="R139" s="365"/>
      <c r="S139" s="356"/>
      <c r="T139" s="356"/>
      <c r="U139" s="356"/>
      <c r="V139" s="356"/>
      <c r="W139" s="356"/>
      <c r="X139" s="356"/>
      <c r="Y139" s="356"/>
      <c r="Z139" s="365"/>
      <c r="AA139" s="356"/>
      <c r="AB139" s="356"/>
      <c r="AC139" s="356"/>
      <c r="AD139" s="356"/>
      <c r="AE139" s="356"/>
      <c r="AF139" s="356"/>
      <c r="AG139" s="356"/>
    </row>
    <row r="140" s="249" customFormat="1" hidden="1" customHeight="1" spans="1:33">
      <c r="A140" s="356"/>
      <c r="B140" s="356"/>
      <c r="C140" s="359"/>
      <c r="D140" s="356"/>
      <c r="E140" s="356"/>
      <c r="F140" s="356"/>
      <c r="G140" s="356"/>
      <c r="H140" s="356"/>
      <c r="I140" s="356"/>
      <c r="J140" s="356"/>
      <c r="K140" s="356"/>
      <c r="L140" s="356"/>
      <c r="M140" s="356"/>
      <c r="N140" s="356"/>
      <c r="O140" s="356"/>
      <c r="P140" s="356"/>
      <c r="Q140" s="356"/>
      <c r="R140" s="365"/>
      <c r="S140" s="356"/>
      <c r="T140" s="356"/>
      <c r="U140" s="356"/>
      <c r="V140" s="356"/>
      <c r="W140" s="356"/>
      <c r="X140" s="356"/>
      <c r="Y140" s="356"/>
      <c r="Z140" s="365"/>
      <c r="AA140" s="356"/>
      <c r="AB140" s="356"/>
      <c r="AC140" s="356"/>
      <c r="AD140" s="356"/>
      <c r="AE140" s="356"/>
      <c r="AF140" s="356"/>
      <c r="AG140" s="356"/>
    </row>
    <row r="141" s="249" customFormat="1" hidden="1" customHeight="1" spans="1:33">
      <c r="A141" s="356"/>
      <c r="B141" s="356"/>
      <c r="C141" s="359"/>
      <c r="D141" s="356"/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6"/>
      <c r="Q141" s="356"/>
      <c r="R141" s="365"/>
      <c r="S141" s="356"/>
      <c r="T141" s="356"/>
      <c r="U141" s="356"/>
      <c r="V141" s="356"/>
      <c r="W141" s="356"/>
      <c r="X141" s="356"/>
      <c r="Y141" s="356"/>
      <c r="Z141" s="365"/>
      <c r="AA141" s="356"/>
      <c r="AB141" s="356"/>
      <c r="AC141" s="356"/>
      <c r="AD141" s="356"/>
      <c r="AE141" s="356"/>
      <c r="AF141" s="356"/>
      <c r="AG141" s="356"/>
    </row>
    <row r="142" s="249" customFormat="1" hidden="1" customHeight="1" spans="1:33">
      <c r="A142" s="356"/>
      <c r="B142" s="356"/>
      <c r="C142" s="359"/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6"/>
      <c r="Q142" s="356"/>
      <c r="R142" s="365"/>
      <c r="S142" s="356"/>
      <c r="T142" s="356"/>
      <c r="U142" s="356"/>
      <c r="V142" s="356"/>
      <c r="W142" s="356"/>
      <c r="X142" s="356"/>
      <c r="Y142" s="356"/>
      <c r="Z142" s="365"/>
      <c r="AA142" s="356"/>
      <c r="AB142" s="356"/>
      <c r="AC142" s="356"/>
      <c r="AD142" s="356"/>
      <c r="AE142" s="356"/>
      <c r="AF142" s="356"/>
      <c r="AG142" s="356"/>
    </row>
    <row r="143" s="249" customFormat="1" hidden="1" customHeight="1" spans="1:33">
      <c r="A143" s="356"/>
      <c r="B143" s="356"/>
      <c r="C143" s="359"/>
      <c r="D143" s="356"/>
      <c r="E143" s="356"/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6"/>
      <c r="Q143" s="356"/>
      <c r="R143" s="365"/>
      <c r="S143" s="356"/>
      <c r="T143" s="356"/>
      <c r="U143" s="356"/>
      <c r="V143" s="356"/>
      <c r="W143" s="356"/>
      <c r="X143" s="356"/>
      <c r="Y143" s="356"/>
      <c r="Z143" s="365"/>
      <c r="AA143" s="356"/>
      <c r="AB143" s="356"/>
      <c r="AC143" s="356"/>
      <c r="AD143" s="356"/>
      <c r="AE143" s="356"/>
      <c r="AF143" s="356"/>
      <c r="AG143" s="356"/>
    </row>
    <row r="144" s="249" customFormat="1" hidden="1" customHeight="1" spans="1:33">
      <c r="A144" s="356"/>
      <c r="B144" s="356"/>
      <c r="C144" s="359"/>
      <c r="D144" s="356"/>
      <c r="E144" s="356"/>
      <c r="F144" s="356"/>
      <c r="G144" s="356"/>
      <c r="H144" s="356"/>
      <c r="I144" s="356"/>
      <c r="J144" s="356"/>
      <c r="K144" s="356"/>
      <c r="L144" s="356"/>
      <c r="M144" s="356"/>
      <c r="N144" s="356"/>
      <c r="O144" s="356"/>
      <c r="P144" s="356"/>
      <c r="Q144" s="356"/>
      <c r="R144" s="365"/>
      <c r="S144" s="356"/>
      <c r="T144" s="356"/>
      <c r="U144" s="356"/>
      <c r="V144" s="356"/>
      <c r="W144" s="356"/>
      <c r="X144" s="356"/>
      <c r="Y144" s="356"/>
      <c r="Z144" s="365"/>
      <c r="AA144" s="356"/>
      <c r="AB144" s="356"/>
      <c r="AC144" s="356"/>
      <c r="AD144" s="356"/>
      <c r="AE144" s="356"/>
      <c r="AF144" s="356"/>
      <c r="AG144" s="356"/>
    </row>
    <row r="145" s="249" customFormat="1" hidden="1" customHeight="1" spans="1:33">
      <c r="A145" s="356"/>
      <c r="B145" s="356"/>
      <c r="C145" s="359"/>
      <c r="D145" s="356"/>
      <c r="E145" s="356"/>
      <c r="F145" s="356"/>
      <c r="G145" s="356"/>
      <c r="H145" s="356"/>
      <c r="I145" s="356"/>
      <c r="J145" s="356"/>
      <c r="K145" s="356"/>
      <c r="L145" s="356"/>
      <c r="M145" s="356"/>
      <c r="N145" s="356"/>
      <c r="O145" s="356"/>
      <c r="P145" s="356"/>
      <c r="Q145" s="356"/>
      <c r="R145" s="365"/>
      <c r="S145" s="356"/>
      <c r="T145" s="356"/>
      <c r="U145" s="356"/>
      <c r="V145" s="356"/>
      <c r="W145" s="356"/>
      <c r="X145" s="356"/>
      <c r="Y145" s="356"/>
      <c r="Z145" s="365"/>
      <c r="AA145" s="356"/>
      <c r="AB145" s="356"/>
      <c r="AC145" s="356"/>
      <c r="AD145" s="356"/>
      <c r="AE145" s="356"/>
      <c r="AF145" s="356"/>
      <c r="AG145" s="356"/>
    </row>
    <row r="146" s="249" customFormat="1" hidden="1" customHeight="1" spans="1:33">
      <c r="A146" s="356"/>
      <c r="B146" s="356"/>
      <c r="C146" s="359"/>
      <c r="D146" s="356"/>
      <c r="E146" s="356"/>
      <c r="F146" s="356"/>
      <c r="G146" s="356"/>
      <c r="H146" s="356"/>
      <c r="I146" s="356"/>
      <c r="J146" s="356"/>
      <c r="K146" s="356"/>
      <c r="L146" s="356"/>
      <c r="M146" s="356"/>
      <c r="N146" s="356"/>
      <c r="O146" s="356"/>
      <c r="P146" s="356"/>
      <c r="Q146" s="356"/>
      <c r="R146" s="365"/>
      <c r="S146" s="356"/>
      <c r="T146" s="356"/>
      <c r="U146" s="356"/>
      <c r="V146" s="356"/>
      <c r="W146" s="356"/>
      <c r="X146" s="356"/>
      <c r="Y146" s="356"/>
      <c r="Z146" s="365"/>
      <c r="AA146" s="356"/>
      <c r="AB146" s="356"/>
      <c r="AC146" s="356"/>
      <c r="AD146" s="356"/>
      <c r="AE146" s="356"/>
      <c r="AF146" s="356"/>
      <c r="AG146" s="356"/>
    </row>
    <row r="147" s="249" customFormat="1" hidden="1" customHeight="1" spans="1:33">
      <c r="A147" s="356"/>
      <c r="B147" s="356"/>
      <c r="C147" s="359"/>
      <c r="D147" s="356"/>
      <c r="E147" s="356"/>
      <c r="F147" s="356"/>
      <c r="G147" s="356"/>
      <c r="H147" s="356"/>
      <c r="I147" s="356"/>
      <c r="J147" s="356"/>
      <c r="K147" s="356"/>
      <c r="L147" s="356"/>
      <c r="M147" s="356"/>
      <c r="N147" s="356"/>
      <c r="O147" s="356"/>
      <c r="P147" s="356"/>
      <c r="Q147" s="356"/>
      <c r="R147" s="365"/>
      <c r="S147" s="356"/>
      <c r="T147" s="356"/>
      <c r="U147" s="356"/>
      <c r="V147" s="356"/>
      <c r="W147" s="356"/>
      <c r="X147" s="356"/>
      <c r="Y147" s="356"/>
      <c r="Z147" s="365"/>
      <c r="AA147" s="356"/>
      <c r="AB147" s="356"/>
      <c r="AC147" s="356"/>
      <c r="AD147" s="356"/>
      <c r="AE147" s="356"/>
      <c r="AF147" s="356"/>
      <c r="AG147" s="356"/>
    </row>
    <row r="148" s="249" customFormat="1" hidden="1" customHeight="1" spans="1:33">
      <c r="A148" s="356"/>
      <c r="B148" s="356"/>
      <c r="C148" s="359"/>
      <c r="D148" s="356"/>
      <c r="E148" s="356"/>
      <c r="F148" s="356"/>
      <c r="G148" s="356"/>
      <c r="H148" s="356"/>
      <c r="I148" s="356"/>
      <c r="J148" s="356"/>
      <c r="K148" s="356"/>
      <c r="L148" s="356"/>
      <c r="M148" s="356"/>
      <c r="N148" s="356"/>
      <c r="O148" s="356"/>
      <c r="P148" s="356"/>
      <c r="Q148" s="356"/>
      <c r="R148" s="365"/>
      <c r="S148" s="356"/>
      <c r="T148" s="356"/>
      <c r="U148" s="356"/>
      <c r="V148" s="356"/>
      <c r="W148" s="356"/>
      <c r="X148" s="356"/>
      <c r="Y148" s="356"/>
      <c r="Z148" s="365"/>
      <c r="AA148" s="356"/>
      <c r="AB148" s="356"/>
      <c r="AC148" s="356"/>
      <c r="AD148" s="356"/>
      <c r="AE148" s="356"/>
      <c r="AF148" s="356"/>
      <c r="AG148" s="356"/>
    </row>
    <row r="149" s="249" customFormat="1" hidden="1" customHeight="1" spans="1:33">
      <c r="A149" s="356"/>
      <c r="B149" s="356"/>
      <c r="C149" s="359"/>
      <c r="D149" s="356"/>
      <c r="E149" s="356"/>
      <c r="F149" s="356"/>
      <c r="G149" s="356"/>
      <c r="H149" s="356"/>
      <c r="I149" s="356"/>
      <c r="J149" s="356"/>
      <c r="K149" s="356"/>
      <c r="L149" s="356"/>
      <c r="M149" s="356"/>
      <c r="N149" s="356"/>
      <c r="O149" s="356"/>
      <c r="P149" s="356"/>
      <c r="Q149" s="356"/>
      <c r="R149" s="365"/>
      <c r="S149" s="356"/>
      <c r="T149" s="356"/>
      <c r="U149" s="356"/>
      <c r="V149" s="356"/>
      <c r="W149" s="356"/>
      <c r="X149" s="356"/>
      <c r="Y149" s="356"/>
      <c r="Z149" s="365"/>
      <c r="AA149" s="356"/>
      <c r="AB149" s="356"/>
      <c r="AC149" s="356"/>
      <c r="AD149" s="356"/>
      <c r="AE149" s="356"/>
      <c r="AF149" s="356"/>
      <c r="AG149" s="356"/>
    </row>
    <row r="150" s="249" customFormat="1" hidden="1" customHeight="1" spans="1:33">
      <c r="A150" s="356"/>
      <c r="B150" s="356"/>
      <c r="C150" s="359"/>
      <c r="D150" s="356"/>
      <c r="E150" s="356"/>
      <c r="F150" s="356"/>
      <c r="G150" s="356"/>
      <c r="H150" s="356"/>
      <c r="I150" s="356"/>
      <c r="J150" s="356"/>
      <c r="K150" s="356"/>
      <c r="L150" s="356"/>
      <c r="M150" s="356"/>
      <c r="N150" s="356"/>
      <c r="O150" s="356"/>
      <c r="P150" s="356"/>
      <c r="Q150" s="356"/>
      <c r="R150" s="365"/>
      <c r="S150" s="356"/>
      <c r="T150" s="356"/>
      <c r="U150" s="356"/>
      <c r="V150" s="356"/>
      <c r="W150" s="356"/>
      <c r="X150" s="356"/>
      <c r="Y150" s="356"/>
      <c r="Z150" s="365"/>
      <c r="AA150" s="356"/>
      <c r="AB150" s="356"/>
      <c r="AC150" s="356"/>
      <c r="AD150" s="356"/>
      <c r="AE150" s="356"/>
      <c r="AF150" s="356"/>
      <c r="AG150" s="356"/>
    </row>
    <row r="151" s="249" customFormat="1" hidden="1" customHeight="1" spans="1:33">
      <c r="A151" s="356"/>
      <c r="B151" s="356"/>
      <c r="C151" s="359"/>
      <c r="D151" s="356"/>
      <c r="E151" s="356"/>
      <c r="F151" s="356"/>
      <c r="G151" s="356"/>
      <c r="H151" s="356"/>
      <c r="I151" s="356"/>
      <c r="J151" s="356"/>
      <c r="K151" s="356"/>
      <c r="L151" s="356"/>
      <c r="M151" s="356"/>
      <c r="N151" s="356"/>
      <c r="O151" s="356"/>
      <c r="P151" s="356"/>
      <c r="Q151" s="356"/>
      <c r="R151" s="365"/>
      <c r="S151" s="356"/>
      <c r="T151" s="356"/>
      <c r="U151" s="356"/>
      <c r="V151" s="356"/>
      <c r="W151" s="356"/>
      <c r="X151" s="356"/>
      <c r="Y151" s="356"/>
      <c r="Z151" s="365"/>
      <c r="AA151" s="356"/>
      <c r="AB151" s="356"/>
      <c r="AC151" s="356"/>
      <c r="AD151" s="356"/>
      <c r="AE151" s="356"/>
      <c r="AF151" s="356"/>
      <c r="AG151" s="356"/>
    </row>
    <row r="152" s="249" customFormat="1" hidden="1" customHeight="1" spans="1:33">
      <c r="A152" s="356"/>
      <c r="B152" s="356"/>
      <c r="C152" s="359"/>
      <c r="D152" s="356"/>
      <c r="E152" s="356"/>
      <c r="F152" s="356"/>
      <c r="G152" s="356"/>
      <c r="H152" s="356"/>
      <c r="I152" s="356"/>
      <c r="J152" s="356"/>
      <c r="K152" s="356"/>
      <c r="L152" s="356"/>
      <c r="M152" s="356"/>
      <c r="N152" s="356"/>
      <c r="O152" s="356"/>
      <c r="P152" s="356"/>
      <c r="Q152" s="356"/>
      <c r="R152" s="365"/>
      <c r="S152" s="356"/>
      <c r="T152" s="356"/>
      <c r="U152" s="356"/>
      <c r="V152" s="356"/>
      <c r="W152" s="356"/>
      <c r="X152" s="356"/>
      <c r="Y152" s="356"/>
      <c r="Z152" s="365"/>
      <c r="AA152" s="356"/>
      <c r="AB152" s="356"/>
      <c r="AC152" s="356"/>
      <c r="AD152" s="356"/>
      <c r="AE152" s="356"/>
      <c r="AF152" s="356"/>
      <c r="AG152" s="356"/>
    </row>
    <row r="153" s="249" customFormat="1" hidden="1" customHeight="1" spans="1:33">
      <c r="A153" s="356"/>
      <c r="B153" s="356"/>
      <c r="C153" s="359"/>
      <c r="D153" s="356"/>
      <c r="E153" s="356"/>
      <c r="F153" s="356"/>
      <c r="G153" s="356"/>
      <c r="H153" s="356"/>
      <c r="I153" s="356"/>
      <c r="J153" s="356"/>
      <c r="K153" s="356"/>
      <c r="L153" s="356"/>
      <c r="M153" s="356"/>
      <c r="N153" s="356"/>
      <c r="O153" s="356"/>
      <c r="P153" s="356"/>
      <c r="Q153" s="356"/>
      <c r="R153" s="365"/>
      <c r="S153" s="356"/>
      <c r="T153" s="356"/>
      <c r="U153" s="356"/>
      <c r="V153" s="356"/>
      <c r="W153" s="356"/>
      <c r="X153" s="356"/>
      <c r="Y153" s="356"/>
      <c r="Z153" s="365"/>
      <c r="AA153" s="356"/>
      <c r="AB153" s="356"/>
      <c r="AC153" s="356"/>
      <c r="AD153" s="356"/>
      <c r="AE153" s="356"/>
      <c r="AF153" s="356"/>
      <c r="AG153" s="356"/>
    </row>
    <row r="154" s="249" customFormat="1" hidden="1" customHeight="1" spans="1:33">
      <c r="A154" s="356"/>
      <c r="B154" s="356"/>
      <c r="C154" s="359"/>
      <c r="D154" s="356"/>
      <c r="E154" s="356"/>
      <c r="F154" s="356"/>
      <c r="G154" s="356"/>
      <c r="H154" s="356"/>
      <c r="I154" s="356"/>
      <c r="J154" s="356"/>
      <c r="K154" s="356"/>
      <c r="L154" s="356"/>
      <c r="M154" s="356"/>
      <c r="N154" s="356"/>
      <c r="O154" s="356"/>
      <c r="P154" s="356"/>
      <c r="Q154" s="356"/>
      <c r="R154" s="365"/>
      <c r="S154" s="356"/>
      <c r="T154" s="356"/>
      <c r="U154" s="356"/>
      <c r="V154" s="356"/>
      <c r="W154" s="356"/>
      <c r="X154" s="356"/>
      <c r="Y154" s="356"/>
      <c r="Z154" s="365"/>
      <c r="AA154" s="356"/>
      <c r="AB154" s="356"/>
      <c r="AC154" s="356"/>
      <c r="AD154" s="356"/>
      <c r="AE154" s="356"/>
      <c r="AF154" s="356"/>
      <c r="AG154" s="356"/>
    </row>
    <row r="155" s="249" customFormat="1" hidden="1" customHeight="1" spans="1:33">
      <c r="A155" s="356"/>
      <c r="B155" s="356"/>
      <c r="C155" s="359"/>
      <c r="D155" s="356"/>
      <c r="E155" s="356"/>
      <c r="F155" s="356"/>
      <c r="G155" s="356"/>
      <c r="H155" s="356"/>
      <c r="I155" s="356"/>
      <c r="J155" s="356"/>
      <c r="K155" s="356"/>
      <c r="L155" s="356"/>
      <c r="M155" s="356"/>
      <c r="N155" s="356"/>
      <c r="O155" s="356"/>
      <c r="P155" s="356"/>
      <c r="Q155" s="356"/>
      <c r="R155" s="365"/>
      <c r="S155" s="356"/>
      <c r="T155" s="356"/>
      <c r="U155" s="356"/>
      <c r="V155" s="356"/>
      <c r="W155" s="356"/>
      <c r="X155" s="356"/>
      <c r="Y155" s="356"/>
      <c r="Z155" s="365"/>
      <c r="AA155" s="356"/>
      <c r="AB155" s="356"/>
      <c r="AC155" s="356"/>
      <c r="AD155" s="356"/>
      <c r="AE155" s="356"/>
      <c r="AF155" s="356"/>
      <c r="AG155" s="356"/>
    </row>
    <row r="156" s="249" customFormat="1" hidden="1" customHeight="1" spans="1:33">
      <c r="A156" s="356"/>
      <c r="B156" s="356"/>
      <c r="C156" s="359"/>
      <c r="D156" s="356"/>
      <c r="E156" s="356"/>
      <c r="F156" s="356"/>
      <c r="G156" s="356"/>
      <c r="H156" s="356"/>
      <c r="I156" s="356"/>
      <c r="J156" s="356"/>
      <c r="K156" s="356"/>
      <c r="L156" s="356"/>
      <c r="M156" s="356"/>
      <c r="N156" s="356"/>
      <c r="O156" s="356"/>
      <c r="P156" s="356"/>
      <c r="Q156" s="356"/>
      <c r="R156" s="365"/>
      <c r="S156" s="356"/>
      <c r="T156" s="356"/>
      <c r="U156" s="356"/>
      <c r="V156" s="356"/>
      <c r="W156" s="356"/>
      <c r="X156" s="356"/>
      <c r="Y156" s="356"/>
      <c r="Z156" s="365"/>
      <c r="AA156" s="356"/>
      <c r="AB156" s="356"/>
      <c r="AC156" s="356"/>
      <c r="AD156" s="356"/>
      <c r="AE156" s="356"/>
      <c r="AF156" s="356"/>
      <c r="AG156" s="356"/>
    </row>
    <row r="157" s="249" customFormat="1" hidden="1" customHeight="1" spans="1:33">
      <c r="A157" s="356"/>
      <c r="B157" s="356"/>
      <c r="C157" s="359"/>
      <c r="D157" s="356"/>
      <c r="E157" s="356"/>
      <c r="F157" s="356"/>
      <c r="G157" s="356"/>
      <c r="H157" s="356"/>
      <c r="I157" s="356"/>
      <c r="J157" s="356"/>
      <c r="K157" s="356"/>
      <c r="L157" s="356"/>
      <c r="M157" s="356"/>
      <c r="N157" s="356"/>
      <c r="O157" s="356"/>
      <c r="P157" s="356"/>
      <c r="Q157" s="356"/>
      <c r="R157" s="365"/>
      <c r="S157" s="356"/>
      <c r="T157" s="356"/>
      <c r="U157" s="356"/>
      <c r="V157" s="356"/>
      <c r="W157" s="356"/>
      <c r="X157" s="356"/>
      <c r="Y157" s="356"/>
      <c r="Z157" s="365"/>
      <c r="AA157" s="356"/>
      <c r="AB157" s="356"/>
      <c r="AC157" s="356"/>
      <c r="AD157" s="356"/>
      <c r="AE157" s="356"/>
      <c r="AF157" s="356"/>
      <c r="AG157" s="356"/>
    </row>
    <row r="158" s="249" customFormat="1" hidden="1" customHeight="1" spans="1:33">
      <c r="A158" s="356"/>
      <c r="B158" s="356"/>
      <c r="C158" s="359"/>
      <c r="D158" s="356"/>
      <c r="E158" s="356"/>
      <c r="F158" s="356"/>
      <c r="G158" s="356"/>
      <c r="H158" s="356"/>
      <c r="I158" s="356"/>
      <c r="J158" s="356"/>
      <c r="K158" s="356"/>
      <c r="L158" s="356"/>
      <c r="M158" s="356"/>
      <c r="N158" s="356"/>
      <c r="O158" s="356"/>
      <c r="P158" s="356"/>
      <c r="Q158" s="356"/>
      <c r="R158" s="365"/>
      <c r="S158" s="356"/>
      <c r="T158" s="356"/>
      <c r="U158" s="356"/>
      <c r="V158" s="356"/>
      <c r="W158" s="356"/>
      <c r="X158" s="356"/>
      <c r="Y158" s="356"/>
      <c r="Z158" s="365"/>
      <c r="AA158" s="356"/>
      <c r="AB158" s="356"/>
      <c r="AC158" s="356"/>
      <c r="AD158" s="356"/>
      <c r="AE158" s="356"/>
      <c r="AF158" s="356"/>
      <c r="AG158" s="356"/>
    </row>
    <row r="159" s="249" customFormat="1" hidden="1" customHeight="1" spans="1:33">
      <c r="A159" s="356"/>
      <c r="B159" s="356"/>
      <c r="C159" s="359"/>
      <c r="D159" s="356"/>
      <c r="E159" s="356"/>
      <c r="F159" s="356"/>
      <c r="G159" s="356"/>
      <c r="H159" s="356"/>
      <c r="I159" s="356"/>
      <c r="J159" s="356"/>
      <c r="K159" s="356"/>
      <c r="L159" s="356"/>
      <c r="M159" s="356"/>
      <c r="N159" s="356"/>
      <c r="O159" s="356"/>
      <c r="P159" s="356"/>
      <c r="Q159" s="356"/>
      <c r="R159" s="365"/>
      <c r="S159" s="356"/>
      <c r="T159" s="356"/>
      <c r="U159" s="356"/>
      <c r="V159" s="356"/>
      <c r="W159" s="356"/>
      <c r="X159" s="356"/>
      <c r="Y159" s="356"/>
      <c r="Z159" s="365"/>
      <c r="AA159" s="356"/>
      <c r="AB159" s="356"/>
      <c r="AC159" s="356"/>
      <c r="AD159" s="356"/>
      <c r="AE159" s="356"/>
      <c r="AF159" s="356"/>
      <c r="AG159" s="356"/>
    </row>
    <row r="160" s="249" customFormat="1" hidden="1" customHeight="1" spans="1:33">
      <c r="A160" s="356"/>
      <c r="B160" s="356"/>
      <c r="C160" s="359"/>
      <c r="D160" s="356"/>
      <c r="E160" s="356"/>
      <c r="F160" s="356"/>
      <c r="G160" s="356"/>
      <c r="H160" s="356"/>
      <c r="I160" s="356"/>
      <c r="J160" s="356"/>
      <c r="K160" s="356"/>
      <c r="L160" s="356"/>
      <c r="M160" s="356"/>
      <c r="N160" s="356"/>
      <c r="O160" s="356"/>
      <c r="P160" s="356"/>
      <c r="Q160" s="356"/>
      <c r="R160" s="365"/>
      <c r="S160" s="356"/>
      <c r="T160" s="356"/>
      <c r="U160" s="356"/>
      <c r="V160" s="356"/>
      <c r="W160" s="356"/>
      <c r="X160" s="356"/>
      <c r="Y160" s="356"/>
      <c r="Z160" s="365"/>
      <c r="AA160" s="356"/>
      <c r="AB160" s="356"/>
      <c r="AC160" s="356"/>
      <c r="AD160" s="356"/>
      <c r="AE160" s="356"/>
      <c r="AF160" s="356"/>
      <c r="AG160" s="356"/>
    </row>
    <row r="161" s="249" customFormat="1" hidden="1" customHeight="1" spans="1:33">
      <c r="A161" s="356"/>
      <c r="B161" s="356"/>
      <c r="C161" s="359"/>
      <c r="D161" s="356"/>
      <c r="E161" s="356"/>
      <c r="F161" s="356"/>
      <c r="G161" s="356"/>
      <c r="H161" s="356"/>
      <c r="I161" s="356"/>
      <c r="J161" s="356"/>
      <c r="K161" s="356"/>
      <c r="L161" s="356"/>
      <c r="M161" s="356"/>
      <c r="N161" s="356"/>
      <c r="O161" s="356"/>
      <c r="P161" s="356"/>
      <c r="Q161" s="356"/>
      <c r="R161" s="365"/>
      <c r="S161" s="356"/>
      <c r="T161" s="356"/>
      <c r="U161" s="356"/>
      <c r="V161" s="356"/>
      <c r="W161" s="356"/>
      <c r="X161" s="356"/>
      <c r="Y161" s="356"/>
      <c r="Z161" s="365"/>
      <c r="AA161" s="356"/>
      <c r="AB161" s="356"/>
      <c r="AC161" s="356"/>
      <c r="AD161" s="356"/>
      <c r="AE161" s="356"/>
      <c r="AF161" s="356"/>
      <c r="AG161" s="356"/>
    </row>
    <row r="162" s="249" customFormat="1" hidden="1" customHeight="1" spans="1:33">
      <c r="A162" s="356"/>
      <c r="B162" s="356"/>
      <c r="C162" s="359"/>
      <c r="D162" s="356"/>
      <c r="E162" s="356"/>
      <c r="F162" s="356"/>
      <c r="G162" s="356"/>
      <c r="H162" s="356"/>
      <c r="I162" s="356"/>
      <c r="J162" s="356"/>
      <c r="K162" s="356"/>
      <c r="L162" s="356"/>
      <c r="M162" s="356"/>
      <c r="N162" s="356"/>
      <c r="O162" s="356"/>
      <c r="P162" s="356"/>
      <c r="Q162" s="356"/>
      <c r="R162" s="365"/>
      <c r="S162" s="356"/>
      <c r="T162" s="356"/>
      <c r="U162" s="356"/>
      <c r="V162" s="356"/>
      <c r="W162" s="356"/>
      <c r="X162" s="356"/>
      <c r="Y162" s="356"/>
      <c r="Z162" s="365"/>
      <c r="AA162" s="356"/>
      <c r="AB162" s="356"/>
      <c r="AC162" s="356"/>
      <c r="AD162" s="356"/>
      <c r="AE162" s="356"/>
      <c r="AF162" s="356"/>
      <c r="AG162" s="356"/>
    </row>
    <row r="163" s="249" customFormat="1" hidden="1" customHeight="1" spans="1:33">
      <c r="A163" s="356"/>
      <c r="B163" s="356"/>
      <c r="C163" s="359"/>
      <c r="D163" s="356"/>
      <c r="E163" s="356"/>
      <c r="F163" s="356"/>
      <c r="G163" s="356"/>
      <c r="H163" s="356"/>
      <c r="I163" s="356"/>
      <c r="J163" s="356"/>
      <c r="K163" s="356"/>
      <c r="L163" s="356"/>
      <c r="M163" s="356"/>
      <c r="N163" s="356"/>
      <c r="O163" s="356"/>
      <c r="P163" s="356"/>
      <c r="Q163" s="356"/>
      <c r="R163" s="365"/>
      <c r="S163" s="356"/>
      <c r="T163" s="356"/>
      <c r="U163" s="356"/>
      <c r="V163" s="356"/>
      <c r="W163" s="356"/>
      <c r="X163" s="356"/>
      <c r="Y163" s="356"/>
      <c r="Z163" s="365"/>
      <c r="AA163" s="356"/>
      <c r="AB163" s="356"/>
      <c r="AC163" s="356"/>
      <c r="AD163" s="356"/>
      <c r="AE163" s="356"/>
      <c r="AF163" s="356"/>
      <c r="AG163" s="356"/>
    </row>
    <row r="164" s="249" customFormat="1" hidden="1" customHeight="1" spans="1:33">
      <c r="A164" s="356"/>
      <c r="B164" s="356"/>
      <c r="C164" s="359"/>
      <c r="D164" s="356"/>
      <c r="E164" s="356"/>
      <c r="F164" s="356"/>
      <c r="G164" s="356"/>
      <c r="H164" s="356"/>
      <c r="I164" s="356"/>
      <c r="J164" s="356"/>
      <c r="K164" s="356"/>
      <c r="L164" s="356"/>
      <c r="M164" s="356"/>
      <c r="N164" s="356"/>
      <c r="O164" s="356"/>
      <c r="P164" s="356"/>
      <c r="Q164" s="356"/>
      <c r="R164" s="365"/>
      <c r="S164" s="356"/>
      <c r="T164" s="356"/>
      <c r="U164" s="356"/>
      <c r="V164" s="356"/>
      <c r="W164" s="356"/>
      <c r="X164" s="356"/>
      <c r="Y164" s="356"/>
      <c r="Z164" s="365"/>
      <c r="AA164" s="356"/>
      <c r="AB164" s="356"/>
      <c r="AC164" s="356"/>
      <c r="AD164" s="356"/>
      <c r="AE164" s="356"/>
      <c r="AF164" s="356"/>
      <c r="AG164" s="356"/>
    </row>
    <row r="165" s="249" customFormat="1" hidden="1" customHeight="1" spans="1:33">
      <c r="A165" s="356"/>
      <c r="B165" s="356"/>
      <c r="C165" s="359"/>
      <c r="D165" s="356"/>
      <c r="E165" s="356"/>
      <c r="F165" s="356"/>
      <c r="G165" s="356"/>
      <c r="H165" s="356"/>
      <c r="I165" s="356"/>
      <c r="J165" s="356"/>
      <c r="K165" s="356"/>
      <c r="L165" s="356"/>
      <c r="M165" s="356"/>
      <c r="N165" s="356"/>
      <c r="O165" s="356"/>
      <c r="P165" s="356"/>
      <c r="Q165" s="356"/>
      <c r="R165" s="365"/>
      <c r="S165" s="356"/>
      <c r="T165" s="356"/>
      <c r="U165" s="356"/>
      <c r="V165" s="356"/>
      <c r="W165" s="356"/>
      <c r="X165" s="356"/>
      <c r="Y165" s="356"/>
      <c r="Z165" s="365"/>
      <c r="AA165" s="356"/>
      <c r="AB165" s="356"/>
      <c r="AC165" s="356"/>
      <c r="AD165" s="356"/>
      <c r="AE165" s="356"/>
      <c r="AF165" s="356"/>
      <c r="AG165" s="356"/>
    </row>
    <row r="166" s="249" customFormat="1" hidden="1" customHeight="1" spans="1:33">
      <c r="A166" s="356"/>
      <c r="B166" s="356"/>
      <c r="C166" s="359"/>
      <c r="D166" s="356"/>
      <c r="E166" s="356"/>
      <c r="F166" s="356"/>
      <c r="G166" s="356"/>
      <c r="H166" s="356"/>
      <c r="I166" s="356"/>
      <c r="J166" s="356"/>
      <c r="K166" s="356"/>
      <c r="L166" s="356"/>
      <c r="M166" s="356"/>
      <c r="N166" s="356"/>
      <c r="O166" s="356"/>
      <c r="P166" s="356"/>
      <c r="Q166" s="356"/>
      <c r="R166" s="365"/>
      <c r="S166" s="356"/>
      <c r="T166" s="356"/>
      <c r="U166" s="356"/>
      <c r="V166" s="356"/>
      <c r="W166" s="356"/>
      <c r="X166" s="356"/>
      <c r="Y166" s="356"/>
      <c r="Z166" s="365"/>
      <c r="AA166" s="356"/>
      <c r="AB166" s="356"/>
      <c r="AC166" s="356"/>
      <c r="AD166" s="356"/>
      <c r="AE166" s="356"/>
      <c r="AF166" s="356"/>
      <c r="AG166" s="356"/>
    </row>
    <row r="167" s="249" customFormat="1" hidden="1" customHeight="1" spans="1:33">
      <c r="A167" s="356"/>
      <c r="B167" s="356"/>
      <c r="C167" s="359"/>
      <c r="D167" s="356"/>
      <c r="E167" s="356"/>
      <c r="F167" s="356"/>
      <c r="G167" s="356"/>
      <c r="H167" s="356"/>
      <c r="I167" s="356"/>
      <c r="J167" s="356"/>
      <c r="K167" s="356"/>
      <c r="L167" s="356"/>
      <c r="M167" s="356"/>
      <c r="N167" s="356"/>
      <c r="O167" s="356"/>
      <c r="P167" s="356"/>
      <c r="Q167" s="356"/>
      <c r="R167" s="365"/>
      <c r="S167" s="356"/>
      <c r="T167" s="356"/>
      <c r="U167" s="356"/>
      <c r="V167" s="356"/>
      <c r="W167" s="356"/>
      <c r="X167" s="356"/>
      <c r="Y167" s="356"/>
      <c r="Z167" s="365"/>
      <c r="AA167" s="356"/>
      <c r="AB167" s="356"/>
      <c r="AC167" s="356"/>
      <c r="AD167" s="356"/>
      <c r="AE167" s="356"/>
      <c r="AF167" s="356"/>
      <c r="AG167" s="356"/>
    </row>
    <row r="168" s="249" customFormat="1" hidden="1" customHeight="1" spans="1:33">
      <c r="A168" s="356"/>
      <c r="B168" s="356"/>
      <c r="C168" s="359"/>
      <c r="D168" s="356"/>
      <c r="E168" s="356"/>
      <c r="F168" s="356"/>
      <c r="G168" s="356"/>
      <c r="H168" s="356"/>
      <c r="I168" s="356"/>
      <c r="J168" s="356"/>
      <c r="K168" s="356"/>
      <c r="L168" s="356"/>
      <c r="M168" s="356"/>
      <c r="N168" s="356"/>
      <c r="O168" s="356"/>
      <c r="P168" s="356"/>
      <c r="Q168" s="356"/>
      <c r="R168" s="365"/>
      <c r="S168" s="356"/>
      <c r="T168" s="356"/>
      <c r="U168" s="356"/>
      <c r="V168" s="356"/>
      <c r="W168" s="356"/>
      <c r="X168" s="356"/>
      <c r="Y168" s="356"/>
      <c r="Z168" s="365"/>
      <c r="AA168" s="356"/>
      <c r="AB168" s="356"/>
      <c r="AC168" s="356"/>
      <c r="AD168" s="356"/>
      <c r="AE168" s="356"/>
      <c r="AF168" s="356"/>
      <c r="AG168" s="356"/>
    </row>
    <row r="169" s="249" customFormat="1" hidden="1" customHeight="1" spans="1:33">
      <c r="A169" s="356"/>
      <c r="B169" s="356"/>
      <c r="C169" s="359"/>
      <c r="D169" s="356"/>
      <c r="E169" s="356"/>
      <c r="F169" s="356"/>
      <c r="G169" s="356"/>
      <c r="H169" s="356"/>
      <c r="I169" s="356"/>
      <c r="J169" s="356"/>
      <c r="K169" s="356"/>
      <c r="L169" s="356"/>
      <c r="M169" s="356"/>
      <c r="N169" s="356"/>
      <c r="O169" s="356"/>
      <c r="P169" s="356"/>
      <c r="Q169" s="356"/>
      <c r="R169" s="365"/>
      <c r="S169" s="356"/>
      <c r="T169" s="356"/>
      <c r="U169" s="356"/>
      <c r="V169" s="356"/>
      <c r="W169" s="356"/>
      <c r="X169" s="356"/>
      <c r="Y169" s="356"/>
      <c r="Z169" s="365"/>
      <c r="AA169" s="356"/>
      <c r="AB169" s="356"/>
      <c r="AC169" s="356"/>
      <c r="AD169" s="356"/>
      <c r="AE169" s="356"/>
      <c r="AF169" s="356"/>
      <c r="AG169" s="356"/>
    </row>
    <row r="170" s="249" customFormat="1" hidden="1" customHeight="1" spans="1:33">
      <c r="A170" s="356"/>
      <c r="B170" s="356"/>
      <c r="C170" s="359"/>
      <c r="D170" s="356"/>
      <c r="E170" s="356"/>
      <c r="F170" s="356"/>
      <c r="G170" s="356"/>
      <c r="H170" s="356"/>
      <c r="I170" s="356"/>
      <c r="J170" s="356"/>
      <c r="K170" s="356"/>
      <c r="L170" s="356"/>
      <c r="M170" s="356"/>
      <c r="N170" s="356"/>
      <c r="O170" s="356"/>
      <c r="P170" s="356"/>
      <c r="Q170" s="356"/>
      <c r="R170" s="365"/>
      <c r="S170" s="356"/>
      <c r="T170" s="356"/>
      <c r="U170" s="356"/>
      <c r="V170" s="356"/>
      <c r="W170" s="356"/>
      <c r="X170" s="356"/>
      <c r="Y170" s="356"/>
      <c r="Z170" s="365"/>
      <c r="AA170" s="356"/>
      <c r="AB170" s="356"/>
      <c r="AC170" s="356"/>
      <c r="AD170" s="356"/>
      <c r="AE170" s="356"/>
      <c r="AF170" s="356"/>
      <c r="AG170" s="356"/>
    </row>
    <row r="171" s="249" customFormat="1" hidden="1" customHeight="1" spans="1:33">
      <c r="A171" s="356"/>
      <c r="B171" s="356"/>
      <c r="C171" s="359"/>
      <c r="D171" s="356"/>
      <c r="E171" s="356"/>
      <c r="F171" s="356"/>
      <c r="G171" s="356"/>
      <c r="H171" s="356"/>
      <c r="I171" s="356"/>
      <c r="J171" s="356"/>
      <c r="K171" s="356"/>
      <c r="L171" s="356"/>
      <c r="M171" s="356"/>
      <c r="N171" s="356"/>
      <c r="O171" s="356"/>
      <c r="P171" s="356"/>
      <c r="Q171" s="356"/>
      <c r="R171" s="365"/>
      <c r="S171" s="356"/>
      <c r="T171" s="356"/>
      <c r="U171" s="356"/>
      <c r="V171" s="356"/>
      <c r="W171" s="356"/>
      <c r="X171" s="356"/>
      <c r="Y171" s="356"/>
      <c r="Z171" s="365"/>
      <c r="AA171" s="356"/>
      <c r="AB171" s="356"/>
      <c r="AC171" s="356"/>
      <c r="AD171" s="356"/>
      <c r="AE171" s="356"/>
      <c r="AF171" s="356"/>
      <c r="AG171" s="356"/>
    </row>
    <row r="172" s="249" customFormat="1" hidden="1" customHeight="1" spans="1:33">
      <c r="A172" s="356"/>
      <c r="B172" s="356"/>
      <c r="C172" s="359"/>
      <c r="D172" s="356"/>
      <c r="E172" s="356"/>
      <c r="F172" s="356"/>
      <c r="G172" s="356"/>
      <c r="H172" s="356"/>
      <c r="I172" s="356"/>
      <c r="J172" s="356"/>
      <c r="K172" s="356"/>
      <c r="L172" s="356"/>
      <c r="M172" s="356"/>
      <c r="N172" s="356"/>
      <c r="O172" s="356"/>
      <c r="P172" s="356"/>
      <c r="Q172" s="356"/>
      <c r="R172" s="365"/>
      <c r="S172" s="356"/>
      <c r="T172" s="356"/>
      <c r="U172" s="356"/>
      <c r="V172" s="356"/>
      <c r="W172" s="356"/>
      <c r="X172" s="356"/>
      <c r="Y172" s="356"/>
      <c r="Z172" s="365"/>
      <c r="AA172" s="356"/>
      <c r="AB172" s="356"/>
      <c r="AC172" s="356"/>
      <c r="AD172" s="356"/>
      <c r="AE172" s="356"/>
      <c r="AF172" s="356"/>
      <c r="AG172" s="356"/>
    </row>
    <row r="173" s="249" customFormat="1" hidden="1" customHeight="1" spans="1:33">
      <c r="A173" s="356"/>
      <c r="B173" s="356"/>
      <c r="C173" s="359"/>
      <c r="D173" s="356"/>
      <c r="E173" s="356"/>
      <c r="F173" s="356"/>
      <c r="G173" s="356"/>
      <c r="H173" s="356"/>
      <c r="I173" s="356"/>
      <c r="J173" s="356"/>
      <c r="K173" s="356"/>
      <c r="L173" s="356"/>
      <c r="M173" s="356"/>
      <c r="N173" s="356"/>
      <c r="O173" s="356"/>
      <c r="P173" s="356"/>
      <c r="Q173" s="356"/>
      <c r="R173" s="365"/>
      <c r="S173" s="356"/>
      <c r="T173" s="356"/>
      <c r="U173" s="356"/>
      <c r="V173" s="356"/>
      <c r="W173" s="356"/>
      <c r="X173" s="356"/>
      <c r="Y173" s="356"/>
      <c r="Z173" s="365"/>
      <c r="AA173" s="356"/>
      <c r="AB173" s="356"/>
      <c r="AC173" s="356"/>
      <c r="AD173" s="356"/>
      <c r="AE173" s="356"/>
      <c r="AF173" s="356"/>
      <c r="AG173" s="356"/>
    </row>
    <row r="174" s="249" customFormat="1" hidden="1" customHeight="1" spans="1:33">
      <c r="A174" s="356"/>
      <c r="B174" s="356"/>
      <c r="C174" s="359"/>
      <c r="D174" s="356"/>
      <c r="E174" s="356"/>
      <c r="F174" s="356"/>
      <c r="G174" s="356"/>
      <c r="H174" s="356"/>
      <c r="I174" s="356"/>
      <c r="J174" s="356"/>
      <c r="K174" s="356"/>
      <c r="L174" s="356"/>
      <c r="M174" s="356"/>
      <c r="N174" s="356"/>
      <c r="O174" s="356"/>
      <c r="P174" s="356"/>
      <c r="Q174" s="356"/>
      <c r="R174" s="365"/>
      <c r="S174" s="356"/>
      <c r="T174" s="356"/>
      <c r="U174" s="356"/>
      <c r="V174" s="356"/>
      <c r="W174" s="356"/>
      <c r="X174" s="356"/>
      <c r="Y174" s="356"/>
      <c r="Z174" s="365"/>
      <c r="AA174" s="356"/>
      <c r="AB174" s="356"/>
      <c r="AC174" s="356"/>
      <c r="AD174" s="356"/>
      <c r="AE174" s="356"/>
      <c r="AF174" s="356"/>
      <c r="AG174" s="356"/>
    </row>
    <row r="175" s="249" customFormat="1" hidden="1" customHeight="1" spans="1:33">
      <c r="A175" s="356"/>
      <c r="B175" s="356"/>
      <c r="C175" s="359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6"/>
      <c r="P175" s="356"/>
      <c r="Q175" s="356"/>
      <c r="R175" s="365"/>
      <c r="S175" s="356"/>
      <c r="T175" s="356"/>
      <c r="U175" s="356"/>
      <c r="V175" s="356"/>
      <c r="W175" s="356"/>
      <c r="X175" s="356"/>
      <c r="Y175" s="356"/>
      <c r="Z175" s="365"/>
      <c r="AA175" s="356"/>
      <c r="AB175" s="356"/>
      <c r="AC175" s="356"/>
      <c r="AD175" s="356"/>
      <c r="AE175" s="356"/>
      <c r="AF175" s="356"/>
      <c r="AG175" s="356"/>
    </row>
    <row r="176" s="249" customFormat="1" hidden="1" customHeight="1" spans="1:33">
      <c r="A176" s="356"/>
      <c r="B176" s="356"/>
      <c r="C176" s="359"/>
      <c r="D176" s="356"/>
      <c r="E176" s="356"/>
      <c r="F176" s="356"/>
      <c r="G176" s="356"/>
      <c r="H176" s="356"/>
      <c r="I176" s="356"/>
      <c r="J176" s="356"/>
      <c r="K176" s="356"/>
      <c r="L176" s="356"/>
      <c r="M176" s="356"/>
      <c r="N176" s="356"/>
      <c r="O176" s="356"/>
      <c r="P176" s="356"/>
      <c r="Q176" s="356"/>
      <c r="R176" s="365"/>
      <c r="S176" s="356"/>
      <c r="T176" s="356"/>
      <c r="U176" s="356"/>
      <c r="V176" s="356"/>
      <c r="W176" s="356"/>
      <c r="X176" s="356"/>
      <c r="Y176" s="356"/>
      <c r="Z176" s="365"/>
      <c r="AA176" s="356"/>
      <c r="AB176" s="356"/>
      <c r="AC176" s="356"/>
      <c r="AD176" s="356"/>
      <c r="AE176" s="356"/>
      <c r="AF176" s="356"/>
      <c r="AG176" s="356"/>
    </row>
    <row r="177" s="249" customFormat="1" hidden="1" customHeight="1" spans="1:33">
      <c r="A177" s="356"/>
      <c r="B177" s="356"/>
      <c r="C177" s="359"/>
      <c r="D177" s="356"/>
      <c r="E177" s="356"/>
      <c r="F177" s="356"/>
      <c r="G177" s="356"/>
      <c r="H177" s="356"/>
      <c r="I177" s="356"/>
      <c r="J177" s="356"/>
      <c r="K177" s="356"/>
      <c r="L177" s="356"/>
      <c r="M177" s="356"/>
      <c r="N177" s="356"/>
      <c r="O177" s="356"/>
      <c r="P177" s="356"/>
      <c r="Q177" s="356"/>
      <c r="R177" s="365"/>
      <c r="S177" s="356"/>
      <c r="T177" s="356"/>
      <c r="U177" s="356"/>
      <c r="V177" s="356"/>
      <c r="W177" s="356"/>
      <c r="X177" s="356"/>
      <c r="Y177" s="356"/>
      <c r="Z177" s="365"/>
      <c r="AA177" s="356"/>
      <c r="AB177" s="356"/>
      <c r="AC177" s="356"/>
      <c r="AD177" s="356"/>
      <c r="AE177" s="356"/>
      <c r="AF177" s="356"/>
      <c r="AG177" s="356"/>
    </row>
    <row r="178" s="249" customFormat="1" hidden="1" customHeight="1" spans="1:33">
      <c r="A178" s="356"/>
      <c r="B178" s="356"/>
      <c r="C178" s="359"/>
      <c r="D178" s="356"/>
      <c r="E178" s="356"/>
      <c r="F178" s="356"/>
      <c r="G178" s="356"/>
      <c r="H178" s="356"/>
      <c r="I178" s="356"/>
      <c r="J178" s="356"/>
      <c r="K178" s="356"/>
      <c r="L178" s="356"/>
      <c r="M178" s="356"/>
      <c r="N178" s="356"/>
      <c r="O178" s="356"/>
      <c r="P178" s="356"/>
      <c r="Q178" s="356"/>
      <c r="R178" s="365"/>
      <c r="S178" s="356"/>
      <c r="T178" s="356"/>
      <c r="U178" s="356"/>
      <c r="V178" s="356"/>
      <c r="W178" s="356"/>
      <c r="X178" s="356"/>
      <c r="Y178" s="356"/>
      <c r="Z178" s="365"/>
      <c r="AA178" s="356"/>
      <c r="AB178" s="356"/>
      <c r="AC178" s="356"/>
      <c r="AD178" s="356"/>
      <c r="AE178" s="356"/>
      <c r="AF178" s="356"/>
      <c r="AG178" s="356"/>
    </row>
    <row r="179" s="249" customFormat="1" hidden="1" customHeight="1" spans="1:33">
      <c r="A179" s="356"/>
      <c r="B179" s="356"/>
      <c r="C179" s="359"/>
      <c r="D179" s="356"/>
      <c r="E179" s="356"/>
      <c r="F179" s="356"/>
      <c r="G179" s="356"/>
      <c r="H179" s="356"/>
      <c r="I179" s="356"/>
      <c r="J179" s="356"/>
      <c r="K179" s="356"/>
      <c r="L179" s="356"/>
      <c r="M179" s="356"/>
      <c r="N179" s="356"/>
      <c r="O179" s="356"/>
      <c r="P179" s="356"/>
      <c r="Q179" s="356"/>
      <c r="R179" s="365"/>
      <c r="S179" s="356"/>
      <c r="T179" s="356"/>
      <c r="U179" s="356"/>
      <c r="V179" s="356"/>
      <c r="W179" s="356"/>
      <c r="X179" s="356"/>
      <c r="Y179" s="356"/>
      <c r="Z179" s="365"/>
      <c r="AA179" s="356"/>
      <c r="AB179" s="356"/>
      <c r="AC179" s="356"/>
      <c r="AD179" s="356"/>
      <c r="AE179" s="356"/>
      <c r="AF179" s="356"/>
      <c r="AG179" s="356"/>
    </row>
    <row r="180" s="249" customFormat="1" hidden="1" customHeight="1" spans="1:33">
      <c r="A180" s="356"/>
      <c r="B180" s="356"/>
      <c r="C180" s="359"/>
      <c r="D180" s="356"/>
      <c r="E180" s="356"/>
      <c r="F180" s="356"/>
      <c r="G180" s="356"/>
      <c r="H180" s="356"/>
      <c r="I180" s="356"/>
      <c r="J180" s="356"/>
      <c r="K180" s="356"/>
      <c r="L180" s="356"/>
      <c r="M180" s="356"/>
      <c r="N180" s="356"/>
      <c r="O180" s="356"/>
      <c r="P180" s="356"/>
      <c r="Q180" s="356"/>
      <c r="R180" s="365"/>
      <c r="S180" s="356"/>
      <c r="T180" s="356"/>
      <c r="U180" s="356"/>
      <c r="V180" s="356"/>
      <c r="W180" s="356"/>
      <c r="X180" s="356"/>
      <c r="Y180" s="356"/>
      <c r="Z180" s="365"/>
      <c r="AA180" s="356"/>
      <c r="AB180" s="356"/>
      <c r="AC180" s="356"/>
      <c r="AD180" s="356"/>
      <c r="AE180" s="356"/>
      <c r="AF180" s="356"/>
      <c r="AG180" s="356"/>
    </row>
    <row r="181" s="249" customFormat="1" hidden="1" customHeight="1" spans="1:33">
      <c r="A181" s="356"/>
      <c r="B181" s="356"/>
      <c r="C181" s="359"/>
      <c r="D181" s="356"/>
      <c r="E181" s="356"/>
      <c r="F181" s="356"/>
      <c r="G181" s="356"/>
      <c r="H181" s="356"/>
      <c r="I181" s="356"/>
      <c r="J181" s="356"/>
      <c r="K181" s="356"/>
      <c r="L181" s="356"/>
      <c r="M181" s="356"/>
      <c r="N181" s="356"/>
      <c r="O181" s="356"/>
      <c r="P181" s="356"/>
      <c r="Q181" s="356"/>
      <c r="R181" s="365"/>
      <c r="S181" s="356"/>
      <c r="T181" s="356"/>
      <c r="U181" s="356"/>
      <c r="V181" s="356"/>
      <c r="W181" s="356"/>
      <c r="X181" s="356"/>
      <c r="Y181" s="356"/>
      <c r="Z181" s="365"/>
      <c r="AA181" s="356"/>
      <c r="AB181" s="356"/>
      <c r="AC181" s="356"/>
      <c r="AD181" s="356"/>
      <c r="AE181" s="356"/>
      <c r="AF181" s="356"/>
      <c r="AG181" s="356"/>
    </row>
    <row r="182" s="249" customFormat="1" hidden="1" customHeight="1" spans="1:33">
      <c r="A182" s="356"/>
      <c r="B182" s="356"/>
      <c r="C182" s="359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6"/>
      <c r="P182" s="356"/>
      <c r="Q182" s="356"/>
      <c r="R182" s="365"/>
      <c r="S182" s="356"/>
      <c r="T182" s="356"/>
      <c r="U182" s="356"/>
      <c r="V182" s="356"/>
      <c r="W182" s="356"/>
      <c r="X182" s="356"/>
      <c r="Y182" s="356"/>
      <c r="Z182" s="365"/>
      <c r="AA182" s="356"/>
      <c r="AB182" s="356"/>
      <c r="AC182" s="356"/>
      <c r="AD182" s="356"/>
      <c r="AE182" s="356"/>
      <c r="AF182" s="356"/>
      <c r="AG182" s="356"/>
    </row>
    <row r="183" s="249" customFormat="1" hidden="1" customHeight="1" spans="1:33">
      <c r="A183" s="356"/>
      <c r="B183" s="356"/>
      <c r="C183" s="359"/>
      <c r="D183" s="356"/>
      <c r="E183" s="356"/>
      <c r="F183" s="356"/>
      <c r="G183" s="356"/>
      <c r="H183" s="356"/>
      <c r="I183" s="356"/>
      <c r="J183" s="356"/>
      <c r="K183" s="356"/>
      <c r="L183" s="356"/>
      <c r="M183" s="356"/>
      <c r="N183" s="356"/>
      <c r="O183" s="356"/>
      <c r="P183" s="356"/>
      <c r="Q183" s="356"/>
      <c r="R183" s="365"/>
      <c r="S183" s="356"/>
      <c r="T183" s="356"/>
      <c r="U183" s="356"/>
      <c r="V183" s="356"/>
      <c r="W183" s="356"/>
      <c r="X183" s="356"/>
      <c r="Y183" s="356"/>
      <c r="Z183" s="365"/>
      <c r="AA183" s="356"/>
      <c r="AB183" s="356"/>
      <c r="AC183" s="356"/>
      <c r="AD183" s="356"/>
      <c r="AE183" s="356"/>
      <c r="AF183" s="356"/>
      <c r="AG183" s="356"/>
    </row>
    <row r="184" s="249" customFormat="1" hidden="1" customHeight="1" spans="1:33">
      <c r="A184" s="356"/>
      <c r="B184" s="356"/>
      <c r="C184" s="359"/>
      <c r="D184" s="356"/>
      <c r="E184" s="356"/>
      <c r="F184" s="356"/>
      <c r="G184" s="356"/>
      <c r="H184" s="356"/>
      <c r="I184" s="356"/>
      <c r="J184" s="356"/>
      <c r="K184" s="356"/>
      <c r="L184" s="356"/>
      <c r="M184" s="356"/>
      <c r="N184" s="356"/>
      <c r="O184" s="356"/>
      <c r="P184" s="356"/>
      <c r="Q184" s="356"/>
      <c r="R184" s="365"/>
      <c r="S184" s="356"/>
      <c r="T184" s="356"/>
      <c r="U184" s="356"/>
      <c r="V184" s="356"/>
      <c r="W184" s="356"/>
      <c r="X184" s="356"/>
      <c r="Y184" s="356"/>
      <c r="Z184" s="365"/>
      <c r="AA184" s="356"/>
      <c r="AB184" s="356"/>
      <c r="AC184" s="356"/>
      <c r="AD184" s="356"/>
      <c r="AE184" s="356"/>
      <c r="AF184" s="356"/>
      <c r="AG184" s="356"/>
    </row>
    <row r="185" s="249" customFormat="1" hidden="1" customHeight="1" spans="1:33">
      <c r="A185" s="356"/>
      <c r="B185" s="356"/>
      <c r="C185" s="359"/>
      <c r="D185" s="356"/>
      <c r="E185" s="356"/>
      <c r="F185" s="356"/>
      <c r="G185" s="356"/>
      <c r="H185" s="356"/>
      <c r="I185" s="356"/>
      <c r="J185" s="356"/>
      <c r="K185" s="356"/>
      <c r="L185" s="356"/>
      <c r="M185" s="356"/>
      <c r="N185" s="356"/>
      <c r="O185" s="356"/>
      <c r="P185" s="356"/>
      <c r="Q185" s="356"/>
      <c r="R185" s="365"/>
      <c r="S185" s="356"/>
      <c r="T185" s="356"/>
      <c r="U185" s="356"/>
      <c r="V185" s="356"/>
      <c r="W185" s="356"/>
      <c r="X185" s="356"/>
      <c r="Y185" s="356"/>
      <c r="Z185" s="365"/>
      <c r="AA185" s="356"/>
      <c r="AB185" s="356"/>
      <c r="AC185" s="356"/>
      <c r="AD185" s="356"/>
      <c r="AE185" s="356"/>
      <c r="AF185" s="356"/>
      <c r="AG185" s="356"/>
    </row>
    <row r="186" s="249" customFormat="1" hidden="1" customHeight="1" spans="1:33">
      <c r="A186" s="356"/>
      <c r="B186" s="356"/>
      <c r="C186" s="359"/>
      <c r="D186" s="356"/>
      <c r="E186" s="356"/>
      <c r="F186" s="356"/>
      <c r="G186" s="356"/>
      <c r="H186" s="356"/>
      <c r="I186" s="356"/>
      <c r="J186" s="356"/>
      <c r="K186" s="356"/>
      <c r="L186" s="356"/>
      <c r="M186" s="356"/>
      <c r="N186" s="356"/>
      <c r="O186" s="356"/>
      <c r="P186" s="356"/>
      <c r="Q186" s="356"/>
      <c r="R186" s="365"/>
      <c r="S186" s="356"/>
      <c r="T186" s="356"/>
      <c r="U186" s="356"/>
      <c r="V186" s="356"/>
      <c r="W186" s="356"/>
      <c r="X186" s="356"/>
      <c r="Y186" s="356"/>
      <c r="Z186" s="365"/>
      <c r="AA186" s="356"/>
      <c r="AB186" s="356"/>
      <c r="AC186" s="356"/>
      <c r="AD186" s="356"/>
      <c r="AE186" s="356"/>
      <c r="AF186" s="356"/>
      <c r="AG186" s="356"/>
    </row>
    <row r="187" s="249" customFormat="1" hidden="1" customHeight="1" spans="1:33">
      <c r="A187" s="356"/>
      <c r="B187" s="356"/>
      <c r="C187" s="359"/>
      <c r="D187" s="356"/>
      <c r="E187" s="356"/>
      <c r="F187" s="356"/>
      <c r="G187" s="356"/>
      <c r="H187" s="356"/>
      <c r="I187" s="356"/>
      <c r="J187" s="356"/>
      <c r="K187" s="356"/>
      <c r="L187" s="356"/>
      <c r="M187" s="356"/>
      <c r="N187" s="356"/>
      <c r="O187" s="356"/>
      <c r="P187" s="356"/>
      <c r="Q187" s="356"/>
      <c r="R187" s="365"/>
      <c r="S187" s="356"/>
      <c r="T187" s="356"/>
      <c r="U187" s="356"/>
      <c r="V187" s="356"/>
      <c r="W187" s="356"/>
      <c r="X187" s="356"/>
      <c r="Y187" s="356"/>
      <c r="Z187" s="365"/>
      <c r="AA187" s="356"/>
      <c r="AB187" s="356"/>
      <c r="AC187" s="356"/>
      <c r="AD187" s="356"/>
      <c r="AE187" s="356"/>
      <c r="AF187" s="356"/>
      <c r="AG187" s="356"/>
    </row>
    <row r="188" s="249" customFormat="1" hidden="1" customHeight="1" spans="1:33">
      <c r="A188" s="356"/>
      <c r="B188" s="356"/>
      <c r="C188" s="359"/>
      <c r="D188" s="356"/>
      <c r="E188" s="356"/>
      <c r="F188" s="356"/>
      <c r="G188" s="356"/>
      <c r="H188" s="356"/>
      <c r="I188" s="356"/>
      <c r="J188" s="356"/>
      <c r="K188" s="356"/>
      <c r="L188" s="356"/>
      <c r="M188" s="356"/>
      <c r="N188" s="356"/>
      <c r="O188" s="356"/>
      <c r="P188" s="356"/>
      <c r="Q188" s="356"/>
      <c r="R188" s="365"/>
      <c r="S188" s="356"/>
      <c r="T188" s="356"/>
      <c r="U188" s="356"/>
      <c r="V188" s="356"/>
      <c r="W188" s="356"/>
      <c r="X188" s="356"/>
      <c r="Y188" s="356"/>
      <c r="Z188" s="365"/>
      <c r="AA188" s="356"/>
      <c r="AB188" s="356"/>
      <c r="AC188" s="356"/>
      <c r="AD188" s="356"/>
      <c r="AE188" s="356"/>
      <c r="AF188" s="356"/>
      <c r="AG188" s="356"/>
    </row>
    <row r="189" s="249" customFormat="1" hidden="1" customHeight="1" spans="1:33">
      <c r="A189" s="356"/>
      <c r="B189" s="356"/>
      <c r="C189" s="359"/>
      <c r="D189" s="356"/>
      <c r="E189" s="356"/>
      <c r="F189" s="356"/>
      <c r="G189" s="356"/>
      <c r="H189" s="356"/>
      <c r="I189" s="356"/>
      <c r="J189" s="356"/>
      <c r="K189" s="356"/>
      <c r="L189" s="356"/>
      <c r="M189" s="356"/>
      <c r="N189" s="356"/>
      <c r="O189" s="356"/>
      <c r="P189" s="356"/>
      <c r="Q189" s="356"/>
      <c r="R189" s="365"/>
      <c r="S189" s="356"/>
      <c r="T189" s="356"/>
      <c r="U189" s="356"/>
      <c r="V189" s="356"/>
      <c r="W189" s="356"/>
      <c r="X189" s="356"/>
      <c r="Y189" s="356"/>
      <c r="Z189" s="365"/>
      <c r="AA189" s="356"/>
      <c r="AB189" s="356"/>
      <c r="AC189" s="356"/>
      <c r="AD189" s="356"/>
      <c r="AE189" s="356"/>
      <c r="AF189" s="356"/>
      <c r="AG189" s="356"/>
    </row>
    <row r="190" s="249" customFormat="1" hidden="1" customHeight="1" spans="1:33">
      <c r="A190" s="356"/>
      <c r="B190" s="356"/>
      <c r="C190" s="359"/>
      <c r="D190" s="356"/>
      <c r="E190" s="356"/>
      <c r="F190" s="356"/>
      <c r="G190" s="356"/>
      <c r="H190" s="356"/>
      <c r="I190" s="356"/>
      <c r="J190" s="356"/>
      <c r="K190" s="356"/>
      <c r="L190" s="356"/>
      <c r="M190" s="356"/>
      <c r="N190" s="356"/>
      <c r="O190" s="356"/>
      <c r="P190" s="356"/>
      <c r="Q190" s="356"/>
      <c r="R190" s="365"/>
      <c r="S190" s="356"/>
      <c r="T190" s="356"/>
      <c r="U190" s="356"/>
      <c r="V190" s="356"/>
      <c r="W190" s="356"/>
      <c r="X190" s="356"/>
      <c r="Y190" s="356"/>
      <c r="Z190" s="365"/>
      <c r="AA190" s="356"/>
      <c r="AB190" s="356"/>
      <c r="AC190" s="356"/>
      <c r="AD190" s="356"/>
      <c r="AE190" s="356"/>
      <c r="AF190" s="356"/>
      <c r="AG190" s="356"/>
    </row>
    <row r="191" s="249" customFormat="1" hidden="1" customHeight="1" spans="1:33">
      <c r="A191" s="356"/>
      <c r="B191" s="356"/>
      <c r="C191" s="359"/>
      <c r="D191" s="356"/>
      <c r="E191" s="356"/>
      <c r="F191" s="356"/>
      <c r="G191" s="356"/>
      <c r="H191" s="356"/>
      <c r="I191" s="356"/>
      <c r="J191" s="356"/>
      <c r="K191" s="356"/>
      <c r="L191" s="356"/>
      <c r="M191" s="356"/>
      <c r="N191" s="356"/>
      <c r="O191" s="356"/>
      <c r="P191" s="356"/>
      <c r="Q191" s="356"/>
      <c r="R191" s="365"/>
      <c r="S191" s="356"/>
      <c r="T191" s="356"/>
      <c r="U191" s="356"/>
      <c r="V191" s="356"/>
      <c r="W191" s="356"/>
      <c r="X191" s="356"/>
      <c r="Y191" s="356"/>
      <c r="Z191" s="365"/>
      <c r="AA191" s="356"/>
      <c r="AB191" s="356"/>
      <c r="AC191" s="356"/>
      <c r="AD191" s="356"/>
      <c r="AE191" s="356"/>
      <c r="AF191" s="356"/>
      <c r="AG191" s="356"/>
    </row>
    <row r="192" s="249" customFormat="1" hidden="1" customHeight="1" spans="1:33">
      <c r="A192" s="356"/>
      <c r="B192" s="356"/>
      <c r="C192" s="359"/>
      <c r="D192" s="356"/>
      <c r="E192" s="356"/>
      <c r="F192" s="356"/>
      <c r="G192" s="356"/>
      <c r="H192" s="356"/>
      <c r="I192" s="356"/>
      <c r="J192" s="356"/>
      <c r="K192" s="356"/>
      <c r="L192" s="356"/>
      <c r="M192" s="356"/>
      <c r="N192" s="356"/>
      <c r="O192" s="356"/>
      <c r="P192" s="356"/>
      <c r="Q192" s="356"/>
      <c r="R192" s="365"/>
      <c r="S192" s="356"/>
      <c r="T192" s="356"/>
      <c r="U192" s="356"/>
      <c r="V192" s="356"/>
      <c r="W192" s="356"/>
      <c r="X192" s="356"/>
      <c r="Y192" s="356"/>
      <c r="Z192" s="365"/>
      <c r="AA192" s="356"/>
      <c r="AB192" s="356"/>
      <c r="AC192" s="356"/>
      <c r="AD192" s="356"/>
      <c r="AE192" s="356"/>
      <c r="AF192" s="356"/>
      <c r="AG192" s="356"/>
    </row>
    <row r="193" s="249" customFormat="1" hidden="1" customHeight="1" spans="1:33">
      <c r="A193" s="356"/>
      <c r="B193" s="356"/>
      <c r="C193" s="359"/>
      <c r="D193" s="356"/>
      <c r="E193" s="356"/>
      <c r="F193" s="356"/>
      <c r="G193" s="356"/>
      <c r="H193" s="356"/>
      <c r="I193" s="356"/>
      <c r="J193" s="356"/>
      <c r="K193" s="356"/>
      <c r="L193" s="356"/>
      <c r="M193" s="356"/>
      <c r="N193" s="356"/>
      <c r="O193" s="356"/>
      <c r="P193" s="356"/>
      <c r="Q193" s="356"/>
      <c r="R193" s="365"/>
      <c r="S193" s="356"/>
      <c r="T193" s="356"/>
      <c r="U193" s="356"/>
      <c r="V193" s="356"/>
      <c r="W193" s="356"/>
      <c r="X193" s="356"/>
      <c r="Y193" s="356"/>
      <c r="Z193" s="365"/>
      <c r="AA193" s="356"/>
      <c r="AB193" s="356"/>
      <c r="AC193" s="356"/>
      <c r="AD193" s="356"/>
      <c r="AE193" s="356"/>
      <c r="AF193" s="356"/>
      <c r="AG193" s="356"/>
    </row>
    <row r="194" s="249" customFormat="1" hidden="1" customHeight="1" spans="1:33">
      <c r="A194" s="356"/>
      <c r="B194" s="356"/>
      <c r="C194" s="359"/>
      <c r="D194" s="356"/>
      <c r="E194" s="356"/>
      <c r="F194" s="356"/>
      <c r="G194" s="356"/>
      <c r="H194" s="356"/>
      <c r="I194" s="356"/>
      <c r="J194" s="356"/>
      <c r="K194" s="356"/>
      <c r="L194" s="356"/>
      <c r="M194" s="356"/>
      <c r="N194" s="356"/>
      <c r="O194" s="356"/>
      <c r="P194" s="356"/>
      <c r="Q194" s="356"/>
      <c r="R194" s="365"/>
      <c r="S194" s="356"/>
      <c r="T194" s="356"/>
      <c r="U194" s="356"/>
      <c r="V194" s="356"/>
      <c r="W194" s="356"/>
      <c r="X194" s="356"/>
      <c r="Y194" s="356"/>
      <c r="Z194" s="365"/>
      <c r="AA194" s="356"/>
      <c r="AB194" s="356"/>
      <c r="AC194" s="356"/>
      <c r="AD194" s="356"/>
      <c r="AE194" s="356"/>
      <c r="AF194" s="356"/>
      <c r="AG194" s="356"/>
    </row>
    <row r="195" s="249" customFormat="1" hidden="1" customHeight="1" spans="1:33">
      <c r="A195" s="356"/>
      <c r="B195" s="356"/>
      <c r="C195" s="359"/>
      <c r="D195" s="356"/>
      <c r="E195" s="356"/>
      <c r="F195" s="356"/>
      <c r="G195" s="356"/>
      <c r="H195" s="356"/>
      <c r="I195" s="356"/>
      <c r="J195" s="356"/>
      <c r="K195" s="356"/>
      <c r="L195" s="356"/>
      <c r="M195" s="356"/>
      <c r="N195" s="356"/>
      <c r="O195" s="356"/>
      <c r="P195" s="356"/>
      <c r="Q195" s="356"/>
      <c r="R195" s="365"/>
      <c r="S195" s="356"/>
      <c r="T195" s="356"/>
      <c r="U195" s="356"/>
      <c r="V195" s="356"/>
      <c r="W195" s="356"/>
      <c r="X195" s="356"/>
      <c r="Y195" s="356"/>
      <c r="Z195" s="365"/>
      <c r="AA195" s="356"/>
      <c r="AB195" s="356"/>
      <c r="AC195" s="356"/>
      <c r="AD195" s="356"/>
      <c r="AE195" s="356"/>
      <c r="AF195" s="356"/>
      <c r="AG195" s="356"/>
    </row>
    <row r="196" s="249" customFormat="1" hidden="1" customHeight="1" spans="1:33">
      <c r="A196" s="356"/>
      <c r="B196" s="356"/>
      <c r="C196" s="359"/>
      <c r="D196" s="356"/>
      <c r="E196" s="356"/>
      <c r="F196" s="356"/>
      <c r="G196" s="356"/>
      <c r="H196" s="356"/>
      <c r="I196" s="356"/>
      <c r="J196" s="356"/>
      <c r="K196" s="356"/>
      <c r="L196" s="356"/>
      <c r="M196" s="356"/>
      <c r="N196" s="356"/>
      <c r="O196" s="356"/>
      <c r="P196" s="356"/>
      <c r="Q196" s="356"/>
      <c r="R196" s="365"/>
      <c r="S196" s="356"/>
      <c r="T196" s="356"/>
      <c r="U196" s="356"/>
      <c r="V196" s="356"/>
      <c r="W196" s="356"/>
      <c r="X196" s="356"/>
      <c r="Y196" s="356"/>
      <c r="Z196" s="365"/>
      <c r="AA196" s="356"/>
      <c r="AB196" s="356"/>
      <c r="AC196" s="356"/>
      <c r="AD196" s="356"/>
      <c r="AE196" s="356"/>
      <c r="AF196" s="356"/>
      <c r="AG196" s="356"/>
    </row>
    <row r="197" s="249" customFormat="1" hidden="1" customHeight="1" spans="1:33">
      <c r="A197" s="356"/>
      <c r="B197" s="356"/>
      <c r="C197" s="359"/>
      <c r="D197" s="356"/>
      <c r="E197" s="356"/>
      <c r="F197" s="356"/>
      <c r="G197" s="356"/>
      <c r="H197" s="356"/>
      <c r="I197" s="356"/>
      <c r="J197" s="356"/>
      <c r="K197" s="356"/>
      <c r="L197" s="356"/>
      <c r="M197" s="356"/>
      <c r="N197" s="356"/>
      <c r="O197" s="356"/>
      <c r="P197" s="356"/>
      <c r="Q197" s="356"/>
      <c r="R197" s="365"/>
      <c r="S197" s="356"/>
      <c r="T197" s="356"/>
      <c r="U197" s="356"/>
      <c r="V197" s="356"/>
      <c r="W197" s="356"/>
      <c r="X197" s="356"/>
      <c r="Y197" s="356"/>
      <c r="Z197" s="365"/>
      <c r="AA197" s="356"/>
      <c r="AB197" s="356"/>
      <c r="AC197" s="356"/>
      <c r="AD197" s="356"/>
      <c r="AE197" s="356"/>
      <c r="AF197" s="356"/>
      <c r="AG197" s="356"/>
    </row>
    <row r="198" s="249" customFormat="1" hidden="1" customHeight="1" spans="1:33">
      <c r="A198" s="356"/>
      <c r="B198" s="356"/>
      <c r="C198" s="359"/>
      <c r="D198" s="356"/>
      <c r="E198" s="356"/>
      <c r="F198" s="356"/>
      <c r="G198" s="356"/>
      <c r="H198" s="356"/>
      <c r="I198" s="356"/>
      <c r="J198" s="356"/>
      <c r="K198" s="356"/>
      <c r="L198" s="356"/>
      <c r="M198" s="356"/>
      <c r="N198" s="356"/>
      <c r="O198" s="356"/>
      <c r="P198" s="356"/>
      <c r="Q198" s="356"/>
      <c r="R198" s="365"/>
      <c r="S198" s="356"/>
      <c r="T198" s="356"/>
      <c r="U198" s="356"/>
      <c r="V198" s="356"/>
      <c r="W198" s="356"/>
      <c r="X198" s="356"/>
      <c r="Y198" s="356"/>
      <c r="Z198" s="365"/>
      <c r="AA198" s="356"/>
      <c r="AB198" s="356"/>
      <c r="AC198" s="356"/>
      <c r="AD198" s="356"/>
      <c r="AE198" s="356"/>
      <c r="AF198" s="356"/>
      <c r="AG198" s="356"/>
    </row>
    <row r="199" s="249" customFormat="1" hidden="1" customHeight="1" spans="1:33">
      <c r="A199" s="356"/>
      <c r="B199" s="356"/>
      <c r="C199" s="359"/>
      <c r="D199" s="356"/>
      <c r="E199" s="356"/>
      <c r="F199" s="356"/>
      <c r="G199" s="356"/>
      <c r="H199" s="356"/>
      <c r="I199" s="356"/>
      <c r="J199" s="356"/>
      <c r="K199" s="356"/>
      <c r="L199" s="356"/>
      <c r="M199" s="356"/>
      <c r="N199" s="356"/>
      <c r="O199" s="356"/>
      <c r="P199" s="356"/>
      <c r="Q199" s="356"/>
      <c r="R199" s="365"/>
      <c r="S199" s="356"/>
      <c r="T199" s="356"/>
      <c r="U199" s="356"/>
      <c r="V199" s="356"/>
      <c r="W199" s="356"/>
      <c r="X199" s="356"/>
      <c r="Y199" s="356"/>
      <c r="Z199" s="365"/>
      <c r="AA199" s="356"/>
      <c r="AB199" s="356"/>
      <c r="AC199" s="356"/>
      <c r="AD199" s="356"/>
      <c r="AE199" s="356"/>
      <c r="AF199" s="356"/>
      <c r="AG199" s="356"/>
    </row>
    <row r="200" s="249" customFormat="1" hidden="1" customHeight="1" spans="1:33">
      <c r="A200" s="356"/>
      <c r="B200" s="356"/>
      <c r="C200" s="359"/>
      <c r="D200" s="356"/>
      <c r="E200" s="356"/>
      <c r="F200" s="356"/>
      <c r="G200" s="356"/>
      <c r="H200" s="356"/>
      <c r="I200" s="356"/>
      <c r="J200" s="356"/>
      <c r="K200" s="356"/>
      <c r="L200" s="356"/>
      <c r="M200" s="356"/>
      <c r="N200" s="356"/>
      <c r="O200" s="356"/>
      <c r="P200" s="356"/>
      <c r="Q200" s="356"/>
      <c r="R200" s="365"/>
      <c r="S200" s="356"/>
      <c r="T200" s="356"/>
      <c r="U200" s="356"/>
      <c r="V200" s="356"/>
      <c r="W200" s="356"/>
      <c r="X200" s="356"/>
      <c r="Y200" s="356"/>
      <c r="Z200" s="365"/>
      <c r="AA200" s="356"/>
      <c r="AB200" s="356"/>
      <c r="AC200" s="356"/>
      <c r="AD200" s="356"/>
      <c r="AE200" s="356"/>
      <c r="AF200" s="356"/>
      <c r="AG200" s="356"/>
    </row>
    <row r="201" s="249" customFormat="1" hidden="1" customHeight="1" spans="1:33">
      <c r="A201" s="356"/>
      <c r="B201" s="356"/>
      <c r="C201" s="359"/>
      <c r="D201" s="356"/>
      <c r="E201" s="356"/>
      <c r="F201" s="356"/>
      <c r="G201" s="356"/>
      <c r="H201" s="356"/>
      <c r="I201" s="356"/>
      <c r="J201" s="356"/>
      <c r="K201" s="356"/>
      <c r="L201" s="356"/>
      <c r="M201" s="356"/>
      <c r="N201" s="356"/>
      <c r="O201" s="356"/>
      <c r="P201" s="356"/>
      <c r="Q201" s="356"/>
      <c r="R201" s="365"/>
      <c r="S201" s="356"/>
      <c r="T201" s="356"/>
      <c r="U201" s="356"/>
      <c r="V201" s="356"/>
      <c r="W201" s="356"/>
      <c r="X201" s="356"/>
      <c r="Y201" s="356"/>
      <c r="Z201" s="365"/>
      <c r="AA201" s="356"/>
      <c r="AB201" s="356"/>
      <c r="AC201" s="356"/>
      <c r="AD201" s="356"/>
      <c r="AE201" s="356"/>
      <c r="AF201" s="356"/>
      <c r="AG201" s="356"/>
    </row>
    <row r="202" s="249" customFormat="1" hidden="1" customHeight="1" spans="1:33">
      <c r="A202" s="356"/>
      <c r="B202" s="356"/>
      <c r="C202" s="359"/>
      <c r="D202" s="356"/>
      <c r="E202" s="356"/>
      <c r="F202" s="356"/>
      <c r="G202" s="356"/>
      <c r="H202" s="356"/>
      <c r="I202" s="356"/>
      <c r="J202" s="356"/>
      <c r="K202" s="356"/>
      <c r="L202" s="356"/>
      <c r="M202" s="356"/>
      <c r="N202" s="356"/>
      <c r="O202" s="356"/>
      <c r="P202" s="356"/>
      <c r="Q202" s="356"/>
      <c r="R202" s="365"/>
      <c r="S202" s="356"/>
      <c r="T202" s="356"/>
      <c r="U202" s="356"/>
      <c r="V202" s="356"/>
      <c r="W202" s="356"/>
      <c r="X202" s="356"/>
      <c r="Y202" s="356"/>
      <c r="Z202" s="365"/>
      <c r="AA202" s="356"/>
      <c r="AB202" s="356"/>
      <c r="AC202" s="356"/>
      <c r="AD202" s="356"/>
      <c r="AE202" s="356"/>
      <c r="AF202" s="356"/>
      <c r="AG202" s="356"/>
    </row>
    <row r="203" s="249" customFormat="1" hidden="1" customHeight="1" spans="1:33">
      <c r="A203" s="356"/>
      <c r="B203" s="356"/>
      <c r="C203" s="359"/>
      <c r="D203" s="356"/>
      <c r="E203" s="356"/>
      <c r="F203" s="356"/>
      <c r="G203" s="356"/>
      <c r="H203" s="356"/>
      <c r="I203" s="356"/>
      <c r="J203" s="356"/>
      <c r="K203" s="356"/>
      <c r="L203" s="356"/>
      <c r="M203" s="356"/>
      <c r="N203" s="356"/>
      <c r="O203" s="356"/>
      <c r="P203" s="356"/>
      <c r="Q203" s="356"/>
      <c r="R203" s="365"/>
      <c r="S203" s="356"/>
      <c r="T203" s="356"/>
      <c r="U203" s="356"/>
      <c r="V203" s="356"/>
      <c r="W203" s="356"/>
      <c r="X203" s="356"/>
      <c r="Y203" s="356"/>
      <c r="Z203" s="365"/>
      <c r="AA203" s="356"/>
      <c r="AB203" s="356"/>
      <c r="AC203" s="356"/>
      <c r="AD203" s="356"/>
      <c r="AE203" s="356"/>
      <c r="AF203" s="356"/>
      <c r="AG203" s="356"/>
    </row>
    <row r="204" s="249" customFormat="1" hidden="1" customHeight="1" spans="1:33">
      <c r="A204" s="356"/>
      <c r="B204" s="356"/>
      <c r="C204" s="359"/>
      <c r="D204" s="356"/>
      <c r="E204" s="356"/>
      <c r="F204" s="356"/>
      <c r="G204" s="356"/>
      <c r="H204" s="356"/>
      <c r="I204" s="356"/>
      <c r="J204" s="356"/>
      <c r="K204" s="356"/>
      <c r="L204" s="356"/>
      <c r="M204" s="356"/>
      <c r="N204" s="356"/>
      <c r="O204" s="356"/>
      <c r="P204" s="356"/>
      <c r="Q204" s="356"/>
      <c r="R204" s="365"/>
      <c r="S204" s="356"/>
      <c r="T204" s="356"/>
      <c r="U204" s="356"/>
      <c r="V204" s="356"/>
      <c r="W204" s="356"/>
      <c r="X204" s="356"/>
      <c r="Y204" s="356"/>
      <c r="Z204" s="365"/>
      <c r="AA204" s="356"/>
      <c r="AB204" s="356"/>
      <c r="AC204" s="356"/>
      <c r="AD204" s="356"/>
      <c r="AE204" s="356"/>
      <c r="AF204" s="356"/>
      <c r="AG204" s="356"/>
    </row>
    <row r="205" s="249" customFormat="1" hidden="1" customHeight="1" spans="1:33">
      <c r="A205" s="356"/>
      <c r="B205" s="356"/>
      <c r="C205" s="359"/>
      <c r="D205" s="356"/>
      <c r="E205" s="356"/>
      <c r="F205" s="356"/>
      <c r="G205" s="356"/>
      <c r="H205" s="356"/>
      <c r="I205" s="356"/>
      <c r="J205" s="356"/>
      <c r="K205" s="356"/>
      <c r="L205" s="356"/>
      <c r="M205" s="356"/>
      <c r="N205" s="356"/>
      <c r="O205" s="356"/>
      <c r="P205" s="356"/>
      <c r="Q205" s="356"/>
      <c r="R205" s="365"/>
      <c r="S205" s="356"/>
      <c r="T205" s="356"/>
      <c r="U205" s="356"/>
      <c r="V205" s="356"/>
      <c r="W205" s="356"/>
      <c r="X205" s="356"/>
      <c r="Y205" s="356"/>
      <c r="Z205" s="365"/>
      <c r="AA205" s="356"/>
      <c r="AB205" s="356"/>
      <c r="AC205" s="356"/>
      <c r="AD205" s="356"/>
      <c r="AE205" s="356"/>
      <c r="AF205" s="356"/>
      <c r="AG205" s="356"/>
    </row>
    <row r="206" s="249" customFormat="1" hidden="1" customHeight="1" spans="1:33">
      <c r="A206" s="356"/>
      <c r="B206" s="356"/>
      <c r="C206" s="359"/>
      <c r="D206" s="356"/>
      <c r="E206" s="356"/>
      <c r="F206" s="356"/>
      <c r="G206" s="356"/>
      <c r="H206" s="356"/>
      <c r="I206" s="356"/>
      <c r="J206" s="356"/>
      <c r="K206" s="356"/>
      <c r="L206" s="356"/>
      <c r="M206" s="356"/>
      <c r="N206" s="356"/>
      <c r="O206" s="356"/>
      <c r="P206" s="356"/>
      <c r="Q206" s="356"/>
      <c r="R206" s="365"/>
      <c r="S206" s="356"/>
      <c r="T206" s="356"/>
      <c r="U206" s="356"/>
      <c r="V206" s="356"/>
      <c r="W206" s="356"/>
      <c r="X206" s="356"/>
      <c r="Y206" s="356"/>
      <c r="Z206" s="365"/>
      <c r="AA206" s="356"/>
      <c r="AB206" s="356"/>
      <c r="AC206" s="356"/>
      <c r="AD206" s="356"/>
      <c r="AE206" s="356"/>
      <c r="AF206" s="356"/>
      <c r="AG206" s="356"/>
    </row>
    <row r="207" s="250" customFormat="1" hidden="1" customHeight="1" spans="1:85">
      <c r="A207" s="368"/>
      <c r="B207" s="368"/>
      <c r="C207" s="369"/>
      <c r="D207" s="368"/>
      <c r="E207" s="368"/>
      <c r="F207" s="368"/>
      <c r="G207" s="368"/>
      <c r="H207" s="368"/>
      <c r="I207" s="368"/>
      <c r="J207" s="368"/>
      <c r="K207" s="368"/>
      <c r="L207" s="368"/>
      <c r="M207" s="368"/>
      <c r="N207" s="368"/>
      <c r="O207" s="368"/>
      <c r="P207" s="368"/>
      <c r="Q207" s="368"/>
      <c r="R207" s="370"/>
      <c r="S207" s="368"/>
      <c r="T207" s="368"/>
      <c r="U207" s="368"/>
      <c r="V207" s="368"/>
      <c r="W207" s="368"/>
      <c r="X207" s="368"/>
      <c r="Y207" s="368"/>
      <c r="Z207" s="370"/>
      <c r="AA207" s="368"/>
      <c r="AB207" s="368"/>
      <c r="AC207" s="368"/>
      <c r="AD207" s="368"/>
      <c r="AE207" s="368"/>
      <c r="AF207" s="368"/>
      <c r="AG207" s="368"/>
      <c r="AH207" s="249"/>
      <c r="AI207" s="249"/>
      <c r="AJ207" s="249"/>
      <c r="AK207" s="249"/>
      <c r="AL207" s="249"/>
      <c r="AM207" s="249"/>
      <c r="AN207" s="249"/>
      <c r="AO207" s="249"/>
      <c r="AP207" s="249"/>
      <c r="AQ207" s="249"/>
      <c r="AR207" s="249"/>
      <c r="AS207" s="249"/>
      <c r="AT207" s="249"/>
      <c r="AU207" s="249"/>
      <c r="AV207" s="249"/>
      <c r="AW207" s="249"/>
      <c r="AX207" s="249"/>
      <c r="AY207" s="249"/>
      <c r="AZ207" s="249"/>
      <c r="BA207" s="249"/>
      <c r="BB207" s="249"/>
      <c r="BC207" s="249"/>
      <c r="BD207" s="249"/>
      <c r="BE207" s="249"/>
      <c r="BF207" s="249"/>
      <c r="BG207" s="249"/>
      <c r="BH207" s="249"/>
      <c r="BI207" s="249"/>
      <c r="BJ207" s="249"/>
      <c r="BK207" s="249"/>
      <c r="BL207" s="249"/>
      <c r="BM207" s="249"/>
      <c r="BN207" s="249"/>
      <c r="BO207" s="249"/>
      <c r="BP207" s="249"/>
      <c r="BQ207" s="249"/>
      <c r="BR207" s="251"/>
      <c r="BS207" s="251"/>
      <c r="BT207" s="251"/>
      <c r="BU207" s="251"/>
      <c r="BV207" s="251"/>
      <c r="BW207" s="251"/>
      <c r="BX207" s="251"/>
      <c r="BY207" s="251"/>
      <c r="BZ207" s="251"/>
      <c r="CA207" s="251"/>
      <c r="CB207" s="251"/>
      <c r="CC207" s="251"/>
      <c r="CD207" s="251"/>
      <c r="CE207" s="251"/>
      <c r="CF207" s="251"/>
      <c r="CG207" s="251"/>
    </row>
    <row r="208" s="250" customFormat="1" hidden="1" customHeight="1" spans="1:85">
      <c r="A208" s="368"/>
      <c r="B208" s="368"/>
      <c r="C208" s="369"/>
      <c r="D208" s="368"/>
      <c r="E208" s="368"/>
      <c r="F208" s="368"/>
      <c r="G208" s="368"/>
      <c r="H208" s="368"/>
      <c r="I208" s="368"/>
      <c r="J208" s="368"/>
      <c r="K208" s="368"/>
      <c r="L208" s="368"/>
      <c r="M208" s="368"/>
      <c r="N208" s="368"/>
      <c r="O208" s="368"/>
      <c r="P208" s="368"/>
      <c r="Q208" s="368"/>
      <c r="R208" s="370"/>
      <c r="S208" s="368"/>
      <c r="T208" s="368"/>
      <c r="U208" s="368"/>
      <c r="V208" s="368"/>
      <c r="W208" s="368"/>
      <c r="X208" s="368"/>
      <c r="Y208" s="368"/>
      <c r="Z208" s="370"/>
      <c r="AA208" s="368"/>
      <c r="AB208" s="368"/>
      <c r="AC208" s="368"/>
      <c r="AD208" s="368"/>
      <c r="AE208" s="368"/>
      <c r="AF208" s="368"/>
      <c r="AG208" s="368"/>
      <c r="AH208" s="249"/>
      <c r="AI208" s="249"/>
      <c r="AJ208" s="249"/>
      <c r="AK208" s="249"/>
      <c r="AL208" s="249"/>
      <c r="AM208" s="249"/>
      <c r="AN208" s="249"/>
      <c r="AO208" s="249"/>
      <c r="AP208" s="249"/>
      <c r="AQ208" s="249"/>
      <c r="AR208" s="249"/>
      <c r="AS208" s="249"/>
      <c r="AT208" s="249"/>
      <c r="AU208" s="249"/>
      <c r="AV208" s="249"/>
      <c r="AW208" s="249"/>
      <c r="AX208" s="249"/>
      <c r="AY208" s="249"/>
      <c r="AZ208" s="249"/>
      <c r="BA208" s="249"/>
      <c r="BB208" s="249"/>
      <c r="BC208" s="249"/>
      <c r="BD208" s="249"/>
      <c r="BE208" s="249"/>
      <c r="BF208" s="249"/>
      <c r="BG208" s="249"/>
      <c r="BH208" s="249"/>
      <c r="BI208" s="249"/>
      <c r="BJ208" s="249"/>
      <c r="BK208" s="249"/>
      <c r="BL208" s="249"/>
      <c r="BM208" s="249"/>
      <c r="BN208" s="249"/>
      <c r="BO208" s="249"/>
      <c r="BP208" s="249"/>
      <c r="BQ208" s="249"/>
      <c r="BR208" s="251"/>
      <c r="BS208" s="251"/>
      <c r="BT208" s="251"/>
      <c r="BU208" s="251"/>
      <c r="BV208" s="251"/>
      <c r="BW208" s="251"/>
      <c r="BX208" s="251"/>
      <c r="BY208" s="251"/>
      <c r="BZ208" s="251"/>
      <c r="CA208" s="251"/>
      <c r="CB208" s="251"/>
      <c r="CC208" s="251"/>
      <c r="CD208" s="251"/>
      <c r="CE208" s="251"/>
      <c r="CF208" s="251"/>
      <c r="CG208" s="251"/>
    </row>
    <row r="209" s="250" customFormat="1" hidden="1" customHeight="1" spans="1:85">
      <c r="A209" s="368"/>
      <c r="B209" s="368"/>
      <c r="C209" s="369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8"/>
      <c r="P209" s="368"/>
      <c r="Q209" s="368"/>
      <c r="R209" s="370"/>
      <c r="S209" s="368"/>
      <c r="T209" s="368"/>
      <c r="U209" s="368"/>
      <c r="V209" s="368"/>
      <c r="W209" s="368"/>
      <c r="X209" s="368"/>
      <c r="Y209" s="368"/>
      <c r="Z209" s="370"/>
      <c r="AA209" s="368"/>
      <c r="AB209" s="368"/>
      <c r="AC209" s="368"/>
      <c r="AD209" s="368"/>
      <c r="AE209" s="368"/>
      <c r="AF209" s="368"/>
      <c r="AG209" s="368"/>
      <c r="AH209" s="249"/>
      <c r="AI209" s="249"/>
      <c r="AJ209" s="249"/>
      <c r="AK209" s="249"/>
      <c r="AL209" s="249"/>
      <c r="AM209" s="249"/>
      <c r="AN209" s="249"/>
      <c r="AO209" s="249"/>
      <c r="AP209" s="249"/>
      <c r="AQ209" s="249"/>
      <c r="AR209" s="249"/>
      <c r="AS209" s="249"/>
      <c r="AT209" s="249"/>
      <c r="AU209" s="249"/>
      <c r="AV209" s="249"/>
      <c r="AW209" s="249"/>
      <c r="AX209" s="249"/>
      <c r="AY209" s="249"/>
      <c r="AZ209" s="249"/>
      <c r="BA209" s="249"/>
      <c r="BB209" s="249"/>
      <c r="BC209" s="249"/>
      <c r="BD209" s="249"/>
      <c r="BE209" s="249"/>
      <c r="BF209" s="249"/>
      <c r="BG209" s="249"/>
      <c r="BH209" s="249"/>
      <c r="BI209" s="249"/>
      <c r="BJ209" s="249"/>
      <c r="BK209" s="249"/>
      <c r="BL209" s="249"/>
      <c r="BM209" s="249"/>
      <c r="BN209" s="249"/>
      <c r="BO209" s="249"/>
      <c r="BP209" s="249"/>
      <c r="BQ209" s="249"/>
      <c r="BR209" s="251"/>
      <c r="BS209" s="251"/>
      <c r="BT209" s="251"/>
      <c r="BU209" s="251"/>
      <c r="BV209" s="251"/>
      <c r="BW209" s="251"/>
      <c r="BX209" s="251"/>
      <c r="BY209" s="251"/>
      <c r="BZ209" s="251"/>
      <c r="CA209" s="251"/>
      <c r="CB209" s="251"/>
      <c r="CC209" s="251"/>
      <c r="CD209" s="251"/>
      <c r="CE209" s="251"/>
      <c r="CF209" s="251"/>
      <c r="CG209" s="251"/>
    </row>
    <row r="210" s="250" customFormat="1" hidden="1" customHeight="1" spans="1:85">
      <c r="A210" s="368"/>
      <c r="B210" s="368"/>
      <c r="C210" s="369"/>
      <c r="D210" s="368"/>
      <c r="E210" s="368"/>
      <c r="F210" s="368"/>
      <c r="G210" s="368"/>
      <c r="H210" s="368"/>
      <c r="I210" s="368"/>
      <c r="J210" s="368"/>
      <c r="K210" s="368"/>
      <c r="L210" s="368"/>
      <c r="M210" s="368"/>
      <c r="N210" s="368"/>
      <c r="O210" s="368"/>
      <c r="P210" s="368"/>
      <c r="Q210" s="368"/>
      <c r="R210" s="370"/>
      <c r="S210" s="368"/>
      <c r="T210" s="368"/>
      <c r="U210" s="368"/>
      <c r="V210" s="368"/>
      <c r="W210" s="368"/>
      <c r="X210" s="368"/>
      <c r="Y210" s="368"/>
      <c r="Z210" s="370"/>
      <c r="AA210" s="368"/>
      <c r="AB210" s="368"/>
      <c r="AC210" s="368"/>
      <c r="AD210" s="368"/>
      <c r="AE210" s="368"/>
      <c r="AF210" s="368"/>
      <c r="AG210" s="368"/>
      <c r="AH210" s="249"/>
      <c r="AI210" s="249"/>
      <c r="AJ210" s="249"/>
      <c r="AK210" s="249"/>
      <c r="AL210" s="249"/>
      <c r="AM210" s="249"/>
      <c r="AN210" s="249"/>
      <c r="AO210" s="249"/>
      <c r="AP210" s="249"/>
      <c r="AQ210" s="249"/>
      <c r="AR210" s="249"/>
      <c r="AS210" s="249"/>
      <c r="AT210" s="249"/>
      <c r="AU210" s="249"/>
      <c r="AV210" s="249"/>
      <c r="AW210" s="249"/>
      <c r="AX210" s="249"/>
      <c r="AY210" s="249"/>
      <c r="AZ210" s="249"/>
      <c r="BA210" s="249"/>
      <c r="BB210" s="249"/>
      <c r="BC210" s="249"/>
      <c r="BD210" s="249"/>
      <c r="BE210" s="249"/>
      <c r="BF210" s="249"/>
      <c r="BG210" s="249"/>
      <c r="BH210" s="249"/>
      <c r="BI210" s="249"/>
      <c r="BJ210" s="249"/>
      <c r="BK210" s="249"/>
      <c r="BL210" s="249"/>
      <c r="BM210" s="249"/>
      <c r="BN210" s="249"/>
      <c r="BO210" s="249"/>
      <c r="BP210" s="249"/>
      <c r="BQ210" s="249"/>
      <c r="BR210" s="251"/>
      <c r="BS210" s="251"/>
      <c r="BT210" s="251"/>
      <c r="BU210" s="251"/>
      <c r="BV210" s="251"/>
      <c r="BW210" s="251"/>
      <c r="BX210" s="251"/>
      <c r="BY210" s="251"/>
      <c r="BZ210" s="251"/>
      <c r="CA210" s="251"/>
      <c r="CB210" s="251"/>
      <c r="CC210" s="251"/>
      <c r="CD210" s="251"/>
      <c r="CE210" s="251"/>
      <c r="CF210" s="251"/>
      <c r="CG210" s="251"/>
    </row>
    <row r="211" s="250" customFormat="1" hidden="1" customHeight="1" spans="1:85">
      <c r="A211" s="368"/>
      <c r="B211" s="368"/>
      <c r="C211" s="369"/>
      <c r="D211" s="368"/>
      <c r="E211" s="368"/>
      <c r="F211" s="368"/>
      <c r="G211" s="368"/>
      <c r="H211" s="368"/>
      <c r="I211" s="368"/>
      <c r="J211" s="368"/>
      <c r="K211" s="368"/>
      <c r="L211" s="368"/>
      <c r="M211" s="368"/>
      <c r="N211" s="368"/>
      <c r="O211" s="368"/>
      <c r="P211" s="368"/>
      <c r="Q211" s="368"/>
      <c r="R211" s="370"/>
      <c r="S211" s="368"/>
      <c r="T211" s="368"/>
      <c r="U211" s="368"/>
      <c r="V211" s="368"/>
      <c r="W211" s="368"/>
      <c r="X211" s="368"/>
      <c r="Y211" s="368"/>
      <c r="Z211" s="370"/>
      <c r="AA211" s="368"/>
      <c r="AB211" s="368"/>
      <c r="AC211" s="368"/>
      <c r="AD211" s="368"/>
      <c r="AE211" s="368"/>
      <c r="AF211" s="368"/>
      <c r="AG211" s="368"/>
      <c r="AH211" s="249"/>
      <c r="AI211" s="249"/>
      <c r="AJ211" s="249"/>
      <c r="AK211" s="249"/>
      <c r="AL211" s="249"/>
      <c r="AM211" s="249"/>
      <c r="AN211" s="249"/>
      <c r="AO211" s="249"/>
      <c r="AP211" s="249"/>
      <c r="AQ211" s="249"/>
      <c r="AR211" s="249"/>
      <c r="AS211" s="249"/>
      <c r="AT211" s="249"/>
      <c r="AU211" s="249"/>
      <c r="AV211" s="249"/>
      <c r="AW211" s="249"/>
      <c r="AX211" s="249"/>
      <c r="AY211" s="249"/>
      <c r="AZ211" s="249"/>
      <c r="BA211" s="249"/>
      <c r="BB211" s="249"/>
      <c r="BC211" s="249"/>
      <c r="BD211" s="249"/>
      <c r="BE211" s="249"/>
      <c r="BF211" s="249"/>
      <c r="BG211" s="249"/>
      <c r="BH211" s="249"/>
      <c r="BI211" s="249"/>
      <c r="BJ211" s="249"/>
      <c r="BK211" s="249"/>
      <c r="BL211" s="249"/>
      <c r="BM211" s="249"/>
      <c r="BN211" s="249"/>
      <c r="BO211" s="249"/>
      <c r="BP211" s="249"/>
      <c r="BQ211" s="249"/>
      <c r="BR211" s="251"/>
      <c r="BS211" s="251"/>
      <c r="BT211" s="251"/>
      <c r="BU211" s="251"/>
      <c r="BV211" s="251"/>
      <c r="BW211" s="251"/>
      <c r="BX211" s="251"/>
      <c r="BY211" s="251"/>
      <c r="BZ211" s="251"/>
      <c r="CA211" s="251"/>
      <c r="CB211" s="251"/>
      <c r="CC211" s="251"/>
      <c r="CD211" s="251"/>
      <c r="CE211" s="251"/>
      <c r="CF211" s="251"/>
      <c r="CG211" s="251"/>
    </row>
    <row r="212" s="250" customFormat="1" hidden="1" customHeight="1" spans="1:85">
      <c r="A212" s="368"/>
      <c r="B212" s="368"/>
      <c r="C212" s="369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70"/>
      <c r="S212" s="368"/>
      <c r="T212" s="368"/>
      <c r="U212" s="368"/>
      <c r="V212" s="368"/>
      <c r="W212" s="368"/>
      <c r="X212" s="368"/>
      <c r="Y212" s="368"/>
      <c r="Z212" s="370"/>
      <c r="AA212" s="368"/>
      <c r="AB212" s="368"/>
      <c r="AC212" s="368"/>
      <c r="AD212" s="368"/>
      <c r="AE212" s="368"/>
      <c r="AF212" s="368"/>
      <c r="AG212" s="368"/>
      <c r="AH212" s="249"/>
      <c r="AI212" s="249"/>
      <c r="AJ212" s="249"/>
      <c r="AK212" s="249"/>
      <c r="AL212" s="249"/>
      <c r="AM212" s="249"/>
      <c r="AN212" s="249"/>
      <c r="AO212" s="249"/>
      <c r="AP212" s="249"/>
      <c r="AQ212" s="249"/>
      <c r="AR212" s="249"/>
      <c r="AS212" s="249"/>
      <c r="AT212" s="249"/>
      <c r="AU212" s="249"/>
      <c r="AV212" s="249"/>
      <c r="AW212" s="249"/>
      <c r="AX212" s="249"/>
      <c r="AY212" s="249"/>
      <c r="AZ212" s="249"/>
      <c r="BA212" s="249"/>
      <c r="BB212" s="249"/>
      <c r="BC212" s="249"/>
      <c r="BD212" s="249"/>
      <c r="BE212" s="249"/>
      <c r="BF212" s="249"/>
      <c r="BG212" s="249"/>
      <c r="BH212" s="249"/>
      <c r="BI212" s="249"/>
      <c r="BJ212" s="249"/>
      <c r="BK212" s="249"/>
      <c r="BL212" s="249"/>
      <c r="BM212" s="249"/>
      <c r="BN212" s="249"/>
      <c r="BO212" s="249"/>
      <c r="BP212" s="249"/>
      <c r="BQ212" s="249"/>
      <c r="BR212" s="251"/>
      <c r="BS212" s="251"/>
      <c r="BT212" s="251"/>
      <c r="BU212" s="251"/>
      <c r="BV212" s="251"/>
      <c r="BW212" s="251"/>
      <c r="BX212" s="251"/>
      <c r="BY212" s="251"/>
      <c r="BZ212" s="251"/>
      <c r="CA212" s="251"/>
      <c r="CB212" s="251"/>
      <c r="CC212" s="251"/>
      <c r="CD212" s="251"/>
      <c r="CE212" s="251"/>
      <c r="CF212" s="251"/>
      <c r="CG212" s="251"/>
    </row>
    <row r="213" s="250" customFormat="1" hidden="1" customHeight="1" spans="1:85">
      <c r="A213" s="368"/>
      <c r="B213" s="368"/>
      <c r="C213" s="369"/>
      <c r="D213" s="368"/>
      <c r="E213" s="368"/>
      <c r="F213" s="368"/>
      <c r="G213" s="368"/>
      <c r="H213" s="368"/>
      <c r="I213" s="368"/>
      <c r="J213" s="368"/>
      <c r="K213" s="368"/>
      <c r="L213" s="368"/>
      <c r="M213" s="368"/>
      <c r="N213" s="368"/>
      <c r="O213" s="368"/>
      <c r="P213" s="368"/>
      <c r="Q213" s="368"/>
      <c r="R213" s="370"/>
      <c r="S213" s="368"/>
      <c r="T213" s="368"/>
      <c r="U213" s="368"/>
      <c r="V213" s="368"/>
      <c r="W213" s="368"/>
      <c r="X213" s="368"/>
      <c r="Y213" s="368"/>
      <c r="Z213" s="370"/>
      <c r="AA213" s="368"/>
      <c r="AB213" s="368"/>
      <c r="AC213" s="368"/>
      <c r="AD213" s="368"/>
      <c r="AE213" s="368"/>
      <c r="AF213" s="368"/>
      <c r="AG213" s="368"/>
      <c r="AH213" s="249"/>
      <c r="AI213" s="249"/>
      <c r="AJ213" s="249"/>
      <c r="AK213" s="249"/>
      <c r="AL213" s="249"/>
      <c r="AM213" s="249"/>
      <c r="AN213" s="249"/>
      <c r="AO213" s="249"/>
      <c r="AP213" s="249"/>
      <c r="AQ213" s="249"/>
      <c r="AR213" s="249"/>
      <c r="AS213" s="249"/>
      <c r="AT213" s="249"/>
      <c r="AU213" s="249"/>
      <c r="AV213" s="249"/>
      <c r="AW213" s="249"/>
      <c r="AX213" s="249"/>
      <c r="AY213" s="249"/>
      <c r="AZ213" s="249"/>
      <c r="BA213" s="249"/>
      <c r="BB213" s="249"/>
      <c r="BC213" s="249"/>
      <c r="BD213" s="249"/>
      <c r="BE213" s="249"/>
      <c r="BF213" s="249"/>
      <c r="BG213" s="249"/>
      <c r="BH213" s="249"/>
      <c r="BI213" s="249"/>
      <c r="BJ213" s="249"/>
      <c r="BK213" s="249"/>
      <c r="BL213" s="249"/>
      <c r="BM213" s="249"/>
      <c r="BN213" s="249"/>
      <c r="BO213" s="249"/>
      <c r="BP213" s="249"/>
      <c r="BQ213" s="249"/>
      <c r="BR213" s="251"/>
      <c r="BS213" s="251"/>
      <c r="BT213" s="251"/>
      <c r="BU213" s="251"/>
      <c r="BV213" s="251"/>
      <c r="BW213" s="251"/>
      <c r="BX213" s="251"/>
      <c r="BY213" s="251"/>
      <c r="BZ213" s="251"/>
      <c r="CA213" s="251"/>
      <c r="CB213" s="251"/>
      <c r="CC213" s="251"/>
      <c r="CD213" s="251"/>
      <c r="CE213" s="251"/>
      <c r="CF213" s="251"/>
      <c r="CG213" s="251"/>
    </row>
    <row r="214" s="250" customFormat="1" hidden="1" customHeight="1" spans="1:85">
      <c r="A214" s="368"/>
      <c r="B214" s="368"/>
      <c r="C214" s="369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8"/>
      <c r="P214" s="368"/>
      <c r="Q214" s="368"/>
      <c r="R214" s="370"/>
      <c r="S214" s="368"/>
      <c r="T214" s="368"/>
      <c r="U214" s="368"/>
      <c r="V214" s="368"/>
      <c r="W214" s="368"/>
      <c r="X214" s="368"/>
      <c r="Y214" s="368"/>
      <c r="Z214" s="370"/>
      <c r="AA214" s="368"/>
      <c r="AB214" s="368"/>
      <c r="AC214" s="368"/>
      <c r="AD214" s="368"/>
      <c r="AE214" s="368"/>
      <c r="AF214" s="368"/>
      <c r="AG214" s="368"/>
      <c r="AH214" s="249"/>
      <c r="AI214" s="249"/>
      <c r="AJ214" s="249"/>
      <c r="AK214" s="249"/>
      <c r="AL214" s="249"/>
      <c r="AM214" s="249"/>
      <c r="AN214" s="249"/>
      <c r="AO214" s="249"/>
      <c r="AP214" s="249"/>
      <c r="AQ214" s="249"/>
      <c r="AR214" s="249"/>
      <c r="AS214" s="249"/>
      <c r="AT214" s="249"/>
      <c r="AU214" s="249"/>
      <c r="AV214" s="249"/>
      <c r="AW214" s="249"/>
      <c r="AX214" s="249"/>
      <c r="AY214" s="249"/>
      <c r="AZ214" s="249"/>
      <c r="BA214" s="249"/>
      <c r="BB214" s="249"/>
      <c r="BC214" s="249"/>
      <c r="BD214" s="249"/>
      <c r="BE214" s="249"/>
      <c r="BF214" s="249"/>
      <c r="BG214" s="249"/>
      <c r="BH214" s="249"/>
      <c r="BI214" s="249"/>
      <c r="BJ214" s="249"/>
      <c r="BK214" s="249"/>
      <c r="BL214" s="249"/>
      <c r="BM214" s="249"/>
      <c r="BN214" s="249"/>
      <c r="BO214" s="249"/>
      <c r="BP214" s="249"/>
      <c r="BQ214" s="249"/>
      <c r="BR214" s="251"/>
      <c r="BS214" s="251"/>
      <c r="BT214" s="251"/>
      <c r="BU214" s="251"/>
      <c r="BV214" s="251"/>
      <c r="BW214" s="251"/>
      <c r="BX214" s="251"/>
      <c r="BY214" s="251"/>
      <c r="BZ214" s="251"/>
      <c r="CA214" s="251"/>
      <c r="CB214" s="251"/>
      <c r="CC214" s="251"/>
      <c r="CD214" s="251"/>
      <c r="CE214" s="251"/>
      <c r="CF214" s="251"/>
      <c r="CG214" s="251"/>
    </row>
    <row r="215" s="250" customFormat="1" hidden="1" customHeight="1" spans="1:85">
      <c r="A215" s="368"/>
      <c r="B215" s="368"/>
      <c r="C215" s="369"/>
      <c r="D215" s="368"/>
      <c r="E215" s="368"/>
      <c r="F215" s="368"/>
      <c r="G215" s="368"/>
      <c r="H215" s="368"/>
      <c r="I215" s="368"/>
      <c r="J215" s="368"/>
      <c r="K215" s="368"/>
      <c r="L215" s="368"/>
      <c r="M215" s="368"/>
      <c r="N215" s="368"/>
      <c r="O215" s="368"/>
      <c r="P215" s="368"/>
      <c r="Q215" s="368"/>
      <c r="R215" s="370"/>
      <c r="S215" s="368"/>
      <c r="T215" s="368"/>
      <c r="U215" s="368"/>
      <c r="V215" s="368"/>
      <c r="W215" s="368"/>
      <c r="X215" s="368"/>
      <c r="Y215" s="368"/>
      <c r="Z215" s="370"/>
      <c r="AA215" s="368"/>
      <c r="AB215" s="368"/>
      <c r="AC215" s="368"/>
      <c r="AD215" s="368"/>
      <c r="AE215" s="368"/>
      <c r="AF215" s="368"/>
      <c r="AG215" s="368"/>
      <c r="AH215" s="249"/>
      <c r="AI215" s="249"/>
      <c r="AJ215" s="249"/>
      <c r="AK215" s="249"/>
      <c r="AL215" s="249"/>
      <c r="AM215" s="249"/>
      <c r="AN215" s="249"/>
      <c r="AO215" s="249"/>
      <c r="AP215" s="249"/>
      <c r="AQ215" s="249"/>
      <c r="AR215" s="249"/>
      <c r="AS215" s="249"/>
      <c r="AT215" s="249"/>
      <c r="AU215" s="249"/>
      <c r="AV215" s="249"/>
      <c r="AW215" s="249"/>
      <c r="AX215" s="249"/>
      <c r="AY215" s="249"/>
      <c r="AZ215" s="249"/>
      <c r="BA215" s="249"/>
      <c r="BB215" s="249"/>
      <c r="BC215" s="249"/>
      <c r="BD215" s="249"/>
      <c r="BE215" s="249"/>
      <c r="BF215" s="249"/>
      <c r="BG215" s="249"/>
      <c r="BH215" s="249"/>
      <c r="BI215" s="249"/>
      <c r="BJ215" s="249"/>
      <c r="BK215" s="249"/>
      <c r="BL215" s="249"/>
      <c r="BM215" s="249"/>
      <c r="BN215" s="249"/>
      <c r="BO215" s="249"/>
      <c r="BP215" s="249"/>
      <c r="BQ215" s="249"/>
      <c r="BR215" s="251"/>
      <c r="BS215" s="251"/>
      <c r="BT215" s="251"/>
      <c r="BU215" s="251"/>
      <c r="BV215" s="251"/>
      <c r="BW215" s="251"/>
      <c r="BX215" s="251"/>
      <c r="BY215" s="251"/>
      <c r="BZ215" s="251"/>
      <c r="CA215" s="251"/>
      <c r="CB215" s="251"/>
      <c r="CC215" s="251"/>
      <c r="CD215" s="251"/>
      <c r="CE215" s="251"/>
      <c r="CF215" s="251"/>
      <c r="CG215" s="251"/>
    </row>
    <row r="216" s="250" customFormat="1" hidden="1" customHeight="1" spans="1:85">
      <c r="A216" s="368"/>
      <c r="B216" s="368"/>
      <c r="C216" s="369"/>
      <c r="D216" s="368"/>
      <c r="E216" s="368"/>
      <c r="F216" s="368"/>
      <c r="G216" s="368"/>
      <c r="H216" s="368"/>
      <c r="I216" s="368"/>
      <c r="J216" s="368"/>
      <c r="K216" s="368"/>
      <c r="L216" s="368"/>
      <c r="M216" s="368"/>
      <c r="N216" s="368"/>
      <c r="O216" s="368"/>
      <c r="P216" s="368"/>
      <c r="Q216" s="368"/>
      <c r="R216" s="370"/>
      <c r="S216" s="368"/>
      <c r="T216" s="368"/>
      <c r="U216" s="368"/>
      <c r="V216" s="368"/>
      <c r="W216" s="368"/>
      <c r="X216" s="368"/>
      <c r="Y216" s="368"/>
      <c r="Z216" s="370"/>
      <c r="AA216" s="368"/>
      <c r="AB216" s="368"/>
      <c r="AC216" s="368"/>
      <c r="AD216" s="368"/>
      <c r="AE216" s="368"/>
      <c r="AF216" s="368"/>
      <c r="AG216" s="368"/>
      <c r="AH216" s="249"/>
      <c r="AI216" s="249"/>
      <c r="AJ216" s="249"/>
      <c r="AK216" s="249"/>
      <c r="AL216" s="249"/>
      <c r="AM216" s="249"/>
      <c r="AN216" s="249"/>
      <c r="AO216" s="249"/>
      <c r="AP216" s="249"/>
      <c r="AQ216" s="249"/>
      <c r="AR216" s="249"/>
      <c r="AS216" s="249"/>
      <c r="AT216" s="249"/>
      <c r="AU216" s="249"/>
      <c r="AV216" s="249"/>
      <c r="AW216" s="249"/>
      <c r="AX216" s="249"/>
      <c r="AY216" s="249"/>
      <c r="AZ216" s="249"/>
      <c r="BA216" s="249"/>
      <c r="BB216" s="249"/>
      <c r="BC216" s="249"/>
      <c r="BD216" s="249"/>
      <c r="BE216" s="249"/>
      <c r="BF216" s="249"/>
      <c r="BG216" s="249"/>
      <c r="BH216" s="249"/>
      <c r="BI216" s="249"/>
      <c r="BJ216" s="249"/>
      <c r="BK216" s="249"/>
      <c r="BL216" s="249"/>
      <c r="BM216" s="249"/>
      <c r="BN216" s="249"/>
      <c r="BO216" s="249"/>
      <c r="BP216" s="249"/>
      <c r="BQ216" s="249"/>
      <c r="BR216" s="251"/>
      <c r="BS216" s="251"/>
      <c r="BT216" s="251"/>
      <c r="BU216" s="251"/>
      <c r="BV216" s="251"/>
      <c r="BW216" s="251"/>
      <c r="BX216" s="251"/>
      <c r="BY216" s="251"/>
      <c r="BZ216" s="251"/>
      <c r="CA216" s="251"/>
      <c r="CB216" s="251"/>
      <c r="CC216" s="251"/>
      <c r="CD216" s="251"/>
      <c r="CE216" s="251"/>
      <c r="CF216" s="251"/>
      <c r="CG216" s="251"/>
    </row>
    <row r="217" s="250" customFormat="1" hidden="1" customHeight="1" spans="1:85">
      <c r="A217" s="368"/>
      <c r="B217" s="368"/>
      <c r="C217" s="369"/>
      <c r="D217" s="368"/>
      <c r="E217" s="368"/>
      <c r="F217" s="368"/>
      <c r="G217" s="368"/>
      <c r="H217" s="368"/>
      <c r="I217" s="368"/>
      <c r="J217" s="368"/>
      <c r="K217" s="368"/>
      <c r="L217" s="368"/>
      <c r="M217" s="368"/>
      <c r="N217" s="368"/>
      <c r="O217" s="368"/>
      <c r="P217" s="368"/>
      <c r="Q217" s="368"/>
      <c r="R217" s="370"/>
      <c r="S217" s="368"/>
      <c r="T217" s="368"/>
      <c r="U217" s="368"/>
      <c r="V217" s="368"/>
      <c r="W217" s="368"/>
      <c r="X217" s="368"/>
      <c r="Y217" s="368"/>
      <c r="Z217" s="370"/>
      <c r="AA217" s="368"/>
      <c r="AB217" s="368"/>
      <c r="AC217" s="368"/>
      <c r="AD217" s="368"/>
      <c r="AE217" s="368"/>
      <c r="AF217" s="368"/>
      <c r="AG217" s="368"/>
      <c r="AH217" s="249"/>
      <c r="AI217" s="249"/>
      <c r="AJ217" s="249"/>
      <c r="AK217" s="249"/>
      <c r="AL217" s="249"/>
      <c r="AM217" s="249"/>
      <c r="AN217" s="249"/>
      <c r="AO217" s="249"/>
      <c r="AP217" s="249"/>
      <c r="AQ217" s="249"/>
      <c r="AR217" s="249"/>
      <c r="AS217" s="249"/>
      <c r="AT217" s="249"/>
      <c r="AU217" s="249"/>
      <c r="AV217" s="249"/>
      <c r="AW217" s="249"/>
      <c r="AX217" s="249"/>
      <c r="AY217" s="249"/>
      <c r="AZ217" s="249"/>
      <c r="BA217" s="249"/>
      <c r="BB217" s="249"/>
      <c r="BC217" s="249"/>
      <c r="BD217" s="249"/>
      <c r="BE217" s="249"/>
      <c r="BF217" s="249"/>
      <c r="BG217" s="249"/>
      <c r="BH217" s="249"/>
      <c r="BI217" s="249"/>
      <c r="BJ217" s="249"/>
      <c r="BK217" s="249"/>
      <c r="BL217" s="249"/>
      <c r="BM217" s="249"/>
      <c r="BN217" s="249"/>
      <c r="BO217" s="249"/>
      <c r="BP217" s="249"/>
      <c r="BQ217" s="249"/>
      <c r="BR217" s="251"/>
      <c r="BS217" s="251"/>
      <c r="BT217" s="251"/>
      <c r="BU217" s="251"/>
      <c r="BV217" s="251"/>
      <c r="BW217" s="251"/>
      <c r="BX217" s="251"/>
      <c r="BY217" s="251"/>
      <c r="BZ217" s="251"/>
      <c r="CA217" s="251"/>
      <c r="CB217" s="251"/>
      <c r="CC217" s="251"/>
      <c r="CD217" s="251"/>
      <c r="CE217" s="251"/>
      <c r="CF217" s="251"/>
      <c r="CG217" s="251"/>
    </row>
    <row r="218" s="250" customFormat="1" hidden="1" customHeight="1" spans="1:85">
      <c r="A218" s="368"/>
      <c r="B218" s="368"/>
      <c r="C218" s="369"/>
      <c r="D218" s="368"/>
      <c r="E218" s="368"/>
      <c r="F218" s="368"/>
      <c r="G218" s="368"/>
      <c r="H218" s="368"/>
      <c r="I218" s="368"/>
      <c r="J218" s="368"/>
      <c r="K218" s="368"/>
      <c r="L218" s="368"/>
      <c r="M218" s="368"/>
      <c r="N218" s="368"/>
      <c r="O218" s="368"/>
      <c r="P218" s="368"/>
      <c r="Q218" s="368"/>
      <c r="R218" s="370"/>
      <c r="S218" s="368"/>
      <c r="T218" s="368"/>
      <c r="U218" s="368"/>
      <c r="V218" s="368"/>
      <c r="W218" s="368"/>
      <c r="X218" s="368"/>
      <c r="Y218" s="368"/>
      <c r="Z218" s="370"/>
      <c r="AA218" s="368"/>
      <c r="AB218" s="368"/>
      <c r="AC218" s="368"/>
      <c r="AD218" s="368"/>
      <c r="AE218" s="368"/>
      <c r="AF218" s="368"/>
      <c r="AG218" s="368"/>
      <c r="AH218" s="249"/>
      <c r="AI218" s="249"/>
      <c r="AJ218" s="249"/>
      <c r="AK218" s="249"/>
      <c r="AL218" s="249"/>
      <c r="AM218" s="249"/>
      <c r="AN218" s="249"/>
      <c r="AO218" s="249"/>
      <c r="AP218" s="249"/>
      <c r="AQ218" s="249"/>
      <c r="AR218" s="249"/>
      <c r="AS218" s="249"/>
      <c r="AT218" s="249"/>
      <c r="AU218" s="249"/>
      <c r="AV218" s="249"/>
      <c r="AW218" s="249"/>
      <c r="AX218" s="249"/>
      <c r="AY218" s="249"/>
      <c r="AZ218" s="249"/>
      <c r="BA218" s="249"/>
      <c r="BB218" s="249"/>
      <c r="BC218" s="249"/>
      <c r="BD218" s="249"/>
      <c r="BE218" s="249"/>
      <c r="BF218" s="249"/>
      <c r="BG218" s="249"/>
      <c r="BH218" s="249"/>
      <c r="BI218" s="249"/>
      <c r="BJ218" s="249"/>
      <c r="BK218" s="249"/>
      <c r="BL218" s="249"/>
      <c r="BM218" s="249"/>
      <c r="BN218" s="249"/>
      <c r="BO218" s="249"/>
      <c r="BP218" s="249"/>
      <c r="BQ218" s="249"/>
      <c r="BR218" s="251"/>
      <c r="BS218" s="251"/>
      <c r="BT218" s="251"/>
      <c r="BU218" s="251"/>
      <c r="BV218" s="251"/>
      <c r="BW218" s="251"/>
      <c r="BX218" s="251"/>
      <c r="BY218" s="251"/>
      <c r="BZ218" s="251"/>
      <c r="CA218" s="251"/>
      <c r="CB218" s="251"/>
      <c r="CC218" s="251"/>
      <c r="CD218" s="251"/>
      <c r="CE218" s="251"/>
      <c r="CF218" s="251"/>
      <c r="CG218" s="251"/>
    </row>
    <row r="219" s="250" customFormat="1" hidden="1" customHeight="1" spans="1:85">
      <c r="A219" s="368"/>
      <c r="B219" s="368"/>
      <c r="C219" s="369"/>
      <c r="D219" s="368"/>
      <c r="E219" s="368"/>
      <c r="F219" s="368"/>
      <c r="G219" s="368"/>
      <c r="H219" s="368"/>
      <c r="I219" s="368"/>
      <c r="J219" s="368"/>
      <c r="K219" s="368"/>
      <c r="L219" s="368"/>
      <c r="M219" s="368"/>
      <c r="N219" s="368"/>
      <c r="O219" s="368"/>
      <c r="P219" s="368"/>
      <c r="Q219" s="368"/>
      <c r="R219" s="370"/>
      <c r="S219" s="368"/>
      <c r="T219" s="368"/>
      <c r="U219" s="368"/>
      <c r="V219" s="368"/>
      <c r="W219" s="368"/>
      <c r="X219" s="368"/>
      <c r="Y219" s="368"/>
      <c r="Z219" s="370"/>
      <c r="AA219" s="368"/>
      <c r="AB219" s="368"/>
      <c r="AC219" s="368"/>
      <c r="AD219" s="368"/>
      <c r="AE219" s="368"/>
      <c r="AF219" s="368"/>
      <c r="AG219" s="368"/>
      <c r="AH219" s="249"/>
      <c r="AI219" s="249"/>
      <c r="AJ219" s="249"/>
      <c r="AK219" s="249"/>
      <c r="AL219" s="249"/>
      <c r="AM219" s="249"/>
      <c r="AN219" s="249"/>
      <c r="AO219" s="249"/>
      <c r="AP219" s="249"/>
      <c r="AQ219" s="249"/>
      <c r="AR219" s="249"/>
      <c r="AS219" s="249"/>
      <c r="AT219" s="249"/>
      <c r="AU219" s="249"/>
      <c r="AV219" s="249"/>
      <c r="AW219" s="249"/>
      <c r="AX219" s="249"/>
      <c r="AY219" s="249"/>
      <c r="AZ219" s="249"/>
      <c r="BA219" s="249"/>
      <c r="BB219" s="249"/>
      <c r="BC219" s="249"/>
      <c r="BD219" s="249"/>
      <c r="BE219" s="249"/>
      <c r="BF219" s="249"/>
      <c r="BG219" s="249"/>
      <c r="BH219" s="249"/>
      <c r="BI219" s="249"/>
      <c r="BJ219" s="249"/>
      <c r="BK219" s="249"/>
      <c r="BL219" s="249"/>
      <c r="BM219" s="249"/>
      <c r="BN219" s="249"/>
      <c r="BO219" s="249"/>
      <c r="BP219" s="249"/>
      <c r="BQ219" s="249"/>
      <c r="BR219" s="251"/>
      <c r="BS219" s="251"/>
      <c r="BT219" s="251"/>
      <c r="BU219" s="251"/>
      <c r="BV219" s="251"/>
      <c r="BW219" s="251"/>
      <c r="BX219" s="251"/>
      <c r="BY219" s="251"/>
      <c r="BZ219" s="251"/>
      <c r="CA219" s="251"/>
      <c r="CB219" s="251"/>
      <c r="CC219" s="251"/>
      <c r="CD219" s="251"/>
      <c r="CE219" s="251"/>
      <c r="CF219" s="251"/>
      <c r="CG219" s="251"/>
    </row>
    <row r="220" s="250" customFormat="1" hidden="1" customHeight="1" spans="1:85">
      <c r="A220" s="368"/>
      <c r="B220" s="368"/>
      <c r="C220" s="369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8"/>
      <c r="P220" s="368"/>
      <c r="Q220" s="368"/>
      <c r="R220" s="370"/>
      <c r="S220" s="368"/>
      <c r="T220" s="368"/>
      <c r="U220" s="368"/>
      <c r="V220" s="368"/>
      <c r="W220" s="368"/>
      <c r="X220" s="368"/>
      <c r="Y220" s="368"/>
      <c r="Z220" s="370"/>
      <c r="AA220" s="368"/>
      <c r="AB220" s="368"/>
      <c r="AC220" s="368"/>
      <c r="AD220" s="368"/>
      <c r="AE220" s="368"/>
      <c r="AF220" s="368"/>
      <c r="AG220" s="368"/>
      <c r="AH220" s="249"/>
      <c r="AI220" s="249"/>
      <c r="AJ220" s="249"/>
      <c r="AK220" s="249"/>
      <c r="AL220" s="249"/>
      <c r="AM220" s="249"/>
      <c r="AN220" s="249"/>
      <c r="AO220" s="249"/>
      <c r="AP220" s="249"/>
      <c r="AQ220" s="249"/>
      <c r="AR220" s="249"/>
      <c r="AS220" s="249"/>
      <c r="AT220" s="249"/>
      <c r="AU220" s="249"/>
      <c r="AV220" s="249"/>
      <c r="AW220" s="249"/>
      <c r="AX220" s="249"/>
      <c r="AY220" s="249"/>
      <c r="AZ220" s="249"/>
      <c r="BA220" s="249"/>
      <c r="BB220" s="249"/>
      <c r="BC220" s="249"/>
      <c r="BD220" s="249"/>
      <c r="BE220" s="249"/>
      <c r="BF220" s="249"/>
      <c r="BG220" s="249"/>
      <c r="BH220" s="249"/>
      <c r="BI220" s="249"/>
      <c r="BJ220" s="249"/>
      <c r="BK220" s="249"/>
      <c r="BL220" s="249"/>
      <c r="BM220" s="249"/>
      <c r="BN220" s="249"/>
      <c r="BO220" s="249"/>
      <c r="BP220" s="249"/>
      <c r="BQ220" s="249"/>
      <c r="BR220" s="251"/>
      <c r="BS220" s="251"/>
      <c r="BT220" s="251"/>
      <c r="BU220" s="251"/>
      <c r="BV220" s="251"/>
      <c r="BW220" s="251"/>
      <c r="BX220" s="251"/>
      <c r="BY220" s="251"/>
      <c r="BZ220" s="251"/>
      <c r="CA220" s="251"/>
      <c r="CB220" s="251"/>
      <c r="CC220" s="251"/>
      <c r="CD220" s="251"/>
      <c r="CE220" s="251"/>
      <c r="CF220" s="251"/>
      <c r="CG220" s="251"/>
    </row>
    <row r="221" s="250" customFormat="1" hidden="1" customHeight="1" spans="1:85">
      <c r="A221" s="368"/>
      <c r="B221" s="368"/>
      <c r="C221" s="369"/>
      <c r="D221" s="368"/>
      <c r="E221" s="368"/>
      <c r="F221" s="368"/>
      <c r="G221" s="368"/>
      <c r="H221" s="368"/>
      <c r="I221" s="368"/>
      <c r="J221" s="368"/>
      <c r="K221" s="368"/>
      <c r="L221" s="368"/>
      <c r="M221" s="368"/>
      <c r="N221" s="368"/>
      <c r="O221" s="368"/>
      <c r="P221" s="368"/>
      <c r="Q221" s="368"/>
      <c r="R221" s="370"/>
      <c r="S221" s="368"/>
      <c r="T221" s="368"/>
      <c r="U221" s="368"/>
      <c r="V221" s="368"/>
      <c r="W221" s="368"/>
      <c r="X221" s="368"/>
      <c r="Y221" s="368"/>
      <c r="Z221" s="370"/>
      <c r="AA221" s="368"/>
      <c r="AB221" s="368"/>
      <c r="AC221" s="368"/>
      <c r="AD221" s="368"/>
      <c r="AE221" s="368"/>
      <c r="AF221" s="368"/>
      <c r="AG221" s="368"/>
      <c r="AH221" s="249"/>
      <c r="AI221" s="249"/>
      <c r="AJ221" s="249"/>
      <c r="AK221" s="249"/>
      <c r="AL221" s="249"/>
      <c r="AM221" s="249"/>
      <c r="AN221" s="249"/>
      <c r="AO221" s="249"/>
      <c r="AP221" s="249"/>
      <c r="AQ221" s="249"/>
      <c r="AR221" s="249"/>
      <c r="AS221" s="249"/>
      <c r="AT221" s="249"/>
      <c r="AU221" s="249"/>
      <c r="AV221" s="249"/>
      <c r="AW221" s="249"/>
      <c r="AX221" s="249"/>
      <c r="AY221" s="249"/>
      <c r="AZ221" s="249"/>
      <c r="BA221" s="249"/>
      <c r="BB221" s="249"/>
      <c r="BC221" s="249"/>
      <c r="BD221" s="249"/>
      <c r="BE221" s="249"/>
      <c r="BF221" s="249"/>
      <c r="BG221" s="249"/>
      <c r="BH221" s="249"/>
      <c r="BI221" s="249"/>
      <c r="BJ221" s="249"/>
      <c r="BK221" s="249"/>
      <c r="BL221" s="249"/>
      <c r="BM221" s="249"/>
      <c r="BN221" s="249"/>
      <c r="BO221" s="249"/>
      <c r="BP221" s="249"/>
      <c r="BQ221" s="249"/>
      <c r="BR221" s="251"/>
      <c r="BS221" s="251"/>
      <c r="BT221" s="251"/>
      <c r="BU221" s="251"/>
      <c r="BV221" s="251"/>
      <c r="BW221" s="251"/>
      <c r="BX221" s="251"/>
      <c r="BY221" s="251"/>
      <c r="BZ221" s="251"/>
      <c r="CA221" s="251"/>
      <c r="CB221" s="251"/>
      <c r="CC221" s="251"/>
      <c r="CD221" s="251"/>
      <c r="CE221" s="251"/>
      <c r="CF221" s="251"/>
      <c r="CG221" s="251"/>
    </row>
    <row r="222" s="250" customFormat="1" hidden="1" customHeight="1" spans="1:85">
      <c r="A222" s="368"/>
      <c r="B222" s="368"/>
      <c r="C222" s="369"/>
      <c r="D222" s="368"/>
      <c r="E222" s="368"/>
      <c r="F222" s="368"/>
      <c r="G222" s="368"/>
      <c r="H222" s="368"/>
      <c r="I222" s="368"/>
      <c r="J222" s="368"/>
      <c r="K222" s="368"/>
      <c r="L222" s="368"/>
      <c r="M222" s="368"/>
      <c r="N222" s="368"/>
      <c r="O222" s="368"/>
      <c r="P222" s="368"/>
      <c r="Q222" s="368"/>
      <c r="R222" s="370"/>
      <c r="S222" s="368"/>
      <c r="T222" s="368"/>
      <c r="U222" s="368"/>
      <c r="V222" s="368"/>
      <c r="W222" s="368"/>
      <c r="X222" s="368"/>
      <c r="Y222" s="368"/>
      <c r="Z222" s="370"/>
      <c r="AA222" s="368"/>
      <c r="AB222" s="368"/>
      <c r="AC222" s="368"/>
      <c r="AD222" s="368"/>
      <c r="AE222" s="368"/>
      <c r="AF222" s="368"/>
      <c r="AG222" s="368"/>
      <c r="AH222" s="249"/>
      <c r="AI222" s="249"/>
      <c r="AJ222" s="249"/>
      <c r="AK222" s="249"/>
      <c r="AL222" s="249"/>
      <c r="AM222" s="249"/>
      <c r="AN222" s="249"/>
      <c r="AO222" s="249"/>
      <c r="AP222" s="249"/>
      <c r="AQ222" s="249"/>
      <c r="AR222" s="249"/>
      <c r="AS222" s="249"/>
      <c r="AT222" s="249"/>
      <c r="AU222" s="249"/>
      <c r="AV222" s="249"/>
      <c r="AW222" s="249"/>
      <c r="AX222" s="249"/>
      <c r="AY222" s="249"/>
      <c r="AZ222" s="249"/>
      <c r="BA222" s="249"/>
      <c r="BB222" s="249"/>
      <c r="BC222" s="249"/>
      <c r="BD222" s="249"/>
      <c r="BE222" s="249"/>
      <c r="BF222" s="249"/>
      <c r="BG222" s="249"/>
      <c r="BH222" s="249"/>
      <c r="BI222" s="249"/>
      <c r="BJ222" s="249"/>
      <c r="BK222" s="249"/>
      <c r="BL222" s="249"/>
      <c r="BM222" s="249"/>
      <c r="BN222" s="249"/>
      <c r="BO222" s="249"/>
      <c r="BP222" s="249"/>
      <c r="BQ222" s="249"/>
      <c r="BR222" s="251"/>
      <c r="BS222" s="251"/>
      <c r="BT222" s="251"/>
      <c r="BU222" s="251"/>
      <c r="BV222" s="251"/>
      <c r="BW222" s="251"/>
      <c r="BX222" s="251"/>
      <c r="BY222" s="251"/>
      <c r="BZ222" s="251"/>
      <c r="CA222" s="251"/>
      <c r="CB222" s="251"/>
      <c r="CC222" s="251"/>
      <c r="CD222" s="251"/>
      <c r="CE222" s="251"/>
      <c r="CF222" s="251"/>
      <c r="CG222" s="251"/>
    </row>
    <row r="223" s="250" customFormat="1" hidden="1" customHeight="1" spans="1:85">
      <c r="A223" s="368"/>
      <c r="B223" s="368"/>
      <c r="C223" s="369"/>
      <c r="D223" s="368"/>
      <c r="E223" s="368"/>
      <c r="F223" s="368"/>
      <c r="G223" s="368"/>
      <c r="H223" s="368"/>
      <c r="I223" s="368"/>
      <c r="J223" s="368"/>
      <c r="K223" s="368"/>
      <c r="L223" s="368"/>
      <c r="M223" s="368"/>
      <c r="N223" s="368"/>
      <c r="O223" s="368"/>
      <c r="P223" s="368"/>
      <c r="Q223" s="368"/>
      <c r="R223" s="370"/>
      <c r="S223" s="368"/>
      <c r="T223" s="368"/>
      <c r="U223" s="368"/>
      <c r="V223" s="368"/>
      <c r="W223" s="368"/>
      <c r="X223" s="368"/>
      <c r="Y223" s="368"/>
      <c r="Z223" s="370"/>
      <c r="AA223" s="368"/>
      <c r="AB223" s="368"/>
      <c r="AC223" s="368"/>
      <c r="AD223" s="368"/>
      <c r="AE223" s="368"/>
      <c r="AF223" s="368"/>
      <c r="AG223" s="368"/>
      <c r="AH223" s="249"/>
      <c r="AI223" s="249"/>
      <c r="AJ223" s="249"/>
      <c r="AK223" s="249"/>
      <c r="AL223" s="249"/>
      <c r="AM223" s="249"/>
      <c r="AN223" s="249"/>
      <c r="AO223" s="249"/>
      <c r="AP223" s="249"/>
      <c r="AQ223" s="249"/>
      <c r="AR223" s="249"/>
      <c r="AS223" s="249"/>
      <c r="AT223" s="249"/>
      <c r="AU223" s="249"/>
      <c r="AV223" s="249"/>
      <c r="AW223" s="249"/>
      <c r="AX223" s="249"/>
      <c r="AY223" s="249"/>
      <c r="AZ223" s="249"/>
      <c r="BA223" s="249"/>
      <c r="BB223" s="249"/>
      <c r="BC223" s="249"/>
      <c r="BD223" s="249"/>
      <c r="BE223" s="249"/>
      <c r="BF223" s="249"/>
      <c r="BG223" s="249"/>
      <c r="BH223" s="249"/>
      <c r="BI223" s="249"/>
      <c r="BJ223" s="249"/>
      <c r="BK223" s="249"/>
      <c r="BL223" s="249"/>
      <c r="BM223" s="249"/>
      <c r="BN223" s="249"/>
      <c r="BO223" s="249"/>
      <c r="BP223" s="249"/>
      <c r="BQ223" s="249"/>
      <c r="BR223" s="251"/>
      <c r="BS223" s="251"/>
      <c r="BT223" s="251"/>
      <c r="BU223" s="251"/>
      <c r="BV223" s="251"/>
      <c r="BW223" s="251"/>
      <c r="BX223" s="251"/>
      <c r="BY223" s="251"/>
      <c r="BZ223" s="251"/>
      <c r="CA223" s="251"/>
      <c r="CB223" s="251"/>
      <c r="CC223" s="251"/>
      <c r="CD223" s="251"/>
      <c r="CE223" s="251"/>
      <c r="CF223" s="251"/>
      <c r="CG223" s="251"/>
    </row>
    <row r="224" s="250" customFormat="1" hidden="1" customHeight="1" spans="1:85">
      <c r="A224" s="368"/>
      <c r="B224" s="368"/>
      <c r="C224" s="369"/>
      <c r="D224" s="368"/>
      <c r="E224" s="368"/>
      <c r="F224" s="368"/>
      <c r="G224" s="368"/>
      <c r="H224" s="368"/>
      <c r="I224" s="368"/>
      <c r="J224" s="368"/>
      <c r="K224" s="368"/>
      <c r="L224" s="368"/>
      <c r="M224" s="368"/>
      <c r="N224" s="368"/>
      <c r="O224" s="368"/>
      <c r="P224" s="368"/>
      <c r="Q224" s="368"/>
      <c r="R224" s="370"/>
      <c r="S224" s="368"/>
      <c r="T224" s="368"/>
      <c r="U224" s="368"/>
      <c r="V224" s="368"/>
      <c r="W224" s="368"/>
      <c r="X224" s="368"/>
      <c r="Y224" s="368"/>
      <c r="Z224" s="370"/>
      <c r="AA224" s="368"/>
      <c r="AB224" s="368"/>
      <c r="AC224" s="368"/>
      <c r="AD224" s="368"/>
      <c r="AE224" s="368"/>
      <c r="AF224" s="368"/>
      <c r="AG224" s="368"/>
      <c r="AH224" s="249"/>
      <c r="AI224" s="249"/>
      <c r="AJ224" s="249"/>
      <c r="AK224" s="249"/>
      <c r="AL224" s="249"/>
      <c r="AM224" s="249"/>
      <c r="AN224" s="249"/>
      <c r="AO224" s="249"/>
      <c r="AP224" s="249"/>
      <c r="AQ224" s="249"/>
      <c r="AR224" s="249"/>
      <c r="AS224" s="249"/>
      <c r="AT224" s="249"/>
      <c r="AU224" s="249"/>
      <c r="AV224" s="249"/>
      <c r="AW224" s="249"/>
      <c r="AX224" s="249"/>
      <c r="AY224" s="249"/>
      <c r="AZ224" s="249"/>
      <c r="BA224" s="249"/>
      <c r="BB224" s="249"/>
      <c r="BC224" s="249"/>
      <c r="BD224" s="249"/>
      <c r="BE224" s="249"/>
      <c r="BF224" s="249"/>
      <c r="BG224" s="249"/>
      <c r="BH224" s="249"/>
      <c r="BI224" s="249"/>
      <c r="BJ224" s="249"/>
      <c r="BK224" s="249"/>
      <c r="BL224" s="249"/>
      <c r="BM224" s="249"/>
      <c r="BN224" s="249"/>
      <c r="BO224" s="249"/>
      <c r="BP224" s="249"/>
      <c r="BQ224" s="249"/>
      <c r="BR224" s="251"/>
      <c r="BS224" s="251"/>
      <c r="BT224" s="251"/>
      <c r="BU224" s="251"/>
      <c r="BV224" s="251"/>
      <c r="BW224" s="251"/>
      <c r="BX224" s="251"/>
      <c r="BY224" s="251"/>
      <c r="BZ224" s="251"/>
      <c r="CA224" s="251"/>
      <c r="CB224" s="251"/>
      <c r="CC224" s="251"/>
      <c r="CD224" s="251"/>
      <c r="CE224" s="251"/>
      <c r="CF224" s="251"/>
      <c r="CG224" s="251"/>
    </row>
    <row r="225" s="250" customFormat="1" hidden="1" customHeight="1" spans="1:85">
      <c r="A225" s="368"/>
      <c r="B225" s="368"/>
      <c r="C225" s="369"/>
      <c r="D225" s="368"/>
      <c r="E225" s="368"/>
      <c r="F225" s="368"/>
      <c r="G225" s="368"/>
      <c r="H225" s="368"/>
      <c r="I225" s="368"/>
      <c r="J225" s="368"/>
      <c r="K225" s="368"/>
      <c r="L225" s="368"/>
      <c r="M225" s="368"/>
      <c r="N225" s="368"/>
      <c r="O225" s="368"/>
      <c r="P225" s="368"/>
      <c r="Q225" s="368"/>
      <c r="R225" s="370"/>
      <c r="S225" s="368"/>
      <c r="T225" s="368"/>
      <c r="U225" s="368"/>
      <c r="V225" s="368"/>
      <c r="W225" s="368"/>
      <c r="X225" s="368"/>
      <c r="Y225" s="368"/>
      <c r="Z225" s="370"/>
      <c r="AA225" s="368"/>
      <c r="AB225" s="368"/>
      <c r="AC225" s="368"/>
      <c r="AD225" s="368"/>
      <c r="AE225" s="368"/>
      <c r="AF225" s="368"/>
      <c r="AG225" s="368"/>
      <c r="AH225" s="249"/>
      <c r="AI225" s="249"/>
      <c r="AJ225" s="249"/>
      <c r="AK225" s="249"/>
      <c r="AL225" s="249"/>
      <c r="AM225" s="249"/>
      <c r="AN225" s="249"/>
      <c r="AO225" s="249"/>
      <c r="AP225" s="249"/>
      <c r="AQ225" s="249"/>
      <c r="AR225" s="249"/>
      <c r="AS225" s="249"/>
      <c r="AT225" s="249"/>
      <c r="AU225" s="249"/>
      <c r="AV225" s="249"/>
      <c r="AW225" s="249"/>
      <c r="AX225" s="249"/>
      <c r="AY225" s="249"/>
      <c r="AZ225" s="249"/>
      <c r="BA225" s="249"/>
      <c r="BB225" s="249"/>
      <c r="BC225" s="249"/>
      <c r="BD225" s="249"/>
      <c r="BE225" s="249"/>
      <c r="BF225" s="249"/>
      <c r="BG225" s="249"/>
      <c r="BH225" s="249"/>
      <c r="BI225" s="249"/>
      <c r="BJ225" s="249"/>
      <c r="BK225" s="249"/>
      <c r="BL225" s="249"/>
      <c r="BM225" s="249"/>
      <c r="BN225" s="249"/>
      <c r="BO225" s="249"/>
      <c r="BP225" s="249"/>
      <c r="BQ225" s="249"/>
      <c r="BR225" s="251"/>
      <c r="BS225" s="251"/>
      <c r="BT225" s="251"/>
      <c r="BU225" s="251"/>
      <c r="BV225" s="251"/>
      <c r="BW225" s="251"/>
      <c r="BX225" s="251"/>
      <c r="BY225" s="251"/>
      <c r="BZ225" s="251"/>
      <c r="CA225" s="251"/>
      <c r="CB225" s="251"/>
      <c r="CC225" s="251"/>
      <c r="CD225" s="251"/>
      <c r="CE225" s="251"/>
      <c r="CF225" s="251"/>
      <c r="CG225" s="251"/>
    </row>
    <row r="226" s="250" customFormat="1" hidden="1" customHeight="1" spans="1:85">
      <c r="A226" s="368"/>
      <c r="B226" s="368"/>
      <c r="C226" s="369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8"/>
      <c r="P226" s="368"/>
      <c r="Q226" s="368"/>
      <c r="R226" s="370"/>
      <c r="S226" s="368"/>
      <c r="T226" s="368"/>
      <c r="U226" s="368"/>
      <c r="V226" s="368"/>
      <c r="W226" s="368"/>
      <c r="X226" s="368"/>
      <c r="Y226" s="368"/>
      <c r="Z226" s="370"/>
      <c r="AA226" s="368"/>
      <c r="AB226" s="368"/>
      <c r="AC226" s="368"/>
      <c r="AD226" s="368"/>
      <c r="AE226" s="368"/>
      <c r="AF226" s="368"/>
      <c r="AG226" s="368"/>
      <c r="AH226" s="249"/>
      <c r="AI226" s="249"/>
      <c r="AJ226" s="249"/>
      <c r="AK226" s="249"/>
      <c r="AL226" s="249"/>
      <c r="AM226" s="249"/>
      <c r="AN226" s="249"/>
      <c r="AO226" s="249"/>
      <c r="AP226" s="249"/>
      <c r="AQ226" s="249"/>
      <c r="AR226" s="249"/>
      <c r="AS226" s="249"/>
      <c r="AT226" s="249"/>
      <c r="AU226" s="249"/>
      <c r="AV226" s="249"/>
      <c r="AW226" s="249"/>
      <c r="AX226" s="249"/>
      <c r="AY226" s="249"/>
      <c r="AZ226" s="249"/>
      <c r="BA226" s="249"/>
      <c r="BB226" s="249"/>
      <c r="BC226" s="249"/>
      <c r="BD226" s="249"/>
      <c r="BE226" s="249"/>
      <c r="BF226" s="249"/>
      <c r="BG226" s="249"/>
      <c r="BH226" s="249"/>
      <c r="BI226" s="249"/>
      <c r="BJ226" s="249"/>
      <c r="BK226" s="249"/>
      <c r="BL226" s="249"/>
      <c r="BM226" s="249"/>
      <c r="BN226" s="249"/>
      <c r="BO226" s="249"/>
      <c r="BP226" s="249"/>
      <c r="BQ226" s="249"/>
      <c r="BR226" s="251"/>
      <c r="BS226" s="251"/>
      <c r="BT226" s="251"/>
      <c r="BU226" s="251"/>
      <c r="BV226" s="251"/>
      <c r="BW226" s="251"/>
      <c r="BX226" s="251"/>
      <c r="BY226" s="251"/>
      <c r="BZ226" s="251"/>
      <c r="CA226" s="251"/>
      <c r="CB226" s="251"/>
      <c r="CC226" s="251"/>
      <c r="CD226" s="251"/>
      <c r="CE226" s="251"/>
      <c r="CF226" s="251"/>
      <c r="CG226" s="251"/>
    </row>
    <row r="227" s="250" customFormat="1" hidden="1" customHeight="1" spans="1:85">
      <c r="A227" s="368"/>
      <c r="B227" s="368"/>
      <c r="C227" s="369"/>
      <c r="D227" s="368"/>
      <c r="E227" s="368"/>
      <c r="F227" s="368"/>
      <c r="G227" s="368"/>
      <c r="H227" s="368"/>
      <c r="I227" s="368"/>
      <c r="J227" s="368"/>
      <c r="K227" s="368"/>
      <c r="L227" s="368"/>
      <c r="M227" s="368"/>
      <c r="N227" s="368"/>
      <c r="O227" s="368"/>
      <c r="P227" s="368"/>
      <c r="Q227" s="368"/>
      <c r="R227" s="370"/>
      <c r="S227" s="368"/>
      <c r="T227" s="368"/>
      <c r="U227" s="368"/>
      <c r="V227" s="368"/>
      <c r="W227" s="368"/>
      <c r="X227" s="368"/>
      <c r="Y227" s="368"/>
      <c r="Z227" s="370"/>
      <c r="AA227" s="368"/>
      <c r="AB227" s="368"/>
      <c r="AC227" s="368"/>
      <c r="AD227" s="368"/>
      <c r="AE227" s="368"/>
      <c r="AF227" s="368"/>
      <c r="AG227" s="368"/>
      <c r="AH227" s="249"/>
      <c r="AI227" s="249"/>
      <c r="AJ227" s="249"/>
      <c r="AK227" s="249"/>
      <c r="AL227" s="249"/>
      <c r="AM227" s="249"/>
      <c r="AN227" s="249"/>
      <c r="AO227" s="249"/>
      <c r="AP227" s="249"/>
      <c r="AQ227" s="249"/>
      <c r="AR227" s="249"/>
      <c r="AS227" s="249"/>
      <c r="AT227" s="249"/>
      <c r="AU227" s="249"/>
      <c r="AV227" s="249"/>
      <c r="AW227" s="249"/>
      <c r="AX227" s="249"/>
      <c r="AY227" s="249"/>
      <c r="AZ227" s="249"/>
      <c r="BA227" s="249"/>
      <c r="BB227" s="249"/>
      <c r="BC227" s="249"/>
      <c r="BD227" s="249"/>
      <c r="BE227" s="249"/>
      <c r="BF227" s="249"/>
      <c r="BG227" s="249"/>
      <c r="BH227" s="249"/>
      <c r="BI227" s="249"/>
      <c r="BJ227" s="249"/>
      <c r="BK227" s="249"/>
      <c r="BL227" s="249"/>
      <c r="BM227" s="249"/>
      <c r="BN227" s="249"/>
      <c r="BO227" s="249"/>
      <c r="BP227" s="249"/>
      <c r="BQ227" s="249"/>
      <c r="BR227" s="251"/>
      <c r="BS227" s="251"/>
      <c r="BT227" s="251"/>
      <c r="BU227" s="251"/>
      <c r="BV227" s="251"/>
      <c r="BW227" s="251"/>
      <c r="BX227" s="251"/>
      <c r="BY227" s="251"/>
      <c r="BZ227" s="251"/>
      <c r="CA227" s="251"/>
      <c r="CB227" s="251"/>
      <c r="CC227" s="251"/>
      <c r="CD227" s="251"/>
      <c r="CE227" s="251"/>
      <c r="CF227" s="251"/>
      <c r="CG227" s="251"/>
    </row>
    <row r="228" s="250" customFormat="1" hidden="1" customHeight="1" spans="1:85">
      <c r="A228" s="368"/>
      <c r="B228" s="368"/>
      <c r="C228" s="369"/>
      <c r="D228" s="368"/>
      <c r="E228" s="368"/>
      <c r="F228" s="368"/>
      <c r="G228" s="368"/>
      <c r="H228" s="368"/>
      <c r="I228" s="368"/>
      <c r="J228" s="368"/>
      <c r="K228" s="368"/>
      <c r="L228" s="368"/>
      <c r="M228" s="368"/>
      <c r="N228" s="368"/>
      <c r="O228" s="368"/>
      <c r="P228" s="368"/>
      <c r="Q228" s="368"/>
      <c r="R228" s="370"/>
      <c r="S228" s="368"/>
      <c r="T228" s="368"/>
      <c r="U228" s="368"/>
      <c r="V228" s="368"/>
      <c r="W228" s="368"/>
      <c r="X228" s="368"/>
      <c r="Y228" s="368"/>
      <c r="Z228" s="370"/>
      <c r="AA228" s="368"/>
      <c r="AB228" s="368"/>
      <c r="AC228" s="368"/>
      <c r="AD228" s="368"/>
      <c r="AE228" s="368"/>
      <c r="AF228" s="368"/>
      <c r="AG228" s="368"/>
      <c r="AH228" s="249"/>
      <c r="AI228" s="249"/>
      <c r="AJ228" s="249"/>
      <c r="AK228" s="249"/>
      <c r="AL228" s="249"/>
      <c r="AM228" s="249"/>
      <c r="AN228" s="249"/>
      <c r="AO228" s="249"/>
      <c r="AP228" s="249"/>
      <c r="AQ228" s="249"/>
      <c r="AR228" s="249"/>
      <c r="AS228" s="249"/>
      <c r="AT228" s="249"/>
      <c r="AU228" s="249"/>
      <c r="AV228" s="249"/>
      <c r="AW228" s="249"/>
      <c r="AX228" s="249"/>
      <c r="AY228" s="249"/>
      <c r="AZ228" s="249"/>
      <c r="BA228" s="249"/>
      <c r="BB228" s="249"/>
      <c r="BC228" s="249"/>
      <c r="BD228" s="249"/>
      <c r="BE228" s="249"/>
      <c r="BF228" s="249"/>
      <c r="BG228" s="249"/>
      <c r="BH228" s="249"/>
      <c r="BI228" s="249"/>
      <c r="BJ228" s="249"/>
      <c r="BK228" s="249"/>
      <c r="BL228" s="249"/>
      <c r="BM228" s="249"/>
      <c r="BN228" s="249"/>
      <c r="BO228" s="249"/>
      <c r="BP228" s="249"/>
      <c r="BQ228" s="249"/>
      <c r="BR228" s="251"/>
      <c r="BS228" s="251"/>
      <c r="BT228" s="251"/>
      <c r="BU228" s="251"/>
      <c r="BV228" s="251"/>
      <c r="BW228" s="251"/>
      <c r="BX228" s="251"/>
      <c r="BY228" s="251"/>
      <c r="BZ228" s="251"/>
      <c r="CA228" s="251"/>
      <c r="CB228" s="251"/>
      <c r="CC228" s="251"/>
      <c r="CD228" s="251"/>
      <c r="CE228" s="251"/>
      <c r="CF228" s="251"/>
      <c r="CG228" s="251"/>
    </row>
    <row r="229" s="250" customFormat="1" hidden="1" customHeight="1" spans="1:85">
      <c r="A229" s="368"/>
      <c r="B229" s="368"/>
      <c r="C229" s="369"/>
      <c r="D229" s="368"/>
      <c r="E229" s="368"/>
      <c r="F229" s="368"/>
      <c r="G229" s="368"/>
      <c r="H229" s="368"/>
      <c r="I229" s="368"/>
      <c r="J229" s="368"/>
      <c r="K229" s="368"/>
      <c r="L229" s="368"/>
      <c r="M229" s="368"/>
      <c r="N229" s="368"/>
      <c r="O229" s="368"/>
      <c r="P229" s="368"/>
      <c r="Q229" s="368"/>
      <c r="R229" s="370"/>
      <c r="S229" s="368"/>
      <c r="T229" s="368"/>
      <c r="U229" s="368"/>
      <c r="V229" s="368"/>
      <c r="W229" s="368"/>
      <c r="X229" s="368"/>
      <c r="Y229" s="368"/>
      <c r="Z229" s="370"/>
      <c r="AA229" s="368"/>
      <c r="AB229" s="368"/>
      <c r="AC229" s="368"/>
      <c r="AD229" s="368"/>
      <c r="AE229" s="368"/>
      <c r="AF229" s="368"/>
      <c r="AG229" s="368"/>
      <c r="AH229" s="249"/>
      <c r="AI229" s="249"/>
      <c r="AJ229" s="249"/>
      <c r="AK229" s="249"/>
      <c r="AL229" s="249"/>
      <c r="AM229" s="249"/>
      <c r="AN229" s="249"/>
      <c r="AO229" s="249"/>
      <c r="AP229" s="249"/>
      <c r="AQ229" s="249"/>
      <c r="AR229" s="249"/>
      <c r="AS229" s="249"/>
      <c r="AT229" s="249"/>
      <c r="AU229" s="249"/>
      <c r="AV229" s="249"/>
      <c r="AW229" s="249"/>
      <c r="AX229" s="249"/>
      <c r="AY229" s="249"/>
      <c r="AZ229" s="249"/>
      <c r="BA229" s="249"/>
      <c r="BB229" s="249"/>
      <c r="BC229" s="249"/>
      <c r="BD229" s="249"/>
      <c r="BE229" s="249"/>
      <c r="BF229" s="249"/>
      <c r="BG229" s="249"/>
      <c r="BH229" s="249"/>
      <c r="BI229" s="249"/>
      <c r="BJ229" s="249"/>
      <c r="BK229" s="249"/>
      <c r="BL229" s="249"/>
      <c r="BM229" s="249"/>
      <c r="BN229" s="249"/>
      <c r="BO229" s="249"/>
      <c r="BP229" s="249"/>
      <c r="BQ229" s="249"/>
      <c r="BR229" s="251"/>
      <c r="BS229" s="251"/>
      <c r="BT229" s="251"/>
      <c r="BU229" s="251"/>
      <c r="BV229" s="251"/>
      <c r="BW229" s="251"/>
      <c r="BX229" s="251"/>
      <c r="BY229" s="251"/>
      <c r="BZ229" s="251"/>
      <c r="CA229" s="251"/>
      <c r="CB229" s="251"/>
      <c r="CC229" s="251"/>
      <c r="CD229" s="251"/>
      <c r="CE229" s="251"/>
      <c r="CF229" s="251"/>
      <c r="CG229" s="251"/>
    </row>
    <row r="230" s="250" customFormat="1" hidden="1" customHeight="1" spans="1:85">
      <c r="A230" s="368"/>
      <c r="B230" s="368"/>
      <c r="C230" s="369"/>
      <c r="D230" s="368"/>
      <c r="E230" s="368"/>
      <c r="F230" s="368"/>
      <c r="G230" s="368"/>
      <c r="H230" s="368"/>
      <c r="I230" s="368"/>
      <c r="J230" s="368"/>
      <c r="K230" s="368"/>
      <c r="L230" s="368"/>
      <c r="M230" s="368"/>
      <c r="N230" s="368"/>
      <c r="O230" s="368"/>
      <c r="P230" s="368"/>
      <c r="Q230" s="368"/>
      <c r="R230" s="370"/>
      <c r="S230" s="368"/>
      <c r="T230" s="368"/>
      <c r="U230" s="368"/>
      <c r="V230" s="368"/>
      <c r="W230" s="368"/>
      <c r="X230" s="368"/>
      <c r="Y230" s="368"/>
      <c r="Z230" s="370"/>
      <c r="AA230" s="368"/>
      <c r="AB230" s="368"/>
      <c r="AC230" s="368"/>
      <c r="AD230" s="368"/>
      <c r="AE230" s="368"/>
      <c r="AF230" s="368"/>
      <c r="AG230" s="368"/>
      <c r="AH230" s="249"/>
      <c r="AI230" s="249"/>
      <c r="AJ230" s="249"/>
      <c r="AK230" s="249"/>
      <c r="AL230" s="249"/>
      <c r="AM230" s="249"/>
      <c r="AN230" s="249"/>
      <c r="AO230" s="249"/>
      <c r="AP230" s="249"/>
      <c r="AQ230" s="249"/>
      <c r="AR230" s="249"/>
      <c r="AS230" s="249"/>
      <c r="AT230" s="249"/>
      <c r="AU230" s="249"/>
      <c r="AV230" s="249"/>
      <c r="AW230" s="249"/>
      <c r="AX230" s="249"/>
      <c r="AY230" s="249"/>
      <c r="AZ230" s="249"/>
      <c r="BA230" s="249"/>
      <c r="BB230" s="249"/>
      <c r="BC230" s="249"/>
      <c r="BD230" s="249"/>
      <c r="BE230" s="249"/>
      <c r="BF230" s="249"/>
      <c r="BG230" s="249"/>
      <c r="BH230" s="249"/>
      <c r="BI230" s="249"/>
      <c r="BJ230" s="249"/>
      <c r="BK230" s="249"/>
      <c r="BL230" s="249"/>
      <c r="BM230" s="249"/>
      <c r="BN230" s="249"/>
      <c r="BO230" s="249"/>
      <c r="BP230" s="249"/>
      <c r="BQ230" s="249"/>
      <c r="BR230" s="251"/>
      <c r="BS230" s="251"/>
      <c r="BT230" s="251"/>
      <c r="BU230" s="251"/>
      <c r="BV230" s="251"/>
      <c r="BW230" s="251"/>
      <c r="BX230" s="251"/>
      <c r="BY230" s="251"/>
      <c r="BZ230" s="251"/>
      <c r="CA230" s="251"/>
      <c r="CB230" s="251"/>
      <c r="CC230" s="251"/>
      <c r="CD230" s="251"/>
      <c r="CE230" s="251"/>
      <c r="CF230" s="251"/>
      <c r="CG230" s="251"/>
    </row>
    <row r="231" s="250" customFormat="1" hidden="1" customHeight="1" spans="1:85">
      <c r="A231" s="368"/>
      <c r="B231" s="368"/>
      <c r="C231" s="369"/>
      <c r="D231" s="368"/>
      <c r="E231" s="368"/>
      <c r="F231" s="368"/>
      <c r="G231" s="368"/>
      <c r="H231" s="368"/>
      <c r="I231" s="368"/>
      <c r="J231" s="368"/>
      <c r="K231" s="368"/>
      <c r="L231" s="368"/>
      <c r="M231" s="368"/>
      <c r="N231" s="368"/>
      <c r="O231" s="368"/>
      <c r="P231" s="368"/>
      <c r="Q231" s="368"/>
      <c r="R231" s="370"/>
      <c r="S231" s="368"/>
      <c r="T231" s="368"/>
      <c r="U231" s="368"/>
      <c r="V231" s="368"/>
      <c r="W231" s="368"/>
      <c r="X231" s="368"/>
      <c r="Y231" s="368"/>
      <c r="Z231" s="370"/>
      <c r="AA231" s="368"/>
      <c r="AB231" s="368"/>
      <c r="AC231" s="368"/>
      <c r="AD231" s="368"/>
      <c r="AE231" s="368"/>
      <c r="AF231" s="368"/>
      <c r="AG231" s="368"/>
      <c r="AH231" s="249"/>
      <c r="AI231" s="249"/>
      <c r="AJ231" s="249"/>
      <c r="AK231" s="249"/>
      <c r="AL231" s="249"/>
      <c r="AM231" s="249"/>
      <c r="AN231" s="249"/>
      <c r="AO231" s="249"/>
      <c r="AP231" s="249"/>
      <c r="AQ231" s="249"/>
      <c r="AR231" s="249"/>
      <c r="AS231" s="249"/>
      <c r="AT231" s="249"/>
      <c r="AU231" s="249"/>
      <c r="AV231" s="249"/>
      <c r="AW231" s="249"/>
      <c r="AX231" s="249"/>
      <c r="AY231" s="249"/>
      <c r="AZ231" s="249"/>
      <c r="BA231" s="249"/>
      <c r="BB231" s="249"/>
      <c r="BC231" s="249"/>
      <c r="BD231" s="249"/>
      <c r="BE231" s="249"/>
      <c r="BF231" s="249"/>
      <c r="BG231" s="249"/>
      <c r="BH231" s="249"/>
      <c r="BI231" s="249"/>
      <c r="BJ231" s="249"/>
      <c r="BK231" s="249"/>
      <c r="BL231" s="249"/>
      <c r="BM231" s="249"/>
      <c r="BN231" s="249"/>
      <c r="BO231" s="249"/>
      <c r="BP231" s="249"/>
      <c r="BQ231" s="249"/>
      <c r="BR231" s="251"/>
      <c r="BS231" s="251"/>
      <c r="BT231" s="251"/>
      <c r="BU231" s="251"/>
      <c r="BV231" s="251"/>
      <c r="BW231" s="251"/>
      <c r="BX231" s="251"/>
      <c r="BY231" s="251"/>
      <c r="BZ231" s="251"/>
      <c r="CA231" s="251"/>
      <c r="CB231" s="251"/>
      <c r="CC231" s="251"/>
      <c r="CD231" s="251"/>
      <c r="CE231" s="251"/>
      <c r="CF231" s="251"/>
      <c r="CG231" s="251"/>
    </row>
    <row r="232" s="250" customFormat="1" hidden="1" customHeight="1" spans="1:85">
      <c r="A232" s="368"/>
      <c r="B232" s="368"/>
      <c r="C232" s="369"/>
      <c r="D232" s="368"/>
      <c r="E232" s="368"/>
      <c r="F232" s="368"/>
      <c r="G232" s="368"/>
      <c r="H232" s="368"/>
      <c r="I232" s="368"/>
      <c r="J232" s="368"/>
      <c r="K232" s="368"/>
      <c r="L232" s="368"/>
      <c r="M232" s="368"/>
      <c r="N232" s="368"/>
      <c r="O232" s="368"/>
      <c r="P232" s="368"/>
      <c r="Q232" s="368"/>
      <c r="R232" s="370"/>
      <c r="S232" s="368"/>
      <c r="T232" s="368"/>
      <c r="U232" s="368"/>
      <c r="V232" s="368"/>
      <c r="W232" s="368"/>
      <c r="X232" s="368"/>
      <c r="Y232" s="368"/>
      <c r="Z232" s="370"/>
      <c r="AA232" s="368"/>
      <c r="AB232" s="368"/>
      <c r="AC232" s="368"/>
      <c r="AD232" s="368"/>
      <c r="AE232" s="368"/>
      <c r="AF232" s="368"/>
      <c r="AG232" s="368"/>
      <c r="AH232" s="249"/>
      <c r="AI232" s="249"/>
      <c r="AJ232" s="249"/>
      <c r="AK232" s="249"/>
      <c r="AL232" s="249"/>
      <c r="AM232" s="249"/>
      <c r="AN232" s="249"/>
      <c r="AO232" s="249"/>
      <c r="AP232" s="249"/>
      <c r="AQ232" s="249"/>
      <c r="AR232" s="249"/>
      <c r="AS232" s="249"/>
      <c r="AT232" s="249"/>
      <c r="AU232" s="249"/>
      <c r="AV232" s="249"/>
      <c r="AW232" s="249"/>
      <c r="AX232" s="249"/>
      <c r="AY232" s="249"/>
      <c r="AZ232" s="249"/>
      <c r="BA232" s="249"/>
      <c r="BB232" s="249"/>
      <c r="BC232" s="249"/>
      <c r="BD232" s="249"/>
      <c r="BE232" s="249"/>
      <c r="BF232" s="249"/>
      <c r="BG232" s="249"/>
      <c r="BH232" s="249"/>
      <c r="BI232" s="249"/>
      <c r="BJ232" s="249"/>
      <c r="BK232" s="249"/>
      <c r="BL232" s="249"/>
      <c r="BM232" s="249"/>
      <c r="BN232" s="249"/>
      <c r="BO232" s="249"/>
      <c r="BP232" s="249"/>
      <c r="BQ232" s="249"/>
      <c r="BR232" s="251"/>
      <c r="BS232" s="251"/>
      <c r="BT232" s="251"/>
      <c r="BU232" s="251"/>
      <c r="BV232" s="251"/>
      <c r="BW232" s="251"/>
      <c r="BX232" s="251"/>
      <c r="BY232" s="251"/>
      <c r="BZ232" s="251"/>
      <c r="CA232" s="251"/>
      <c r="CB232" s="251"/>
      <c r="CC232" s="251"/>
      <c r="CD232" s="251"/>
      <c r="CE232" s="251"/>
      <c r="CF232" s="251"/>
      <c r="CG232" s="251"/>
    </row>
    <row r="233" s="250" customFormat="1" hidden="1" customHeight="1" spans="1:85">
      <c r="A233" s="368"/>
      <c r="B233" s="368"/>
      <c r="C233" s="369"/>
      <c r="D233" s="368"/>
      <c r="E233" s="368"/>
      <c r="F233" s="368"/>
      <c r="G233" s="368"/>
      <c r="H233" s="368"/>
      <c r="I233" s="368"/>
      <c r="J233" s="368"/>
      <c r="K233" s="368"/>
      <c r="L233" s="368"/>
      <c r="M233" s="368"/>
      <c r="N233" s="368"/>
      <c r="O233" s="368"/>
      <c r="P233" s="368"/>
      <c r="Q233" s="368"/>
      <c r="R233" s="370"/>
      <c r="S233" s="368"/>
      <c r="T233" s="368"/>
      <c r="U233" s="368"/>
      <c r="V233" s="368"/>
      <c r="W233" s="368"/>
      <c r="X233" s="368"/>
      <c r="Y233" s="368"/>
      <c r="Z233" s="370"/>
      <c r="AA233" s="368"/>
      <c r="AB233" s="368"/>
      <c r="AC233" s="368"/>
      <c r="AD233" s="368"/>
      <c r="AE233" s="368"/>
      <c r="AF233" s="368"/>
      <c r="AG233" s="368"/>
      <c r="AH233" s="249"/>
      <c r="AI233" s="249"/>
      <c r="AJ233" s="249"/>
      <c r="AK233" s="249"/>
      <c r="AL233" s="249"/>
      <c r="AM233" s="249"/>
      <c r="AN233" s="249"/>
      <c r="AO233" s="249"/>
      <c r="AP233" s="249"/>
      <c r="AQ233" s="249"/>
      <c r="AR233" s="249"/>
      <c r="AS233" s="249"/>
      <c r="AT233" s="249"/>
      <c r="AU233" s="249"/>
      <c r="AV233" s="249"/>
      <c r="AW233" s="249"/>
      <c r="AX233" s="249"/>
      <c r="AY233" s="249"/>
      <c r="AZ233" s="249"/>
      <c r="BA233" s="249"/>
      <c r="BB233" s="249"/>
      <c r="BC233" s="249"/>
      <c r="BD233" s="249"/>
      <c r="BE233" s="249"/>
      <c r="BF233" s="249"/>
      <c r="BG233" s="249"/>
      <c r="BH233" s="249"/>
      <c r="BI233" s="249"/>
      <c r="BJ233" s="249"/>
      <c r="BK233" s="249"/>
      <c r="BL233" s="249"/>
      <c r="BM233" s="249"/>
      <c r="BN233" s="249"/>
      <c r="BO233" s="249"/>
      <c r="BP233" s="249"/>
      <c r="BQ233" s="249"/>
      <c r="BR233" s="251"/>
      <c r="BS233" s="251"/>
      <c r="BT233" s="251"/>
      <c r="BU233" s="251"/>
      <c r="BV233" s="251"/>
      <c r="BW233" s="251"/>
      <c r="BX233" s="251"/>
      <c r="BY233" s="251"/>
      <c r="BZ233" s="251"/>
      <c r="CA233" s="251"/>
      <c r="CB233" s="251"/>
      <c r="CC233" s="251"/>
      <c r="CD233" s="251"/>
      <c r="CE233" s="251"/>
      <c r="CF233" s="251"/>
      <c r="CG233" s="251"/>
    </row>
    <row r="234" s="250" customFormat="1" hidden="1" customHeight="1" spans="1:85">
      <c r="A234" s="368"/>
      <c r="B234" s="368"/>
      <c r="C234" s="369"/>
      <c r="D234" s="368"/>
      <c r="E234" s="368"/>
      <c r="F234" s="368"/>
      <c r="G234" s="368"/>
      <c r="H234" s="368"/>
      <c r="I234" s="368"/>
      <c r="J234" s="368"/>
      <c r="K234" s="368"/>
      <c r="L234" s="368"/>
      <c r="M234" s="368"/>
      <c r="N234" s="368"/>
      <c r="O234" s="368"/>
      <c r="P234" s="368"/>
      <c r="Q234" s="368"/>
      <c r="R234" s="370"/>
      <c r="S234" s="368"/>
      <c r="T234" s="368"/>
      <c r="U234" s="368"/>
      <c r="V234" s="368"/>
      <c r="W234" s="368"/>
      <c r="X234" s="368"/>
      <c r="Y234" s="368"/>
      <c r="Z234" s="370"/>
      <c r="AA234" s="368"/>
      <c r="AB234" s="368"/>
      <c r="AC234" s="368"/>
      <c r="AD234" s="368"/>
      <c r="AE234" s="368"/>
      <c r="AF234" s="368"/>
      <c r="AG234" s="368"/>
      <c r="AH234" s="249"/>
      <c r="AI234" s="249"/>
      <c r="AJ234" s="249"/>
      <c r="AK234" s="249"/>
      <c r="AL234" s="249"/>
      <c r="AM234" s="249"/>
      <c r="AN234" s="249"/>
      <c r="AO234" s="249"/>
      <c r="AP234" s="249"/>
      <c r="AQ234" s="249"/>
      <c r="AR234" s="249"/>
      <c r="AS234" s="249"/>
      <c r="AT234" s="249"/>
      <c r="AU234" s="249"/>
      <c r="AV234" s="249"/>
      <c r="AW234" s="249"/>
      <c r="AX234" s="249"/>
      <c r="AY234" s="249"/>
      <c r="AZ234" s="249"/>
      <c r="BA234" s="249"/>
      <c r="BB234" s="249"/>
      <c r="BC234" s="249"/>
      <c r="BD234" s="249"/>
      <c r="BE234" s="249"/>
      <c r="BF234" s="249"/>
      <c r="BG234" s="249"/>
      <c r="BH234" s="249"/>
      <c r="BI234" s="249"/>
      <c r="BJ234" s="249"/>
      <c r="BK234" s="249"/>
      <c r="BL234" s="249"/>
      <c r="BM234" s="249"/>
      <c r="BN234" s="249"/>
      <c r="BO234" s="249"/>
      <c r="BP234" s="249"/>
      <c r="BQ234" s="249"/>
      <c r="BR234" s="251"/>
      <c r="BS234" s="251"/>
      <c r="BT234" s="251"/>
      <c r="BU234" s="251"/>
      <c r="BV234" s="251"/>
      <c r="BW234" s="251"/>
      <c r="BX234" s="251"/>
      <c r="BY234" s="251"/>
      <c r="BZ234" s="251"/>
      <c r="CA234" s="251"/>
      <c r="CB234" s="251"/>
      <c r="CC234" s="251"/>
      <c r="CD234" s="251"/>
      <c r="CE234" s="251"/>
      <c r="CF234" s="251"/>
      <c r="CG234" s="251"/>
    </row>
    <row r="235" s="250" customFormat="1" hidden="1" customHeight="1" spans="1:85">
      <c r="A235" s="368"/>
      <c r="B235" s="368"/>
      <c r="C235" s="369"/>
      <c r="D235" s="368"/>
      <c r="E235" s="368"/>
      <c r="F235" s="368"/>
      <c r="G235" s="368"/>
      <c r="H235" s="368"/>
      <c r="I235" s="368"/>
      <c r="J235" s="368"/>
      <c r="K235" s="368"/>
      <c r="L235" s="368"/>
      <c r="M235" s="368"/>
      <c r="N235" s="368"/>
      <c r="O235" s="368"/>
      <c r="P235" s="368"/>
      <c r="Q235" s="368"/>
      <c r="R235" s="370"/>
      <c r="S235" s="368"/>
      <c r="T235" s="368"/>
      <c r="U235" s="368"/>
      <c r="V235" s="368"/>
      <c r="W235" s="368"/>
      <c r="X235" s="368"/>
      <c r="Y235" s="368"/>
      <c r="Z235" s="370"/>
      <c r="AA235" s="368"/>
      <c r="AB235" s="368"/>
      <c r="AC235" s="368"/>
      <c r="AD235" s="368"/>
      <c r="AE235" s="368"/>
      <c r="AF235" s="368"/>
      <c r="AG235" s="368"/>
      <c r="AH235" s="249"/>
      <c r="AI235" s="249"/>
      <c r="AJ235" s="249"/>
      <c r="AK235" s="249"/>
      <c r="AL235" s="249"/>
      <c r="AM235" s="249"/>
      <c r="AN235" s="249"/>
      <c r="AO235" s="249"/>
      <c r="AP235" s="249"/>
      <c r="AQ235" s="249"/>
      <c r="AR235" s="249"/>
      <c r="AS235" s="249"/>
      <c r="AT235" s="249"/>
      <c r="AU235" s="249"/>
      <c r="AV235" s="249"/>
      <c r="AW235" s="249"/>
      <c r="AX235" s="249"/>
      <c r="AY235" s="249"/>
      <c r="AZ235" s="249"/>
      <c r="BA235" s="249"/>
      <c r="BB235" s="249"/>
      <c r="BC235" s="249"/>
      <c r="BD235" s="249"/>
      <c r="BE235" s="249"/>
      <c r="BF235" s="249"/>
      <c r="BG235" s="249"/>
      <c r="BH235" s="249"/>
      <c r="BI235" s="249"/>
      <c r="BJ235" s="249"/>
      <c r="BK235" s="249"/>
      <c r="BL235" s="249"/>
      <c r="BM235" s="249"/>
      <c r="BN235" s="249"/>
      <c r="BO235" s="249"/>
      <c r="BP235" s="249"/>
      <c r="BQ235" s="249"/>
      <c r="BR235" s="251"/>
      <c r="BS235" s="251"/>
      <c r="BT235" s="251"/>
      <c r="BU235" s="251"/>
      <c r="BV235" s="251"/>
      <c r="BW235" s="251"/>
      <c r="BX235" s="251"/>
      <c r="BY235" s="251"/>
      <c r="BZ235" s="251"/>
      <c r="CA235" s="251"/>
      <c r="CB235" s="251"/>
      <c r="CC235" s="251"/>
      <c r="CD235" s="251"/>
      <c r="CE235" s="251"/>
      <c r="CF235" s="251"/>
      <c r="CG235" s="251"/>
    </row>
    <row r="236" s="250" customFormat="1" hidden="1" customHeight="1" spans="1:85">
      <c r="A236" s="368"/>
      <c r="B236" s="368"/>
      <c r="C236" s="369"/>
      <c r="D236" s="368"/>
      <c r="E236" s="368"/>
      <c r="F236" s="368"/>
      <c r="G236" s="368"/>
      <c r="H236" s="368"/>
      <c r="I236" s="368"/>
      <c r="J236" s="368"/>
      <c r="K236" s="368"/>
      <c r="L236" s="368"/>
      <c r="M236" s="368"/>
      <c r="N236" s="368"/>
      <c r="O236" s="368"/>
      <c r="P236" s="368"/>
      <c r="Q236" s="368"/>
      <c r="R236" s="370"/>
      <c r="S236" s="368"/>
      <c r="T236" s="368"/>
      <c r="U236" s="368"/>
      <c r="V236" s="368"/>
      <c r="W236" s="368"/>
      <c r="X236" s="368"/>
      <c r="Y236" s="368"/>
      <c r="Z236" s="370"/>
      <c r="AA236" s="368"/>
      <c r="AB236" s="368"/>
      <c r="AC236" s="368"/>
      <c r="AD236" s="368"/>
      <c r="AE236" s="368"/>
      <c r="AF236" s="368"/>
      <c r="AG236" s="368"/>
      <c r="AH236" s="249"/>
      <c r="AI236" s="249"/>
      <c r="AJ236" s="249"/>
      <c r="AK236" s="249"/>
      <c r="AL236" s="249"/>
      <c r="AM236" s="249"/>
      <c r="AN236" s="249"/>
      <c r="AO236" s="249"/>
      <c r="AP236" s="249"/>
      <c r="AQ236" s="249"/>
      <c r="AR236" s="249"/>
      <c r="AS236" s="249"/>
      <c r="AT236" s="249"/>
      <c r="AU236" s="249"/>
      <c r="AV236" s="249"/>
      <c r="AW236" s="249"/>
      <c r="AX236" s="249"/>
      <c r="AY236" s="249"/>
      <c r="AZ236" s="249"/>
      <c r="BA236" s="249"/>
      <c r="BB236" s="249"/>
      <c r="BC236" s="249"/>
      <c r="BD236" s="249"/>
      <c r="BE236" s="249"/>
      <c r="BF236" s="249"/>
      <c r="BG236" s="249"/>
      <c r="BH236" s="249"/>
      <c r="BI236" s="249"/>
      <c r="BJ236" s="249"/>
      <c r="BK236" s="249"/>
      <c r="BL236" s="249"/>
      <c r="BM236" s="249"/>
      <c r="BN236" s="249"/>
      <c r="BO236" s="249"/>
      <c r="BP236" s="249"/>
      <c r="BQ236" s="249"/>
      <c r="BR236" s="251"/>
      <c r="BS236" s="251"/>
      <c r="BT236" s="251"/>
      <c r="BU236" s="251"/>
      <c r="BV236" s="251"/>
      <c r="BW236" s="251"/>
      <c r="BX236" s="251"/>
      <c r="BY236" s="251"/>
      <c r="BZ236" s="251"/>
      <c r="CA236" s="251"/>
      <c r="CB236" s="251"/>
      <c r="CC236" s="251"/>
      <c r="CD236" s="251"/>
      <c r="CE236" s="251"/>
      <c r="CF236" s="251"/>
      <c r="CG236" s="251"/>
    </row>
    <row r="237" s="250" customFormat="1" hidden="1" customHeight="1" spans="1:85">
      <c r="A237" s="368"/>
      <c r="B237" s="368"/>
      <c r="C237" s="369"/>
      <c r="D237" s="368"/>
      <c r="E237" s="368"/>
      <c r="F237" s="368"/>
      <c r="G237" s="368"/>
      <c r="H237" s="368"/>
      <c r="I237" s="368"/>
      <c r="J237" s="368"/>
      <c r="K237" s="368"/>
      <c r="L237" s="368"/>
      <c r="M237" s="368"/>
      <c r="N237" s="368"/>
      <c r="O237" s="368"/>
      <c r="P237" s="368"/>
      <c r="Q237" s="368"/>
      <c r="R237" s="370"/>
      <c r="S237" s="368"/>
      <c r="T237" s="368"/>
      <c r="U237" s="368"/>
      <c r="V237" s="368"/>
      <c r="W237" s="368"/>
      <c r="X237" s="368"/>
      <c r="Y237" s="368"/>
      <c r="Z237" s="370"/>
      <c r="AA237" s="368"/>
      <c r="AB237" s="368"/>
      <c r="AC237" s="368"/>
      <c r="AD237" s="368"/>
      <c r="AE237" s="368"/>
      <c r="AF237" s="368"/>
      <c r="AG237" s="368"/>
      <c r="AH237" s="249"/>
      <c r="AI237" s="249"/>
      <c r="AJ237" s="249"/>
      <c r="AK237" s="249"/>
      <c r="AL237" s="249"/>
      <c r="AM237" s="249"/>
      <c r="AN237" s="249"/>
      <c r="AO237" s="249"/>
      <c r="AP237" s="249"/>
      <c r="AQ237" s="249"/>
      <c r="AR237" s="249"/>
      <c r="AS237" s="249"/>
      <c r="AT237" s="249"/>
      <c r="AU237" s="249"/>
      <c r="AV237" s="249"/>
      <c r="AW237" s="249"/>
      <c r="AX237" s="249"/>
      <c r="AY237" s="249"/>
      <c r="AZ237" s="249"/>
      <c r="BA237" s="249"/>
      <c r="BB237" s="249"/>
      <c r="BC237" s="249"/>
      <c r="BD237" s="249"/>
      <c r="BE237" s="249"/>
      <c r="BF237" s="249"/>
      <c r="BG237" s="249"/>
      <c r="BH237" s="249"/>
      <c r="BI237" s="249"/>
      <c r="BJ237" s="249"/>
      <c r="BK237" s="249"/>
      <c r="BL237" s="249"/>
      <c r="BM237" s="249"/>
      <c r="BN237" s="249"/>
      <c r="BO237" s="249"/>
      <c r="BP237" s="249"/>
      <c r="BQ237" s="249"/>
      <c r="BR237" s="251"/>
      <c r="BS237" s="251"/>
      <c r="BT237" s="251"/>
      <c r="BU237" s="251"/>
      <c r="BV237" s="251"/>
      <c r="BW237" s="251"/>
      <c r="BX237" s="251"/>
      <c r="BY237" s="251"/>
      <c r="BZ237" s="251"/>
      <c r="CA237" s="251"/>
      <c r="CB237" s="251"/>
      <c r="CC237" s="251"/>
      <c r="CD237" s="251"/>
      <c r="CE237" s="251"/>
      <c r="CF237" s="251"/>
      <c r="CG237" s="251"/>
    </row>
    <row r="238" s="250" customFormat="1" hidden="1" customHeight="1" spans="1:85">
      <c r="A238" s="368"/>
      <c r="B238" s="368"/>
      <c r="C238" s="369"/>
      <c r="D238" s="368"/>
      <c r="E238" s="368"/>
      <c r="F238" s="368"/>
      <c r="G238" s="368"/>
      <c r="H238" s="368"/>
      <c r="I238" s="368"/>
      <c r="J238" s="368"/>
      <c r="K238" s="368"/>
      <c r="L238" s="368"/>
      <c r="M238" s="368"/>
      <c r="N238" s="368"/>
      <c r="O238" s="368"/>
      <c r="P238" s="368"/>
      <c r="Q238" s="368"/>
      <c r="R238" s="370"/>
      <c r="S238" s="368"/>
      <c r="T238" s="368"/>
      <c r="U238" s="368"/>
      <c r="V238" s="368"/>
      <c r="W238" s="368"/>
      <c r="X238" s="368"/>
      <c r="Y238" s="368"/>
      <c r="Z238" s="370"/>
      <c r="AA238" s="368"/>
      <c r="AB238" s="368"/>
      <c r="AC238" s="368"/>
      <c r="AD238" s="368"/>
      <c r="AE238" s="368"/>
      <c r="AF238" s="368"/>
      <c r="AG238" s="368"/>
      <c r="AH238" s="249"/>
      <c r="AI238" s="249"/>
      <c r="AJ238" s="249"/>
      <c r="AK238" s="249"/>
      <c r="AL238" s="249"/>
      <c r="AM238" s="249"/>
      <c r="AN238" s="249"/>
      <c r="AO238" s="249"/>
      <c r="AP238" s="249"/>
      <c r="AQ238" s="249"/>
      <c r="AR238" s="249"/>
      <c r="AS238" s="249"/>
      <c r="AT238" s="249"/>
      <c r="AU238" s="249"/>
      <c r="AV238" s="249"/>
      <c r="AW238" s="249"/>
      <c r="AX238" s="249"/>
      <c r="AY238" s="249"/>
      <c r="AZ238" s="249"/>
      <c r="BA238" s="249"/>
      <c r="BB238" s="249"/>
      <c r="BC238" s="249"/>
      <c r="BD238" s="249"/>
      <c r="BE238" s="249"/>
      <c r="BF238" s="249"/>
      <c r="BG238" s="249"/>
      <c r="BH238" s="249"/>
      <c r="BI238" s="249"/>
      <c r="BJ238" s="249"/>
      <c r="BK238" s="249"/>
      <c r="BL238" s="249"/>
      <c r="BM238" s="249"/>
      <c r="BN238" s="249"/>
      <c r="BO238" s="249"/>
      <c r="BP238" s="249"/>
      <c r="BQ238" s="249"/>
      <c r="BR238" s="251"/>
      <c r="BS238" s="251"/>
      <c r="BT238" s="251"/>
      <c r="BU238" s="251"/>
      <c r="BV238" s="251"/>
      <c r="BW238" s="251"/>
      <c r="BX238" s="251"/>
      <c r="BY238" s="251"/>
      <c r="BZ238" s="251"/>
      <c r="CA238" s="251"/>
      <c r="CB238" s="251"/>
      <c r="CC238" s="251"/>
      <c r="CD238" s="251"/>
      <c r="CE238" s="251"/>
      <c r="CF238" s="251"/>
      <c r="CG238" s="251"/>
    </row>
    <row r="239" s="250" customFormat="1" hidden="1" customHeight="1" spans="1:85">
      <c r="A239" s="368"/>
      <c r="B239" s="368"/>
      <c r="C239" s="369"/>
      <c r="D239" s="368"/>
      <c r="E239" s="368"/>
      <c r="F239" s="368"/>
      <c r="G239" s="368"/>
      <c r="H239" s="368"/>
      <c r="I239" s="368"/>
      <c r="J239" s="368"/>
      <c r="K239" s="368"/>
      <c r="L239" s="368"/>
      <c r="M239" s="368"/>
      <c r="N239" s="368"/>
      <c r="O239" s="368"/>
      <c r="P239" s="368"/>
      <c r="Q239" s="368"/>
      <c r="R239" s="370"/>
      <c r="S239" s="368"/>
      <c r="T239" s="368"/>
      <c r="U239" s="368"/>
      <c r="V239" s="368"/>
      <c r="W239" s="368"/>
      <c r="X239" s="368"/>
      <c r="Y239" s="368"/>
      <c r="Z239" s="370"/>
      <c r="AA239" s="368"/>
      <c r="AB239" s="368"/>
      <c r="AC239" s="368"/>
      <c r="AD239" s="368"/>
      <c r="AE239" s="368"/>
      <c r="AF239" s="368"/>
      <c r="AG239" s="368"/>
      <c r="AH239" s="249"/>
      <c r="AI239" s="249"/>
      <c r="AJ239" s="249"/>
      <c r="AK239" s="249"/>
      <c r="AL239" s="249"/>
      <c r="AM239" s="249"/>
      <c r="AN239" s="249"/>
      <c r="AO239" s="249"/>
      <c r="AP239" s="249"/>
      <c r="AQ239" s="249"/>
      <c r="AR239" s="249"/>
      <c r="AS239" s="249"/>
      <c r="AT239" s="249"/>
      <c r="AU239" s="249"/>
      <c r="AV239" s="249"/>
      <c r="AW239" s="249"/>
      <c r="AX239" s="249"/>
      <c r="AY239" s="249"/>
      <c r="AZ239" s="249"/>
      <c r="BA239" s="249"/>
      <c r="BB239" s="249"/>
      <c r="BC239" s="249"/>
      <c r="BD239" s="249"/>
      <c r="BE239" s="249"/>
      <c r="BF239" s="249"/>
      <c r="BG239" s="249"/>
      <c r="BH239" s="249"/>
      <c r="BI239" s="249"/>
      <c r="BJ239" s="249"/>
      <c r="BK239" s="249"/>
      <c r="BL239" s="249"/>
      <c r="BM239" s="249"/>
      <c r="BN239" s="249"/>
      <c r="BO239" s="249"/>
      <c r="BP239" s="249"/>
      <c r="BQ239" s="249"/>
      <c r="BR239" s="251"/>
      <c r="BS239" s="251"/>
      <c r="BT239" s="251"/>
      <c r="BU239" s="251"/>
      <c r="BV239" s="251"/>
      <c r="BW239" s="251"/>
      <c r="BX239" s="251"/>
      <c r="BY239" s="251"/>
      <c r="BZ239" s="251"/>
      <c r="CA239" s="251"/>
      <c r="CB239" s="251"/>
      <c r="CC239" s="251"/>
      <c r="CD239" s="251"/>
      <c r="CE239" s="251"/>
      <c r="CF239" s="251"/>
      <c r="CG239" s="251"/>
    </row>
    <row r="240" s="250" customFormat="1" hidden="1" customHeight="1" spans="1:85">
      <c r="A240" s="368"/>
      <c r="B240" s="368"/>
      <c r="C240" s="369"/>
      <c r="D240" s="368"/>
      <c r="E240" s="368"/>
      <c r="F240" s="368"/>
      <c r="G240" s="368"/>
      <c r="H240" s="368"/>
      <c r="I240" s="368"/>
      <c r="J240" s="368"/>
      <c r="K240" s="368"/>
      <c r="L240" s="368"/>
      <c r="M240" s="368"/>
      <c r="N240" s="368"/>
      <c r="O240" s="368"/>
      <c r="P240" s="368"/>
      <c r="Q240" s="368"/>
      <c r="R240" s="370"/>
      <c r="S240" s="368"/>
      <c r="T240" s="368"/>
      <c r="U240" s="368"/>
      <c r="V240" s="368"/>
      <c r="W240" s="368"/>
      <c r="X240" s="368"/>
      <c r="Y240" s="368"/>
      <c r="Z240" s="370"/>
      <c r="AA240" s="368"/>
      <c r="AB240" s="368"/>
      <c r="AC240" s="368"/>
      <c r="AD240" s="368"/>
      <c r="AE240" s="368"/>
      <c r="AF240" s="368"/>
      <c r="AG240" s="368"/>
      <c r="AH240" s="249"/>
      <c r="AI240" s="249"/>
      <c r="AJ240" s="249"/>
      <c r="AK240" s="249"/>
      <c r="AL240" s="249"/>
      <c r="AM240" s="249"/>
      <c r="AN240" s="249"/>
      <c r="AO240" s="249"/>
      <c r="AP240" s="249"/>
      <c r="AQ240" s="249"/>
      <c r="AR240" s="249"/>
      <c r="AS240" s="249"/>
      <c r="AT240" s="249"/>
      <c r="AU240" s="249"/>
      <c r="AV240" s="249"/>
      <c r="AW240" s="249"/>
      <c r="AX240" s="249"/>
      <c r="AY240" s="249"/>
      <c r="AZ240" s="249"/>
      <c r="BA240" s="249"/>
      <c r="BB240" s="249"/>
      <c r="BC240" s="249"/>
      <c r="BD240" s="249"/>
      <c r="BE240" s="249"/>
      <c r="BF240" s="249"/>
      <c r="BG240" s="249"/>
      <c r="BH240" s="249"/>
      <c r="BI240" s="249"/>
      <c r="BJ240" s="249"/>
      <c r="BK240" s="249"/>
      <c r="BL240" s="249"/>
      <c r="BM240" s="249"/>
      <c r="BN240" s="249"/>
      <c r="BO240" s="249"/>
      <c r="BP240" s="249"/>
      <c r="BQ240" s="249"/>
      <c r="BR240" s="251"/>
      <c r="BS240" s="251"/>
      <c r="BT240" s="251"/>
      <c r="BU240" s="251"/>
      <c r="BV240" s="251"/>
      <c r="BW240" s="251"/>
      <c r="BX240" s="251"/>
      <c r="BY240" s="251"/>
      <c r="BZ240" s="251"/>
      <c r="CA240" s="251"/>
      <c r="CB240" s="251"/>
      <c r="CC240" s="251"/>
      <c r="CD240" s="251"/>
      <c r="CE240" s="251"/>
      <c r="CF240" s="251"/>
      <c r="CG240" s="251"/>
    </row>
    <row r="241" s="250" customFormat="1" hidden="1" customHeight="1" spans="1:85">
      <c r="A241" s="368"/>
      <c r="B241" s="368"/>
      <c r="C241" s="369"/>
      <c r="D241" s="368"/>
      <c r="E241" s="368"/>
      <c r="F241" s="368"/>
      <c r="G241" s="368"/>
      <c r="H241" s="368"/>
      <c r="I241" s="368"/>
      <c r="J241" s="368"/>
      <c r="K241" s="368"/>
      <c r="L241" s="368"/>
      <c r="M241" s="368"/>
      <c r="N241" s="368"/>
      <c r="O241" s="368"/>
      <c r="P241" s="368"/>
      <c r="Q241" s="368"/>
      <c r="R241" s="370"/>
      <c r="S241" s="368"/>
      <c r="T241" s="368"/>
      <c r="U241" s="368"/>
      <c r="V241" s="368"/>
      <c r="W241" s="368"/>
      <c r="X241" s="368"/>
      <c r="Y241" s="368"/>
      <c r="Z241" s="370"/>
      <c r="AA241" s="368"/>
      <c r="AB241" s="368"/>
      <c r="AC241" s="368"/>
      <c r="AD241" s="368"/>
      <c r="AE241" s="368"/>
      <c r="AF241" s="368"/>
      <c r="AG241" s="368"/>
      <c r="AH241" s="249"/>
      <c r="AI241" s="249"/>
      <c r="AJ241" s="249"/>
      <c r="AK241" s="249"/>
      <c r="AL241" s="249"/>
      <c r="AM241" s="249"/>
      <c r="AN241" s="249"/>
      <c r="AO241" s="249"/>
      <c r="AP241" s="249"/>
      <c r="AQ241" s="249"/>
      <c r="AR241" s="249"/>
      <c r="AS241" s="249"/>
      <c r="AT241" s="249"/>
      <c r="AU241" s="249"/>
      <c r="AV241" s="249"/>
      <c r="AW241" s="249"/>
      <c r="AX241" s="249"/>
      <c r="AY241" s="249"/>
      <c r="AZ241" s="249"/>
      <c r="BA241" s="249"/>
      <c r="BB241" s="249"/>
      <c r="BC241" s="249"/>
      <c r="BD241" s="249"/>
      <c r="BE241" s="249"/>
      <c r="BF241" s="249"/>
      <c r="BG241" s="249"/>
      <c r="BH241" s="249"/>
      <c r="BI241" s="249"/>
      <c r="BJ241" s="249"/>
      <c r="BK241" s="249"/>
      <c r="BL241" s="249"/>
      <c r="BM241" s="249"/>
      <c r="BN241" s="249"/>
      <c r="BO241" s="249"/>
      <c r="BP241" s="249"/>
      <c r="BQ241" s="249"/>
      <c r="BR241" s="251"/>
      <c r="BS241" s="251"/>
      <c r="BT241" s="251"/>
      <c r="BU241" s="251"/>
      <c r="BV241" s="251"/>
      <c r="BW241" s="251"/>
      <c r="BX241" s="251"/>
      <c r="BY241" s="251"/>
      <c r="BZ241" s="251"/>
      <c r="CA241" s="251"/>
      <c r="CB241" s="251"/>
      <c r="CC241" s="251"/>
      <c r="CD241" s="251"/>
      <c r="CE241" s="251"/>
      <c r="CF241" s="251"/>
      <c r="CG241" s="251"/>
    </row>
    <row r="242" s="250" customFormat="1" hidden="1" customHeight="1" spans="1:85">
      <c r="A242" s="368"/>
      <c r="B242" s="368"/>
      <c r="C242" s="369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8"/>
      <c r="P242" s="368"/>
      <c r="Q242" s="368"/>
      <c r="R242" s="370"/>
      <c r="S242" s="368"/>
      <c r="T242" s="368"/>
      <c r="U242" s="368"/>
      <c r="V242" s="368"/>
      <c r="W242" s="368"/>
      <c r="X242" s="368"/>
      <c r="Y242" s="368"/>
      <c r="Z242" s="370"/>
      <c r="AA242" s="368"/>
      <c r="AB242" s="368"/>
      <c r="AC242" s="368"/>
      <c r="AD242" s="368"/>
      <c r="AE242" s="368"/>
      <c r="AF242" s="368"/>
      <c r="AG242" s="368"/>
      <c r="AH242" s="249"/>
      <c r="AI242" s="249"/>
      <c r="AJ242" s="249"/>
      <c r="AK242" s="249"/>
      <c r="AL242" s="249"/>
      <c r="AM242" s="249"/>
      <c r="AN242" s="249"/>
      <c r="AO242" s="249"/>
      <c r="AP242" s="249"/>
      <c r="AQ242" s="249"/>
      <c r="AR242" s="249"/>
      <c r="AS242" s="249"/>
      <c r="AT242" s="249"/>
      <c r="AU242" s="249"/>
      <c r="AV242" s="249"/>
      <c r="AW242" s="249"/>
      <c r="AX242" s="249"/>
      <c r="AY242" s="249"/>
      <c r="AZ242" s="249"/>
      <c r="BA242" s="249"/>
      <c r="BB242" s="249"/>
      <c r="BC242" s="249"/>
      <c r="BD242" s="249"/>
      <c r="BE242" s="249"/>
      <c r="BF242" s="249"/>
      <c r="BG242" s="249"/>
      <c r="BH242" s="249"/>
      <c r="BI242" s="249"/>
      <c r="BJ242" s="249"/>
      <c r="BK242" s="249"/>
      <c r="BL242" s="249"/>
      <c r="BM242" s="249"/>
      <c r="BN242" s="249"/>
      <c r="BO242" s="249"/>
      <c r="BP242" s="249"/>
      <c r="BQ242" s="249"/>
      <c r="BR242" s="251"/>
      <c r="BS242" s="251"/>
      <c r="BT242" s="251"/>
      <c r="BU242" s="251"/>
      <c r="BV242" s="251"/>
      <c r="BW242" s="251"/>
      <c r="BX242" s="251"/>
      <c r="BY242" s="251"/>
      <c r="BZ242" s="251"/>
      <c r="CA242" s="251"/>
      <c r="CB242" s="251"/>
      <c r="CC242" s="251"/>
      <c r="CD242" s="251"/>
      <c r="CE242" s="251"/>
      <c r="CF242" s="251"/>
      <c r="CG242" s="251"/>
    </row>
    <row r="243" s="250" customFormat="1" hidden="1" customHeight="1" spans="1:85">
      <c r="A243" s="368"/>
      <c r="B243" s="368"/>
      <c r="C243" s="369"/>
      <c r="D243" s="368"/>
      <c r="E243" s="368"/>
      <c r="F243" s="368"/>
      <c r="G243" s="368"/>
      <c r="H243" s="368"/>
      <c r="I243" s="368"/>
      <c r="J243" s="368"/>
      <c r="K243" s="368"/>
      <c r="L243" s="368"/>
      <c r="M243" s="368"/>
      <c r="N243" s="368"/>
      <c r="O243" s="368"/>
      <c r="P243" s="368"/>
      <c r="Q243" s="368"/>
      <c r="R243" s="370"/>
      <c r="S243" s="368"/>
      <c r="T243" s="368"/>
      <c r="U243" s="368"/>
      <c r="V243" s="368"/>
      <c r="W243" s="368"/>
      <c r="X243" s="368"/>
      <c r="Y243" s="368"/>
      <c r="Z243" s="370"/>
      <c r="AA243" s="368"/>
      <c r="AB243" s="368"/>
      <c r="AC243" s="368"/>
      <c r="AD243" s="368"/>
      <c r="AE243" s="368"/>
      <c r="AF243" s="368"/>
      <c r="AG243" s="368"/>
      <c r="AH243" s="249"/>
      <c r="AI243" s="249"/>
      <c r="AJ243" s="249"/>
      <c r="AK243" s="249"/>
      <c r="AL243" s="249"/>
      <c r="AM243" s="249"/>
      <c r="AN243" s="249"/>
      <c r="AO243" s="249"/>
      <c r="AP243" s="249"/>
      <c r="AQ243" s="249"/>
      <c r="AR243" s="249"/>
      <c r="AS243" s="249"/>
      <c r="AT243" s="249"/>
      <c r="AU243" s="249"/>
      <c r="AV243" s="249"/>
      <c r="AW243" s="249"/>
      <c r="AX243" s="249"/>
      <c r="AY243" s="249"/>
      <c r="AZ243" s="249"/>
      <c r="BA243" s="249"/>
      <c r="BB243" s="249"/>
      <c r="BC243" s="249"/>
      <c r="BD243" s="249"/>
      <c r="BE243" s="249"/>
      <c r="BF243" s="249"/>
      <c r="BG243" s="249"/>
      <c r="BH243" s="249"/>
      <c r="BI243" s="249"/>
      <c r="BJ243" s="249"/>
      <c r="BK243" s="249"/>
      <c r="BL243" s="249"/>
      <c r="BM243" s="249"/>
      <c r="BN243" s="249"/>
      <c r="BO243" s="249"/>
      <c r="BP243" s="249"/>
      <c r="BQ243" s="249"/>
      <c r="BR243" s="251"/>
      <c r="BS243" s="251"/>
      <c r="BT243" s="251"/>
      <c r="BU243" s="251"/>
      <c r="BV243" s="251"/>
      <c r="BW243" s="251"/>
      <c r="BX243" s="251"/>
      <c r="BY243" s="251"/>
      <c r="BZ243" s="251"/>
      <c r="CA243" s="251"/>
      <c r="CB243" s="251"/>
      <c r="CC243" s="251"/>
      <c r="CD243" s="251"/>
      <c r="CE243" s="251"/>
      <c r="CF243" s="251"/>
      <c r="CG243" s="251"/>
    </row>
    <row r="244" s="250" customFormat="1" hidden="1" customHeight="1" spans="1:85">
      <c r="A244" s="368"/>
      <c r="B244" s="368"/>
      <c r="C244" s="369"/>
      <c r="D244" s="368"/>
      <c r="E244" s="368"/>
      <c r="F244" s="368"/>
      <c r="G244" s="368"/>
      <c r="H244" s="368"/>
      <c r="I244" s="368"/>
      <c r="J244" s="368"/>
      <c r="K244" s="368"/>
      <c r="L244" s="368"/>
      <c r="M244" s="368"/>
      <c r="N244" s="368"/>
      <c r="O244" s="368"/>
      <c r="P244" s="368"/>
      <c r="Q244" s="368"/>
      <c r="R244" s="370"/>
      <c r="S244" s="368"/>
      <c r="T244" s="368"/>
      <c r="U244" s="368"/>
      <c r="V244" s="368"/>
      <c r="W244" s="368"/>
      <c r="X244" s="368"/>
      <c r="Y244" s="368"/>
      <c r="Z244" s="370"/>
      <c r="AA244" s="368"/>
      <c r="AB244" s="368"/>
      <c r="AC244" s="368"/>
      <c r="AD244" s="368"/>
      <c r="AE244" s="368"/>
      <c r="AF244" s="368"/>
      <c r="AG244" s="368"/>
      <c r="AH244" s="249"/>
      <c r="AI244" s="249"/>
      <c r="AJ244" s="249"/>
      <c r="AK244" s="249"/>
      <c r="AL244" s="249"/>
      <c r="AM244" s="249"/>
      <c r="AN244" s="249"/>
      <c r="AO244" s="249"/>
      <c r="AP244" s="249"/>
      <c r="AQ244" s="249"/>
      <c r="AR244" s="249"/>
      <c r="AS244" s="249"/>
      <c r="AT244" s="249"/>
      <c r="AU244" s="249"/>
      <c r="AV244" s="249"/>
      <c r="AW244" s="249"/>
      <c r="AX244" s="249"/>
      <c r="AY244" s="249"/>
      <c r="AZ244" s="249"/>
      <c r="BA244" s="249"/>
      <c r="BB244" s="249"/>
      <c r="BC244" s="249"/>
      <c r="BD244" s="249"/>
      <c r="BE244" s="249"/>
      <c r="BF244" s="249"/>
      <c r="BG244" s="249"/>
      <c r="BH244" s="249"/>
      <c r="BI244" s="249"/>
      <c r="BJ244" s="249"/>
      <c r="BK244" s="249"/>
      <c r="BL244" s="249"/>
      <c r="BM244" s="249"/>
      <c r="BN244" s="249"/>
      <c r="BO244" s="249"/>
      <c r="BP244" s="249"/>
      <c r="BQ244" s="249"/>
      <c r="BR244" s="251"/>
      <c r="BS244" s="251"/>
      <c r="BT244" s="251"/>
      <c r="BU244" s="251"/>
      <c r="BV244" s="251"/>
      <c r="BW244" s="251"/>
      <c r="BX244" s="251"/>
      <c r="BY244" s="251"/>
      <c r="BZ244" s="251"/>
      <c r="CA244" s="251"/>
      <c r="CB244" s="251"/>
      <c r="CC244" s="251"/>
      <c r="CD244" s="251"/>
      <c r="CE244" s="251"/>
      <c r="CF244" s="251"/>
      <c r="CG244" s="251"/>
    </row>
    <row r="245" s="250" customFormat="1" hidden="1" customHeight="1" spans="1:85">
      <c r="A245" s="368"/>
      <c r="B245" s="368"/>
      <c r="C245" s="369"/>
      <c r="D245" s="368"/>
      <c r="E245" s="368"/>
      <c r="F245" s="368"/>
      <c r="G245" s="368"/>
      <c r="H245" s="368"/>
      <c r="I245" s="368"/>
      <c r="J245" s="368"/>
      <c r="K245" s="368"/>
      <c r="L245" s="368"/>
      <c r="M245" s="368"/>
      <c r="N245" s="368"/>
      <c r="O245" s="368"/>
      <c r="P245" s="368"/>
      <c r="Q245" s="368"/>
      <c r="R245" s="370"/>
      <c r="S245" s="368"/>
      <c r="T245" s="368"/>
      <c r="U245" s="368"/>
      <c r="V245" s="368"/>
      <c r="W245" s="368"/>
      <c r="X245" s="368"/>
      <c r="Y245" s="368"/>
      <c r="Z245" s="370"/>
      <c r="AA245" s="368"/>
      <c r="AB245" s="368"/>
      <c r="AC245" s="368"/>
      <c r="AD245" s="368"/>
      <c r="AE245" s="368"/>
      <c r="AF245" s="368"/>
      <c r="AG245" s="368"/>
      <c r="AH245" s="249"/>
      <c r="AI245" s="249"/>
      <c r="AJ245" s="249"/>
      <c r="AK245" s="249"/>
      <c r="AL245" s="249"/>
      <c r="AM245" s="249"/>
      <c r="AN245" s="249"/>
      <c r="AO245" s="249"/>
      <c r="AP245" s="249"/>
      <c r="AQ245" s="249"/>
      <c r="AR245" s="249"/>
      <c r="AS245" s="249"/>
      <c r="AT245" s="249"/>
      <c r="AU245" s="249"/>
      <c r="AV245" s="249"/>
      <c r="AW245" s="249"/>
      <c r="AX245" s="249"/>
      <c r="AY245" s="249"/>
      <c r="AZ245" s="249"/>
      <c r="BA245" s="249"/>
      <c r="BB245" s="249"/>
      <c r="BC245" s="249"/>
      <c r="BD245" s="249"/>
      <c r="BE245" s="249"/>
      <c r="BF245" s="249"/>
      <c r="BG245" s="249"/>
      <c r="BH245" s="249"/>
      <c r="BI245" s="249"/>
      <c r="BJ245" s="249"/>
      <c r="BK245" s="249"/>
      <c r="BL245" s="249"/>
      <c r="BM245" s="249"/>
      <c r="BN245" s="249"/>
      <c r="BO245" s="249"/>
      <c r="BP245" s="249"/>
      <c r="BQ245" s="249"/>
      <c r="BR245" s="251"/>
      <c r="BS245" s="251"/>
      <c r="BT245" s="251"/>
      <c r="BU245" s="251"/>
      <c r="BV245" s="251"/>
      <c r="BW245" s="251"/>
      <c r="BX245" s="251"/>
      <c r="BY245" s="251"/>
      <c r="BZ245" s="251"/>
      <c r="CA245" s="251"/>
      <c r="CB245" s="251"/>
      <c r="CC245" s="251"/>
      <c r="CD245" s="251"/>
      <c r="CE245" s="251"/>
      <c r="CF245" s="251"/>
      <c r="CG245" s="251"/>
    </row>
    <row r="246" s="250" customFormat="1" hidden="1" customHeight="1" spans="1:85">
      <c r="A246" s="368"/>
      <c r="B246" s="368"/>
      <c r="C246" s="369"/>
      <c r="D246" s="368"/>
      <c r="E246" s="368"/>
      <c r="F246" s="368"/>
      <c r="G246" s="368"/>
      <c r="H246" s="368"/>
      <c r="I246" s="368"/>
      <c r="J246" s="368"/>
      <c r="K246" s="368"/>
      <c r="L246" s="368"/>
      <c r="M246" s="368"/>
      <c r="N246" s="368"/>
      <c r="O246" s="368"/>
      <c r="P246" s="368"/>
      <c r="Q246" s="368"/>
      <c r="R246" s="370"/>
      <c r="S246" s="368"/>
      <c r="T246" s="368"/>
      <c r="U246" s="368"/>
      <c r="V246" s="368"/>
      <c r="W246" s="368"/>
      <c r="X246" s="368"/>
      <c r="Y246" s="368"/>
      <c r="Z246" s="370"/>
      <c r="AA246" s="368"/>
      <c r="AB246" s="368"/>
      <c r="AC246" s="368"/>
      <c r="AD246" s="368"/>
      <c r="AE246" s="368"/>
      <c r="AF246" s="368"/>
      <c r="AG246" s="368"/>
      <c r="AH246" s="249"/>
      <c r="AI246" s="249"/>
      <c r="AJ246" s="249"/>
      <c r="AK246" s="249"/>
      <c r="AL246" s="249"/>
      <c r="AM246" s="249"/>
      <c r="AN246" s="249"/>
      <c r="AO246" s="249"/>
      <c r="AP246" s="249"/>
      <c r="AQ246" s="249"/>
      <c r="AR246" s="249"/>
      <c r="AS246" s="249"/>
      <c r="AT246" s="249"/>
      <c r="AU246" s="249"/>
      <c r="AV246" s="249"/>
      <c r="AW246" s="249"/>
      <c r="AX246" s="249"/>
      <c r="AY246" s="249"/>
      <c r="AZ246" s="249"/>
      <c r="BA246" s="249"/>
      <c r="BB246" s="249"/>
      <c r="BC246" s="249"/>
      <c r="BD246" s="249"/>
      <c r="BE246" s="249"/>
      <c r="BF246" s="249"/>
      <c r="BG246" s="249"/>
      <c r="BH246" s="249"/>
      <c r="BI246" s="249"/>
      <c r="BJ246" s="249"/>
      <c r="BK246" s="249"/>
      <c r="BL246" s="249"/>
      <c r="BM246" s="249"/>
      <c r="BN246" s="249"/>
      <c r="BO246" s="249"/>
      <c r="BP246" s="249"/>
      <c r="BQ246" s="249"/>
      <c r="BR246" s="251"/>
      <c r="BS246" s="251"/>
      <c r="BT246" s="251"/>
      <c r="BU246" s="251"/>
      <c r="BV246" s="251"/>
      <c r="BW246" s="251"/>
      <c r="BX246" s="251"/>
      <c r="BY246" s="251"/>
      <c r="BZ246" s="251"/>
      <c r="CA246" s="251"/>
      <c r="CB246" s="251"/>
      <c r="CC246" s="251"/>
      <c r="CD246" s="251"/>
      <c r="CE246" s="251"/>
      <c r="CF246" s="251"/>
      <c r="CG246" s="251"/>
    </row>
    <row r="247" s="250" customFormat="1" hidden="1" customHeight="1" spans="1:85">
      <c r="A247" s="368"/>
      <c r="B247" s="368"/>
      <c r="C247" s="369"/>
      <c r="D247" s="368"/>
      <c r="E247" s="368"/>
      <c r="F247" s="368"/>
      <c r="G247" s="368"/>
      <c r="H247" s="368"/>
      <c r="I247" s="368"/>
      <c r="J247" s="368"/>
      <c r="K247" s="368"/>
      <c r="L247" s="368"/>
      <c r="M247" s="368"/>
      <c r="N247" s="368"/>
      <c r="O247" s="368"/>
      <c r="P247" s="368"/>
      <c r="Q247" s="368"/>
      <c r="R247" s="370"/>
      <c r="S247" s="368"/>
      <c r="T247" s="368"/>
      <c r="U247" s="368"/>
      <c r="V247" s="368"/>
      <c r="W247" s="368"/>
      <c r="X247" s="368"/>
      <c r="Y247" s="368"/>
      <c r="Z247" s="370"/>
      <c r="AA247" s="368"/>
      <c r="AB247" s="368"/>
      <c r="AC247" s="368"/>
      <c r="AD247" s="368"/>
      <c r="AE247" s="368"/>
      <c r="AF247" s="368"/>
      <c r="AG247" s="368"/>
      <c r="AH247" s="249"/>
      <c r="AI247" s="249"/>
      <c r="AJ247" s="249"/>
      <c r="AK247" s="249"/>
      <c r="AL247" s="249"/>
      <c r="AM247" s="249"/>
      <c r="AN247" s="249"/>
      <c r="AO247" s="249"/>
      <c r="AP247" s="249"/>
      <c r="AQ247" s="249"/>
      <c r="AR247" s="249"/>
      <c r="AS247" s="249"/>
      <c r="AT247" s="249"/>
      <c r="AU247" s="249"/>
      <c r="AV247" s="249"/>
      <c r="AW247" s="249"/>
      <c r="AX247" s="249"/>
      <c r="AY247" s="249"/>
      <c r="AZ247" s="249"/>
      <c r="BA247" s="249"/>
      <c r="BB247" s="249"/>
      <c r="BC247" s="249"/>
      <c r="BD247" s="249"/>
      <c r="BE247" s="249"/>
      <c r="BF247" s="249"/>
      <c r="BG247" s="249"/>
      <c r="BH247" s="249"/>
      <c r="BI247" s="249"/>
      <c r="BJ247" s="249"/>
      <c r="BK247" s="249"/>
      <c r="BL247" s="249"/>
      <c r="BM247" s="249"/>
      <c r="BN247" s="249"/>
      <c r="BO247" s="249"/>
      <c r="BP247" s="249"/>
      <c r="BQ247" s="249"/>
      <c r="BR247" s="251"/>
      <c r="BS247" s="251"/>
      <c r="BT247" s="251"/>
      <c r="BU247" s="251"/>
      <c r="BV247" s="251"/>
      <c r="BW247" s="251"/>
      <c r="BX247" s="251"/>
      <c r="BY247" s="251"/>
      <c r="BZ247" s="251"/>
      <c r="CA247" s="251"/>
      <c r="CB247" s="251"/>
      <c r="CC247" s="251"/>
      <c r="CD247" s="251"/>
      <c r="CE247" s="251"/>
      <c r="CF247" s="251"/>
      <c r="CG247" s="251"/>
    </row>
    <row r="248" s="250" customFormat="1" hidden="1" customHeight="1" spans="1:85">
      <c r="A248" s="368"/>
      <c r="B248" s="368"/>
      <c r="C248" s="369"/>
      <c r="D248" s="368"/>
      <c r="E248" s="368"/>
      <c r="F248" s="368"/>
      <c r="G248" s="368"/>
      <c r="H248" s="368"/>
      <c r="I248" s="368"/>
      <c r="J248" s="368"/>
      <c r="K248" s="368"/>
      <c r="L248" s="368"/>
      <c r="M248" s="368"/>
      <c r="N248" s="368"/>
      <c r="O248" s="368"/>
      <c r="P248" s="368"/>
      <c r="Q248" s="368"/>
      <c r="R248" s="370"/>
      <c r="S248" s="368"/>
      <c r="T248" s="368"/>
      <c r="U248" s="368"/>
      <c r="V248" s="368"/>
      <c r="W248" s="368"/>
      <c r="X248" s="368"/>
      <c r="Y248" s="368"/>
      <c r="Z248" s="370"/>
      <c r="AA248" s="368"/>
      <c r="AB248" s="368"/>
      <c r="AC248" s="368"/>
      <c r="AD248" s="368"/>
      <c r="AE248" s="368"/>
      <c r="AF248" s="368"/>
      <c r="AG248" s="368"/>
      <c r="AH248" s="249"/>
      <c r="AI248" s="249"/>
      <c r="AJ248" s="249"/>
      <c r="AK248" s="249"/>
      <c r="AL248" s="249"/>
      <c r="AM248" s="249"/>
      <c r="AN248" s="249"/>
      <c r="AO248" s="249"/>
      <c r="AP248" s="249"/>
      <c r="AQ248" s="249"/>
      <c r="AR248" s="249"/>
      <c r="AS248" s="249"/>
      <c r="AT248" s="249"/>
      <c r="AU248" s="249"/>
      <c r="AV248" s="249"/>
      <c r="AW248" s="249"/>
      <c r="AX248" s="249"/>
      <c r="AY248" s="249"/>
      <c r="AZ248" s="249"/>
      <c r="BA248" s="249"/>
      <c r="BB248" s="249"/>
      <c r="BC248" s="249"/>
      <c r="BD248" s="249"/>
      <c r="BE248" s="249"/>
      <c r="BF248" s="249"/>
      <c r="BG248" s="249"/>
      <c r="BH248" s="249"/>
      <c r="BI248" s="249"/>
      <c r="BJ248" s="249"/>
      <c r="BK248" s="249"/>
      <c r="BL248" s="249"/>
      <c r="BM248" s="249"/>
      <c r="BN248" s="249"/>
      <c r="BO248" s="249"/>
      <c r="BP248" s="249"/>
      <c r="BQ248" s="249"/>
      <c r="BR248" s="251"/>
      <c r="BS248" s="251"/>
      <c r="BT248" s="251"/>
      <c r="BU248" s="251"/>
      <c r="BV248" s="251"/>
      <c r="BW248" s="251"/>
      <c r="BX248" s="251"/>
      <c r="BY248" s="251"/>
      <c r="BZ248" s="251"/>
      <c r="CA248" s="251"/>
      <c r="CB248" s="251"/>
      <c r="CC248" s="251"/>
      <c r="CD248" s="251"/>
      <c r="CE248" s="251"/>
      <c r="CF248" s="251"/>
      <c r="CG248" s="251"/>
    </row>
    <row r="249" s="251" customFormat="1" hidden="1" customHeight="1" spans="1:69">
      <c r="A249" s="356"/>
      <c r="B249" s="356"/>
      <c r="C249" s="359"/>
      <c r="D249" s="356"/>
      <c r="E249" s="356"/>
      <c r="F249" s="356"/>
      <c r="G249" s="356"/>
      <c r="H249" s="356"/>
      <c r="I249" s="356"/>
      <c r="J249" s="356"/>
      <c r="K249" s="356"/>
      <c r="L249" s="356"/>
      <c r="M249" s="356"/>
      <c r="N249" s="356"/>
      <c r="O249" s="356"/>
      <c r="P249" s="356"/>
      <c r="Q249" s="356"/>
      <c r="R249" s="365"/>
      <c r="S249" s="356"/>
      <c r="T249" s="356"/>
      <c r="U249" s="356"/>
      <c r="V249" s="356"/>
      <c r="W249" s="356"/>
      <c r="X249" s="356"/>
      <c r="Y249" s="356"/>
      <c r="Z249" s="365"/>
      <c r="AA249" s="356"/>
      <c r="AB249" s="356"/>
      <c r="AC249" s="356"/>
      <c r="AD249" s="356"/>
      <c r="AE249" s="356"/>
      <c r="AF249" s="356"/>
      <c r="AG249" s="356"/>
      <c r="AH249" s="249"/>
      <c r="AI249" s="249"/>
      <c r="AJ249" s="249"/>
      <c r="AK249" s="249"/>
      <c r="AL249" s="249"/>
      <c r="AM249" s="249"/>
      <c r="AN249" s="249"/>
      <c r="AO249" s="249"/>
      <c r="AP249" s="249"/>
      <c r="AQ249" s="249"/>
      <c r="AR249" s="249"/>
      <c r="AS249" s="249"/>
      <c r="AT249" s="249"/>
      <c r="AU249" s="249"/>
      <c r="AV249" s="249"/>
      <c r="AW249" s="249"/>
      <c r="AX249" s="249"/>
      <c r="AY249" s="249"/>
      <c r="AZ249" s="249"/>
      <c r="BA249" s="249"/>
      <c r="BB249" s="249"/>
      <c r="BC249" s="249"/>
      <c r="BD249" s="249"/>
      <c r="BE249" s="249"/>
      <c r="BF249" s="249"/>
      <c r="BG249" s="249"/>
      <c r="BH249" s="249"/>
      <c r="BI249" s="249"/>
      <c r="BJ249" s="249"/>
      <c r="BK249" s="249"/>
      <c r="BL249" s="249"/>
      <c r="BM249" s="249"/>
      <c r="BN249" s="249"/>
      <c r="BO249" s="249"/>
      <c r="BP249" s="249"/>
      <c r="BQ249" s="249"/>
    </row>
    <row r="250" s="251" customFormat="1" hidden="1" customHeight="1" spans="1:69">
      <c r="A250" s="356"/>
      <c r="B250" s="356"/>
      <c r="C250" s="359"/>
      <c r="D250" s="356"/>
      <c r="E250" s="356"/>
      <c r="F250" s="356"/>
      <c r="G250" s="356"/>
      <c r="H250" s="356"/>
      <c r="I250" s="356"/>
      <c r="J250" s="356"/>
      <c r="K250" s="356"/>
      <c r="L250" s="356"/>
      <c r="M250" s="356"/>
      <c r="N250" s="356"/>
      <c r="O250" s="356"/>
      <c r="P250" s="356"/>
      <c r="Q250" s="356"/>
      <c r="R250" s="365"/>
      <c r="S250" s="356"/>
      <c r="T250" s="356"/>
      <c r="U250" s="356"/>
      <c r="V250" s="356"/>
      <c r="W250" s="356"/>
      <c r="X250" s="356"/>
      <c r="Y250" s="356"/>
      <c r="Z250" s="365"/>
      <c r="AA250" s="356"/>
      <c r="AB250" s="356"/>
      <c r="AC250" s="356"/>
      <c r="AD250" s="356"/>
      <c r="AE250" s="356"/>
      <c r="AF250" s="356"/>
      <c r="AG250" s="356"/>
      <c r="AH250" s="249"/>
      <c r="AI250" s="249"/>
      <c r="AJ250" s="249"/>
      <c r="AK250" s="249"/>
      <c r="AL250" s="249"/>
      <c r="AM250" s="249"/>
      <c r="AN250" s="249"/>
      <c r="AO250" s="249"/>
      <c r="AP250" s="249"/>
      <c r="AQ250" s="249"/>
      <c r="AR250" s="249"/>
      <c r="AS250" s="249"/>
      <c r="AT250" s="249"/>
      <c r="AU250" s="249"/>
      <c r="AV250" s="249"/>
      <c r="AW250" s="249"/>
      <c r="AX250" s="249"/>
      <c r="AY250" s="249"/>
      <c r="AZ250" s="249"/>
      <c r="BA250" s="249"/>
      <c r="BB250" s="249"/>
      <c r="BC250" s="249"/>
      <c r="BD250" s="249"/>
      <c r="BE250" s="249"/>
      <c r="BF250" s="249"/>
      <c r="BG250" s="249"/>
      <c r="BH250" s="249"/>
      <c r="BI250" s="249"/>
      <c r="BJ250" s="249"/>
      <c r="BK250" s="249"/>
      <c r="BL250" s="249"/>
      <c r="BM250" s="249"/>
      <c r="BN250" s="249"/>
      <c r="BO250" s="249"/>
      <c r="BP250" s="249"/>
      <c r="BQ250" s="249"/>
    </row>
    <row r="251" s="251" customFormat="1" hidden="1" customHeight="1" spans="1:69">
      <c r="A251" s="356"/>
      <c r="B251" s="356"/>
      <c r="C251" s="359"/>
      <c r="D251" s="356"/>
      <c r="E251" s="356"/>
      <c r="F251" s="356"/>
      <c r="G251" s="356"/>
      <c r="H251" s="356"/>
      <c r="I251" s="356"/>
      <c r="J251" s="356"/>
      <c r="K251" s="356"/>
      <c r="L251" s="356"/>
      <c r="M251" s="356"/>
      <c r="N251" s="356"/>
      <c r="O251" s="356"/>
      <c r="P251" s="356"/>
      <c r="Q251" s="356"/>
      <c r="R251" s="365"/>
      <c r="S251" s="356"/>
      <c r="T251" s="356"/>
      <c r="U251" s="356"/>
      <c r="V251" s="356"/>
      <c r="W251" s="356"/>
      <c r="X251" s="356"/>
      <c r="Y251" s="356"/>
      <c r="Z251" s="365"/>
      <c r="AA251" s="356"/>
      <c r="AB251" s="356"/>
      <c r="AC251" s="356"/>
      <c r="AD251" s="356"/>
      <c r="AE251" s="356"/>
      <c r="AF251" s="356"/>
      <c r="AG251" s="356"/>
      <c r="AH251" s="249"/>
      <c r="AI251" s="249"/>
      <c r="AJ251" s="249"/>
      <c r="AK251" s="249"/>
      <c r="AL251" s="249"/>
      <c r="AM251" s="249"/>
      <c r="AN251" s="249"/>
      <c r="AO251" s="249"/>
      <c r="AP251" s="249"/>
      <c r="AQ251" s="249"/>
      <c r="AR251" s="249"/>
      <c r="AS251" s="249"/>
      <c r="AT251" s="249"/>
      <c r="AU251" s="249"/>
      <c r="AV251" s="249"/>
      <c r="AW251" s="249"/>
      <c r="AX251" s="249"/>
      <c r="AY251" s="249"/>
      <c r="AZ251" s="249"/>
      <c r="BA251" s="249"/>
      <c r="BB251" s="249"/>
      <c r="BC251" s="249"/>
      <c r="BD251" s="249"/>
      <c r="BE251" s="249"/>
      <c r="BF251" s="249"/>
      <c r="BG251" s="249"/>
      <c r="BH251" s="249"/>
      <c r="BI251" s="249"/>
      <c r="BJ251" s="249"/>
      <c r="BK251" s="249"/>
      <c r="BL251" s="249"/>
      <c r="BM251" s="249"/>
      <c r="BN251" s="249"/>
      <c r="BO251" s="249"/>
      <c r="BP251" s="249"/>
      <c r="BQ251" s="249"/>
    </row>
    <row r="252" s="251" customFormat="1" hidden="1" customHeight="1" spans="1:69">
      <c r="A252" s="356"/>
      <c r="B252" s="356"/>
      <c r="C252" s="359"/>
      <c r="D252" s="356"/>
      <c r="E252" s="356"/>
      <c r="F252" s="356"/>
      <c r="G252" s="356"/>
      <c r="H252" s="356"/>
      <c r="I252" s="356"/>
      <c r="J252" s="356"/>
      <c r="K252" s="356"/>
      <c r="L252" s="356"/>
      <c r="M252" s="356"/>
      <c r="N252" s="356"/>
      <c r="O252" s="356"/>
      <c r="P252" s="356"/>
      <c r="Q252" s="356"/>
      <c r="R252" s="365"/>
      <c r="S252" s="356"/>
      <c r="T252" s="356"/>
      <c r="U252" s="356"/>
      <c r="V252" s="356"/>
      <c r="W252" s="356"/>
      <c r="X252" s="356"/>
      <c r="Y252" s="356"/>
      <c r="Z252" s="365"/>
      <c r="AA252" s="356"/>
      <c r="AB252" s="356"/>
      <c r="AC252" s="356"/>
      <c r="AD252" s="356"/>
      <c r="AE252" s="356"/>
      <c r="AF252" s="356"/>
      <c r="AG252" s="356"/>
      <c r="AH252" s="249"/>
      <c r="AI252" s="249"/>
      <c r="AJ252" s="249"/>
      <c r="AK252" s="249"/>
      <c r="AL252" s="249"/>
      <c r="AM252" s="249"/>
      <c r="AN252" s="249"/>
      <c r="AO252" s="249"/>
      <c r="AP252" s="249"/>
      <c r="AQ252" s="249"/>
      <c r="AR252" s="249"/>
      <c r="AS252" s="249"/>
      <c r="AT252" s="249"/>
      <c r="AU252" s="249"/>
      <c r="AV252" s="249"/>
      <c r="AW252" s="249"/>
      <c r="AX252" s="249"/>
      <c r="AY252" s="249"/>
      <c r="AZ252" s="249"/>
      <c r="BA252" s="249"/>
      <c r="BB252" s="249"/>
      <c r="BC252" s="249"/>
      <c r="BD252" s="249"/>
      <c r="BE252" s="249"/>
      <c r="BF252" s="249"/>
      <c r="BG252" s="249"/>
      <c r="BH252" s="249"/>
      <c r="BI252" s="249"/>
      <c r="BJ252" s="249"/>
      <c r="BK252" s="249"/>
      <c r="BL252" s="249"/>
      <c r="BM252" s="249"/>
      <c r="BN252" s="249"/>
      <c r="BO252" s="249"/>
      <c r="BP252" s="249"/>
      <c r="BQ252" s="249"/>
    </row>
    <row r="253" s="251" customFormat="1" hidden="1" customHeight="1" spans="1:69">
      <c r="A253" s="356"/>
      <c r="B253" s="356"/>
      <c r="C253" s="359"/>
      <c r="D253" s="356"/>
      <c r="E253" s="356"/>
      <c r="F253" s="356"/>
      <c r="G253" s="356"/>
      <c r="H253" s="356"/>
      <c r="I253" s="356"/>
      <c r="J253" s="356"/>
      <c r="K253" s="356"/>
      <c r="L253" s="356"/>
      <c r="M253" s="356"/>
      <c r="N253" s="356"/>
      <c r="O253" s="356"/>
      <c r="P253" s="356"/>
      <c r="Q253" s="356"/>
      <c r="R253" s="365"/>
      <c r="S253" s="356"/>
      <c r="T253" s="356"/>
      <c r="U253" s="356"/>
      <c r="V253" s="356"/>
      <c r="W253" s="356"/>
      <c r="X253" s="356"/>
      <c r="Y253" s="356"/>
      <c r="Z253" s="365"/>
      <c r="AA253" s="356"/>
      <c r="AB253" s="356"/>
      <c r="AC253" s="356"/>
      <c r="AD253" s="356"/>
      <c r="AE253" s="356"/>
      <c r="AF253" s="356"/>
      <c r="AG253" s="356"/>
      <c r="AH253" s="249"/>
      <c r="AI253" s="249"/>
      <c r="AJ253" s="249"/>
      <c r="AK253" s="249"/>
      <c r="AL253" s="249"/>
      <c r="AM253" s="249"/>
      <c r="AN253" s="249"/>
      <c r="AO253" s="249"/>
      <c r="AP253" s="249"/>
      <c r="AQ253" s="249"/>
      <c r="AR253" s="249"/>
      <c r="AS253" s="249"/>
      <c r="AT253" s="249"/>
      <c r="AU253" s="249"/>
      <c r="AV253" s="249"/>
      <c r="AW253" s="249"/>
      <c r="AX253" s="249"/>
      <c r="AY253" s="249"/>
      <c r="AZ253" s="249"/>
      <c r="BA253" s="249"/>
      <c r="BB253" s="249"/>
      <c r="BC253" s="249"/>
      <c r="BD253" s="249"/>
      <c r="BE253" s="249"/>
      <c r="BF253" s="249"/>
      <c r="BG253" s="249"/>
      <c r="BH253" s="249"/>
      <c r="BI253" s="249"/>
      <c r="BJ253" s="249"/>
      <c r="BK253" s="249"/>
      <c r="BL253" s="249"/>
      <c r="BM253" s="249"/>
      <c r="BN253" s="249"/>
      <c r="BO253" s="249"/>
      <c r="BP253" s="249"/>
      <c r="BQ253" s="249"/>
    </row>
    <row r="254" s="251" customFormat="1" hidden="1" customHeight="1" spans="1:69">
      <c r="A254" s="356"/>
      <c r="B254" s="356"/>
      <c r="C254" s="359"/>
      <c r="D254" s="356"/>
      <c r="E254" s="356"/>
      <c r="F254" s="356"/>
      <c r="G254" s="356"/>
      <c r="H254" s="356"/>
      <c r="I254" s="356"/>
      <c r="J254" s="356"/>
      <c r="K254" s="356"/>
      <c r="L254" s="356"/>
      <c r="M254" s="356"/>
      <c r="N254" s="356"/>
      <c r="O254" s="356"/>
      <c r="P254" s="356"/>
      <c r="Q254" s="356"/>
      <c r="R254" s="365"/>
      <c r="S254" s="356"/>
      <c r="T254" s="356"/>
      <c r="U254" s="356"/>
      <c r="V254" s="356"/>
      <c r="W254" s="356"/>
      <c r="X254" s="356"/>
      <c r="Y254" s="356"/>
      <c r="Z254" s="365"/>
      <c r="AA254" s="356"/>
      <c r="AB254" s="356"/>
      <c r="AC254" s="356"/>
      <c r="AD254" s="356"/>
      <c r="AE254" s="356"/>
      <c r="AF254" s="356"/>
      <c r="AG254" s="356"/>
      <c r="AH254" s="249"/>
      <c r="AI254" s="249"/>
      <c r="AJ254" s="249"/>
      <c r="AK254" s="249"/>
      <c r="AL254" s="249"/>
      <c r="AM254" s="249"/>
      <c r="AN254" s="249"/>
      <c r="AO254" s="249"/>
      <c r="AP254" s="249"/>
      <c r="AQ254" s="249"/>
      <c r="AR254" s="249"/>
      <c r="AS254" s="249"/>
      <c r="AT254" s="249"/>
      <c r="AU254" s="249"/>
      <c r="AV254" s="249"/>
      <c r="AW254" s="249"/>
      <c r="AX254" s="249"/>
      <c r="AY254" s="249"/>
      <c r="AZ254" s="249"/>
      <c r="BA254" s="249"/>
      <c r="BB254" s="249"/>
      <c r="BC254" s="249"/>
      <c r="BD254" s="249"/>
      <c r="BE254" s="249"/>
      <c r="BF254" s="249"/>
      <c r="BG254" s="249"/>
      <c r="BH254" s="249"/>
      <c r="BI254" s="249"/>
      <c r="BJ254" s="249"/>
      <c r="BK254" s="249"/>
      <c r="BL254" s="249"/>
      <c r="BM254" s="249"/>
      <c r="BN254" s="249"/>
      <c r="BO254" s="249"/>
      <c r="BP254" s="249"/>
      <c r="BQ254" s="249"/>
    </row>
    <row r="255" s="251" customFormat="1" hidden="1" customHeight="1" spans="1:69">
      <c r="A255" s="356"/>
      <c r="B255" s="356"/>
      <c r="C255" s="359"/>
      <c r="D255" s="356"/>
      <c r="E255" s="356"/>
      <c r="F255" s="356"/>
      <c r="G255" s="356"/>
      <c r="H255" s="356"/>
      <c r="I255" s="356"/>
      <c r="J255" s="356"/>
      <c r="K255" s="356"/>
      <c r="L255" s="356"/>
      <c r="M255" s="356"/>
      <c r="N255" s="356"/>
      <c r="O255" s="356"/>
      <c r="P255" s="356"/>
      <c r="Q255" s="356"/>
      <c r="R255" s="365"/>
      <c r="S255" s="356"/>
      <c r="T255" s="356"/>
      <c r="U255" s="356"/>
      <c r="V255" s="356"/>
      <c r="W255" s="356"/>
      <c r="X255" s="356"/>
      <c r="Y255" s="356"/>
      <c r="Z255" s="365"/>
      <c r="AA255" s="356"/>
      <c r="AB255" s="356"/>
      <c r="AC255" s="356"/>
      <c r="AD255" s="356"/>
      <c r="AE255" s="356"/>
      <c r="AF255" s="356"/>
      <c r="AG255" s="356"/>
      <c r="AH255" s="249"/>
      <c r="AI255" s="249"/>
      <c r="AJ255" s="249"/>
      <c r="AK255" s="249"/>
      <c r="AL255" s="249"/>
      <c r="AM255" s="249"/>
      <c r="AN255" s="249"/>
      <c r="AO255" s="249"/>
      <c r="AP255" s="249"/>
      <c r="AQ255" s="249"/>
      <c r="AR255" s="249"/>
      <c r="AS255" s="249"/>
      <c r="AT255" s="249"/>
      <c r="AU255" s="249"/>
      <c r="AV255" s="249"/>
      <c r="AW255" s="249"/>
      <c r="AX255" s="249"/>
      <c r="AY255" s="249"/>
      <c r="AZ255" s="249"/>
      <c r="BA255" s="249"/>
      <c r="BB255" s="249"/>
      <c r="BC255" s="249"/>
      <c r="BD255" s="249"/>
      <c r="BE255" s="249"/>
      <c r="BF255" s="249"/>
      <c r="BG255" s="249"/>
      <c r="BH255" s="249"/>
      <c r="BI255" s="249"/>
      <c r="BJ255" s="249"/>
      <c r="BK255" s="249"/>
      <c r="BL255" s="249"/>
      <c r="BM255" s="249"/>
      <c r="BN255" s="249"/>
      <c r="BO255" s="249"/>
      <c r="BP255" s="249"/>
      <c r="BQ255" s="249"/>
    </row>
    <row r="256" s="251" customFormat="1" hidden="1" customHeight="1" spans="1:69">
      <c r="A256" s="356"/>
      <c r="B256" s="356"/>
      <c r="C256" s="359"/>
      <c r="D256" s="356"/>
      <c r="E256" s="356"/>
      <c r="F256" s="356"/>
      <c r="G256" s="356"/>
      <c r="H256" s="356"/>
      <c r="I256" s="356"/>
      <c r="J256" s="356"/>
      <c r="K256" s="356"/>
      <c r="L256" s="356"/>
      <c r="M256" s="356"/>
      <c r="N256" s="356"/>
      <c r="O256" s="356"/>
      <c r="P256" s="356"/>
      <c r="Q256" s="356"/>
      <c r="R256" s="365"/>
      <c r="S256" s="356"/>
      <c r="T256" s="356"/>
      <c r="U256" s="356"/>
      <c r="V256" s="356"/>
      <c r="W256" s="356"/>
      <c r="X256" s="356"/>
      <c r="Y256" s="356"/>
      <c r="Z256" s="365"/>
      <c r="AA256" s="356"/>
      <c r="AB256" s="356"/>
      <c r="AC256" s="356"/>
      <c r="AD256" s="356"/>
      <c r="AE256" s="356"/>
      <c r="AF256" s="356"/>
      <c r="AG256" s="356"/>
      <c r="AH256" s="249"/>
      <c r="AI256" s="249"/>
      <c r="AJ256" s="249"/>
      <c r="AK256" s="249"/>
      <c r="AL256" s="249"/>
      <c r="AM256" s="249"/>
      <c r="AN256" s="249"/>
      <c r="AO256" s="249"/>
      <c r="AP256" s="249"/>
      <c r="AQ256" s="249"/>
      <c r="AR256" s="249"/>
      <c r="AS256" s="249"/>
      <c r="AT256" s="249"/>
      <c r="AU256" s="249"/>
      <c r="AV256" s="249"/>
      <c r="AW256" s="249"/>
      <c r="AX256" s="249"/>
      <c r="AY256" s="249"/>
      <c r="AZ256" s="249"/>
      <c r="BA256" s="249"/>
      <c r="BB256" s="249"/>
      <c r="BC256" s="249"/>
      <c r="BD256" s="249"/>
      <c r="BE256" s="249"/>
      <c r="BF256" s="249"/>
      <c r="BG256" s="249"/>
      <c r="BH256" s="249"/>
      <c r="BI256" s="249"/>
      <c r="BJ256" s="249"/>
      <c r="BK256" s="249"/>
      <c r="BL256" s="249"/>
      <c r="BM256" s="249"/>
      <c r="BN256" s="249"/>
      <c r="BO256" s="249"/>
      <c r="BP256" s="249"/>
      <c r="BQ256" s="249"/>
    </row>
    <row r="257" s="251" customFormat="1" hidden="1" customHeight="1" spans="1:69">
      <c r="A257" s="356"/>
      <c r="B257" s="356"/>
      <c r="C257" s="359"/>
      <c r="D257" s="356"/>
      <c r="E257" s="356"/>
      <c r="F257" s="356"/>
      <c r="G257" s="356"/>
      <c r="H257" s="356"/>
      <c r="I257" s="356"/>
      <c r="J257" s="356"/>
      <c r="K257" s="356"/>
      <c r="L257" s="356"/>
      <c r="M257" s="356"/>
      <c r="N257" s="356"/>
      <c r="O257" s="356"/>
      <c r="P257" s="356"/>
      <c r="Q257" s="356"/>
      <c r="R257" s="365"/>
      <c r="S257" s="356"/>
      <c r="T257" s="356"/>
      <c r="U257" s="356"/>
      <c r="V257" s="356"/>
      <c r="W257" s="356"/>
      <c r="X257" s="356"/>
      <c r="Y257" s="356"/>
      <c r="Z257" s="365"/>
      <c r="AA257" s="356"/>
      <c r="AB257" s="356"/>
      <c r="AC257" s="356"/>
      <c r="AD257" s="356"/>
      <c r="AE257" s="356"/>
      <c r="AF257" s="356"/>
      <c r="AG257" s="356"/>
      <c r="AH257" s="249"/>
      <c r="AI257" s="249"/>
      <c r="AJ257" s="249"/>
      <c r="AK257" s="249"/>
      <c r="AL257" s="249"/>
      <c r="AM257" s="249"/>
      <c r="AN257" s="249"/>
      <c r="AO257" s="249"/>
      <c r="AP257" s="249"/>
      <c r="AQ257" s="249"/>
      <c r="AR257" s="249"/>
      <c r="AS257" s="249"/>
      <c r="AT257" s="249"/>
      <c r="AU257" s="249"/>
      <c r="AV257" s="249"/>
      <c r="AW257" s="249"/>
      <c r="AX257" s="249"/>
      <c r="AY257" s="249"/>
      <c r="AZ257" s="249"/>
      <c r="BA257" s="249"/>
      <c r="BB257" s="249"/>
      <c r="BC257" s="249"/>
      <c r="BD257" s="249"/>
      <c r="BE257" s="249"/>
      <c r="BF257" s="249"/>
      <c r="BG257" s="249"/>
      <c r="BH257" s="249"/>
      <c r="BI257" s="249"/>
      <c r="BJ257" s="249"/>
      <c r="BK257" s="249"/>
      <c r="BL257" s="249"/>
      <c r="BM257" s="249"/>
      <c r="BN257" s="249"/>
      <c r="BO257" s="249"/>
      <c r="BP257" s="249"/>
      <c r="BQ257" s="249"/>
    </row>
    <row r="258" s="251" customFormat="1" hidden="1" customHeight="1" spans="1:69">
      <c r="A258" s="356"/>
      <c r="B258" s="356"/>
      <c r="C258" s="359"/>
      <c r="D258" s="356"/>
      <c r="E258" s="356"/>
      <c r="F258" s="356"/>
      <c r="G258" s="356"/>
      <c r="H258" s="356"/>
      <c r="I258" s="356"/>
      <c r="J258" s="356"/>
      <c r="K258" s="356"/>
      <c r="L258" s="356"/>
      <c r="M258" s="356"/>
      <c r="N258" s="356"/>
      <c r="O258" s="356"/>
      <c r="P258" s="356"/>
      <c r="Q258" s="356"/>
      <c r="R258" s="365"/>
      <c r="S258" s="356"/>
      <c r="T258" s="356"/>
      <c r="U258" s="356"/>
      <c r="V258" s="356"/>
      <c r="W258" s="356"/>
      <c r="X258" s="356"/>
      <c r="Y258" s="356"/>
      <c r="Z258" s="365"/>
      <c r="AA258" s="356"/>
      <c r="AB258" s="356"/>
      <c r="AC258" s="356"/>
      <c r="AD258" s="356"/>
      <c r="AE258" s="356"/>
      <c r="AF258" s="356"/>
      <c r="AG258" s="356"/>
      <c r="AH258" s="249"/>
      <c r="AI258" s="249"/>
      <c r="AJ258" s="249"/>
      <c r="AK258" s="249"/>
      <c r="AL258" s="249"/>
      <c r="AM258" s="249"/>
      <c r="AN258" s="249"/>
      <c r="AO258" s="249"/>
      <c r="AP258" s="249"/>
      <c r="AQ258" s="249"/>
      <c r="AR258" s="249"/>
      <c r="AS258" s="249"/>
      <c r="AT258" s="249"/>
      <c r="AU258" s="249"/>
      <c r="AV258" s="249"/>
      <c r="AW258" s="249"/>
      <c r="AX258" s="249"/>
      <c r="AY258" s="249"/>
      <c r="AZ258" s="249"/>
      <c r="BA258" s="249"/>
      <c r="BB258" s="249"/>
      <c r="BC258" s="249"/>
      <c r="BD258" s="249"/>
      <c r="BE258" s="249"/>
      <c r="BF258" s="249"/>
      <c r="BG258" s="249"/>
      <c r="BH258" s="249"/>
      <c r="BI258" s="249"/>
      <c r="BJ258" s="249"/>
      <c r="BK258" s="249"/>
      <c r="BL258" s="249"/>
      <c r="BM258" s="249"/>
      <c r="BN258" s="249"/>
      <c r="BO258" s="249"/>
      <c r="BP258" s="249"/>
      <c r="BQ258" s="249"/>
    </row>
    <row r="259" s="251" customFormat="1" hidden="1" customHeight="1" spans="1:69">
      <c r="A259" s="356"/>
      <c r="B259" s="356"/>
      <c r="C259" s="359"/>
      <c r="D259" s="356"/>
      <c r="E259" s="356"/>
      <c r="F259" s="356"/>
      <c r="G259" s="356"/>
      <c r="H259" s="356"/>
      <c r="I259" s="356"/>
      <c r="J259" s="356"/>
      <c r="K259" s="356"/>
      <c r="L259" s="356"/>
      <c r="M259" s="356"/>
      <c r="N259" s="356"/>
      <c r="O259" s="356"/>
      <c r="P259" s="356"/>
      <c r="Q259" s="356"/>
      <c r="R259" s="365"/>
      <c r="S259" s="356"/>
      <c r="T259" s="356"/>
      <c r="U259" s="356"/>
      <c r="V259" s="356"/>
      <c r="W259" s="356"/>
      <c r="X259" s="356"/>
      <c r="Y259" s="356"/>
      <c r="Z259" s="365"/>
      <c r="AA259" s="356"/>
      <c r="AB259" s="356"/>
      <c r="AC259" s="356"/>
      <c r="AD259" s="356"/>
      <c r="AE259" s="356"/>
      <c r="AF259" s="356"/>
      <c r="AG259" s="356"/>
      <c r="AH259" s="249"/>
      <c r="AI259" s="249"/>
      <c r="AJ259" s="249"/>
      <c r="AK259" s="249"/>
      <c r="AL259" s="249"/>
      <c r="AM259" s="249"/>
      <c r="AN259" s="249"/>
      <c r="AO259" s="249"/>
      <c r="AP259" s="249"/>
      <c r="AQ259" s="249"/>
      <c r="AR259" s="249"/>
      <c r="AS259" s="249"/>
      <c r="AT259" s="249"/>
      <c r="AU259" s="249"/>
      <c r="AV259" s="249"/>
      <c r="AW259" s="249"/>
      <c r="AX259" s="249"/>
      <c r="AY259" s="249"/>
      <c r="AZ259" s="249"/>
      <c r="BA259" s="249"/>
      <c r="BB259" s="249"/>
      <c r="BC259" s="249"/>
      <c r="BD259" s="249"/>
      <c r="BE259" s="249"/>
      <c r="BF259" s="249"/>
      <c r="BG259" s="249"/>
      <c r="BH259" s="249"/>
      <c r="BI259" s="249"/>
      <c r="BJ259" s="249"/>
      <c r="BK259" s="249"/>
      <c r="BL259" s="249"/>
      <c r="BM259" s="249"/>
      <c r="BN259" s="249"/>
      <c r="BO259" s="249"/>
      <c r="BP259" s="249"/>
      <c r="BQ259" s="249"/>
    </row>
    <row r="260" s="251" customFormat="1" hidden="1" customHeight="1" spans="1:69">
      <c r="A260" s="356"/>
      <c r="B260" s="356"/>
      <c r="C260" s="359"/>
      <c r="D260" s="356"/>
      <c r="E260" s="356"/>
      <c r="F260" s="356"/>
      <c r="G260" s="356"/>
      <c r="H260" s="356"/>
      <c r="I260" s="356"/>
      <c r="J260" s="356"/>
      <c r="K260" s="356"/>
      <c r="L260" s="356"/>
      <c r="M260" s="356"/>
      <c r="N260" s="356"/>
      <c r="O260" s="356"/>
      <c r="P260" s="356"/>
      <c r="Q260" s="356"/>
      <c r="R260" s="365"/>
      <c r="S260" s="356"/>
      <c r="T260" s="356"/>
      <c r="U260" s="356"/>
      <c r="V260" s="356"/>
      <c r="W260" s="356"/>
      <c r="X260" s="356"/>
      <c r="Y260" s="356"/>
      <c r="Z260" s="365"/>
      <c r="AA260" s="356"/>
      <c r="AB260" s="356"/>
      <c r="AC260" s="356"/>
      <c r="AD260" s="356"/>
      <c r="AE260" s="356"/>
      <c r="AF260" s="356"/>
      <c r="AG260" s="356"/>
      <c r="AH260" s="249"/>
      <c r="AI260" s="249"/>
      <c r="AJ260" s="249"/>
      <c r="AK260" s="249"/>
      <c r="AL260" s="249"/>
      <c r="AM260" s="249"/>
      <c r="AN260" s="249"/>
      <c r="AO260" s="249"/>
      <c r="AP260" s="249"/>
      <c r="AQ260" s="249"/>
      <c r="AR260" s="249"/>
      <c r="AS260" s="249"/>
      <c r="AT260" s="249"/>
      <c r="AU260" s="249"/>
      <c r="AV260" s="249"/>
      <c r="AW260" s="249"/>
      <c r="AX260" s="249"/>
      <c r="AY260" s="249"/>
      <c r="AZ260" s="249"/>
      <c r="BA260" s="249"/>
      <c r="BB260" s="249"/>
      <c r="BC260" s="249"/>
      <c r="BD260" s="249"/>
      <c r="BE260" s="249"/>
      <c r="BF260" s="249"/>
      <c r="BG260" s="249"/>
      <c r="BH260" s="249"/>
      <c r="BI260" s="249"/>
      <c r="BJ260" s="249"/>
      <c r="BK260" s="249"/>
      <c r="BL260" s="249"/>
      <c r="BM260" s="249"/>
      <c r="BN260" s="249"/>
      <c r="BO260" s="249"/>
      <c r="BP260" s="249"/>
      <c r="BQ260" s="249"/>
    </row>
    <row r="261" s="251" customFormat="1" hidden="1" customHeight="1" spans="1:69">
      <c r="A261" s="356"/>
      <c r="B261" s="356"/>
      <c r="C261" s="359"/>
      <c r="D261" s="356"/>
      <c r="E261" s="356"/>
      <c r="F261" s="356"/>
      <c r="G261" s="356"/>
      <c r="H261" s="356"/>
      <c r="I261" s="356"/>
      <c r="J261" s="356"/>
      <c r="K261" s="356"/>
      <c r="L261" s="356"/>
      <c r="M261" s="356"/>
      <c r="N261" s="356"/>
      <c r="O261" s="356"/>
      <c r="P261" s="356"/>
      <c r="Q261" s="356"/>
      <c r="R261" s="365"/>
      <c r="S261" s="356"/>
      <c r="T261" s="356"/>
      <c r="U261" s="356"/>
      <c r="V261" s="356"/>
      <c r="W261" s="356"/>
      <c r="X261" s="356"/>
      <c r="Y261" s="356"/>
      <c r="Z261" s="365"/>
      <c r="AA261" s="356"/>
      <c r="AB261" s="356"/>
      <c r="AC261" s="356"/>
      <c r="AD261" s="356"/>
      <c r="AE261" s="356"/>
      <c r="AF261" s="356"/>
      <c r="AG261" s="356"/>
      <c r="AH261" s="249"/>
      <c r="AI261" s="249"/>
      <c r="AJ261" s="249"/>
      <c r="AK261" s="249"/>
      <c r="AL261" s="249"/>
      <c r="AM261" s="249"/>
      <c r="AN261" s="249"/>
      <c r="AO261" s="249"/>
      <c r="AP261" s="249"/>
      <c r="AQ261" s="249"/>
      <c r="AR261" s="249"/>
      <c r="AS261" s="249"/>
      <c r="AT261" s="249"/>
      <c r="AU261" s="249"/>
      <c r="AV261" s="249"/>
      <c r="AW261" s="249"/>
      <c r="AX261" s="249"/>
      <c r="AY261" s="249"/>
      <c r="AZ261" s="249"/>
      <c r="BA261" s="249"/>
      <c r="BB261" s="249"/>
      <c r="BC261" s="249"/>
      <c r="BD261" s="249"/>
      <c r="BE261" s="249"/>
      <c r="BF261" s="249"/>
      <c r="BG261" s="249"/>
      <c r="BH261" s="249"/>
      <c r="BI261" s="249"/>
      <c r="BJ261" s="249"/>
      <c r="BK261" s="249"/>
      <c r="BL261" s="249"/>
      <c r="BM261" s="249"/>
      <c r="BN261" s="249"/>
      <c r="BO261" s="249"/>
      <c r="BP261" s="249"/>
      <c r="BQ261" s="249"/>
    </row>
    <row r="262" s="251" customFormat="1" hidden="1" customHeight="1" spans="1:69">
      <c r="A262" s="356"/>
      <c r="B262" s="356"/>
      <c r="C262" s="359"/>
      <c r="D262" s="356"/>
      <c r="E262" s="356"/>
      <c r="F262" s="356"/>
      <c r="G262" s="356"/>
      <c r="H262" s="356"/>
      <c r="I262" s="356"/>
      <c r="J262" s="356"/>
      <c r="K262" s="356"/>
      <c r="L262" s="356"/>
      <c r="M262" s="356"/>
      <c r="N262" s="356"/>
      <c r="O262" s="356"/>
      <c r="P262" s="356"/>
      <c r="Q262" s="356"/>
      <c r="R262" s="365"/>
      <c r="S262" s="356"/>
      <c r="T262" s="356"/>
      <c r="U262" s="356"/>
      <c r="V262" s="356"/>
      <c r="W262" s="356"/>
      <c r="X262" s="356"/>
      <c r="Y262" s="356"/>
      <c r="Z262" s="365"/>
      <c r="AA262" s="356"/>
      <c r="AB262" s="356"/>
      <c r="AC262" s="356"/>
      <c r="AD262" s="356"/>
      <c r="AE262" s="356"/>
      <c r="AF262" s="356"/>
      <c r="AG262" s="356"/>
      <c r="AH262" s="249"/>
      <c r="AI262" s="249"/>
      <c r="AJ262" s="249"/>
      <c r="AK262" s="249"/>
      <c r="AL262" s="249"/>
      <c r="AM262" s="249"/>
      <c r="AN262" s="249"/>
      <c r="AO262" s="249"/>
      <c r="AP262" s="249"/>
      <c r="AQ262" s="249"/>
      <c r="AR262" s="249"/>
      <c r="AS262" s="249"/>
      <c r="AT262" s="249"/>
      <c r="AU262" s="249"/>
      <c r="AV262" s="249"/>
      <c r="AW262" s="249"/>
      <c r="AX262" s="249"/>
      <c r="AY262" s="249"/>
      <c r="AZ262" s="249"/>
      <c r="BA262" s="249"/>
      <c r="BB262" s="249"/>
      <c r="BC262" s="249"/>
      <c r="BD262" s="249"/>
      <c r="BE262" s="249"/>
      <c r="BF262" s="249"/>
      <c r="BG262" s="249"/>
      <c r="BH262" s="249"/>
      <c r="BI262" s="249"/>
      <c r="BJ262" s="249"/>
      <c r="BK262" s="249"/>
      <c r="BL262" s="249"/>
      <c r="BM262" s="249"/>
      <c r="BN262" s="249"/>
      <c r="BO262" s="249"/>
      <c r="BP262" s="249"/>
      <c r="BQ262" s="249"/>
    </row>
    <row r="263" s="251" customFormat="1" hidden="1" customHeight="1" spans="1:69">
      <c r="A263" s="356"/>
      <c r="B263" s="356"/>
      <c r="C263" s="359"/>
      <c r="D263" s="356"/>
      <c r="E263" s="356"/>
      <c r="F263" s="356"/>
      <c r="G263" s="356"/>
      <c r="H263" s="356"/>
      <c r="I263" s="356"/>
      <c r="J263" s="356"/>
      <c r="K263" s="356"/>
      <c r="L263" s="356"/>
      <c r="M263" s="356"/>
      <c r="N263" s="356"/>
      <c r="O263" s="356"/>
      <c r="P263" s="356"/>
      <c r="Q263" s="356"/>
      <c r="R263" s="365"/>
      <c r="S263" s="356"/>
      <c r="T263" s="356"/>
      <c r="U263" s="356"/>
      <c r="V263" s="356"/>
      <c r="W263" s="356"/>
      <c r="X263" s="356"/>
      <c r="Y263" s="356"/>
      <c r="Z263" s="365"/>
      <c r="AA263" s="356"/>
      <c r="AB263" s="356"/>
      <c r="AC263" s="356"/>
      <c r="AD263" s="356"/>
      <c r="AE263" s="356"/>
      <c r="AF263" s="356"/>
      <c r="AG263" s="356"/>
      <c r="AH263" s="249"/>
      <c r="AI263" s="249"/>
      <c r="AJ263" s="249"/>
      <c r="AK263" s="249"/>
      <c r="AL263" s="249"/>
      <c r="AM263" s="249"/>
      <c r="AN263" s="249"/>
      <c r="AO263" s="249"/>
      <c r="AP263" s="249"/>
      <c r="AQ263" s="249"/>
      <c r="AR263" s="249"/>
      <c r="AS263" s="249"/>
      <c r="AT263" s="249"/>
      <c r="AU263" s="249"/>
      <c r="AV263" s="249"/>
      <c r="AW263" s="249"/>
      <c r="AX263" s="249"/>
      <c r="AY263" s="249"/>
      <c r="AZ263" s="249"/>
      <c r="BA263" s="249"/>
      <c r="BB263" s="249"/>
      <c r="BC263" s="249"/>
      <c r="BD263" s="249"/>
      <c r="BE263" s="249"/>
      <c r="BF263" s="249"/>
      <c r="BG263" s="249"/>
      <c r="BH263" s="249"/>
      <c r="BI263" s="249"/>
      <c r="BJ263" s="249"/>
      <c r="BK263" s="249"/>
      <c r="BL263" s="249"/>
      <c r="BM263" s="249"/>
      <c r="BN263" s="249"/>
      <c r="BO263" s="249"/>
      <c r="BP263" s="249"/>
      <c r="BQ263" s="249"/>
    </row>
    <row r="264" s="251" customFormat="1" hidden="1" customHeight="1" spans="1:69">
      <c r="A264" s="356"/>
      <c r="B264" s="356"/>
      <c r="C264" s="359"/>
      <c r="D264" s="356"/>
      <c r="E264" s="356"/>
      <c r="F264" s="356"/>
      <c r="G264" s="356"/>
      <c r="H264" s="356"/>
      <c r="I264" s="356"/>
      <c r="J264" s="356"/>
      <c r="K264" s="356"/>
      <c r="L264" s="356"/>
      <c r="M264" s="356"/>
      <c r="N264" s="356"/>
      <c r="O264" s="356"/>
      <c r="P264" s="356"/>
      <c r="Q264" s="356"/>
      <c r="R264" s="365"/>
      <c r="S264" s="356"/>
      <c r="T264" s="356"/>
      <c r="U264" s="356"/>
      <c r="V264" s="356"/>
      <c r="W264" s="356"/>
      <c r="X264" s="356"/>
      <c r="Y264" s="356"/>
      <c r="Z264" s="365"/>
      <c r="AA264" s="356"/>
      <c r="AB264" s="356"/>
      <c r="AC264" s="356"/>
      <c r="AD264" s="356"/>
      <c r="AE264" s="356"/>
      <c r="AF264" s="356"/>
      <c r="AG264" s="356"/>
      <c r="AH264" s="249"/>
      <c r="AI264" s="249"/>
      <c r="AJ264" s="249"/>
      <c r="AK264" s="249"/>
      <c r="AL264" s="249"/>
      <c r="AM264" s="249"/>
      <c r="AN264" s="249"/>
      <c r="AO264" s="249"/>
      <c r="AP264" s="249"/>
      <c r="AQ264" s="249"/>
      <c r="AR264" s="249"/>
      <c r="AS264" s="249"/>
      <c r="AT264" s="249"/>
      <c r="AU264" s="249"/>
      <c r="AV264" s="249"/>
      <c r="AW264" s="249"/>
      <c r="AX264" s="249"/>
      <c r="AY264" s="249"/>
      <c r="AZ264" s="249"/>
      <c r="BA264" s="249"/>
      <c r="BB264" s="249"/>
      <c r="BC264" s="249"/>
      <c r="BD264" s="249"/>
      <c r="BE264" s="249"/>
      <c r="BF264" s="249"/>
      <c r="BG264" s="249"/>
      <c r="BH264" s="249"/>
      <c r="BI264" s="249"/>
      <c r="BJ264" s="249"/>
      <c r="BK264" s="249"/>
      <c r="BL264" s="249"/>
      <c r="BM264" s="249"/>
      <c r="BN264" s="249"/>
      <c r="BO264" s="249"/>
      <c r="BP264" s="249"/>
      <c r="BQ264" s="249"/>
    </row>
    <row r="265" s="251" customFormat="1" hidden="1" customHeight="1" spans="1:69">
      <c r="A265" s="356"/>
      <c r="B265" s="356"/>
      <c r="C265" s="359"/>
      <c r="D265" s="356"/>
      <c r="E265" s="356"/>
      <c r="F265" s="356"/>
      <c r="G265" s="356"/>
      <c r="H265" s="356"/>
      <c r="I265" s="356"/>
      <c r="J265" s="356"/>
      <c r="K265" s="356"/>
      <c r="L265" s="356"/>
      <c r="M265" s="356"/>
      <c r="N265" s="356"/>
      <c r="O265" s="356"/>
      <c r="P265" s="356"/>
      <c r="Q265" s="356"/>
      <c r="R265" s="365"/>
      <c r="S265" s="356"/>
      <c r="T265" s="356"/>
      <c r="U265" s="356"/>
      <c r="V265" s="356"/>
      <c r="W265" s="356"/>
      <c r="X265" s="356"/>
      <c r="Y265" s="356"/>
      <c r="Z265" s="365"/>
      <c r="AA265" s="356"/>
      <c r="AB265" s="356"/>
      <c r="AC265" s="356"/>
      <c r="AD265" s="356"/>
      <c r="AE265" s="356"/>
      <c r="AF265" s="356"/>
      <c r="AG265" s="356"/>
      <c r="AH265" s="249"/>
      <c r="AI265" s="249"/>
      <c r="AJ265" s="249"/>
      <c r="AK265" s="249"/>
      <c r="AL265" s="249"/>
      <c r="AM265" s="249"/>
      <c r="AN265" s="249"/>
      <c r="AO265" s="249"/>
      <c r="AP265" s="249"/>
      <c r="AQ265" s="249"/>
      <c r="AR265" s="249"/>
      <c r="AS265" s="249"/>
      <c r="AT265" s="249"/>
      <c r="AU265" s="249"/>
      <c r="AV265" s="249"/>
      <c r="AW265" s="249"/>
      <c r="AX265" s="249"/>
      <c r="AY265" s="249"/>
      <c r="AZ265" s="249"/>
      <c r="BA265" s="249"/>
      <c r="BB265" s="249"/>
      <c r="BC265" s="249"/>
      <c r="BD265" s="249"/>
      <c r="BE265" s="249"/>
      <c r="BF265" s="249"/>
      <c r="BG265" s="249"/>
      <c r="BH265" s="249"/>
      <c r="BI265" s="249"/>
      <c r="BJ265" s="249"/>
      <c r="BK265" s="249"/>
      <c r="BL265" s="249"/>
      <c r="BM265" s="249"/>
      <c r="BN265" s="249"/>
      <c r="BO265" s="249"/>
      <c r="BP265" s="249"/>
      <c r="BQ265" s="249"/>
    </row>
    <row r="266" s="251" customFormat="1" hidden="1" customHeight="1" spans="1:69">
      <c r="A266" s="356"/>
      <c r="B266" s="356"/>
      <c r="C266" s="359"/>
      <c r="D266" s="356"/>
      <c r="E266" s="356"/>
      <c r="F266" s="356"/>
      <c r="G266" s="356"/>
      <c r="H266" s="356"/>
      <c r="I266" s="356"/>
      <c r="J266" s="356"/>
      <c r="K266" s="356"/>
      <c r="L266" s="356"/>
      <c r="M266" s="356"/>
      <c r="N266" s="356"/>
      <c r="O266" s="356"/>
      <c r="P266" s="356"/>
      <c r="Q266" s="356"/>
      <c r="R266" s="365"/>
      <c r="S266" s="356"/>
      <c r="T266" s="356"/>
      <c r="U266" s="356"/>
      <c r="V266" s="356"/>
      <c r="W266" s="356"/>
      <c r="X266" s="356"/>
      <c r="Y266" s="356"/>
      <c r="Z266" s="365"/>
      <c r="AA266" s="356"/>
      <c r="AB266" s="356"/>
      <c r="AC266" s="356"/>
      <c r="AD266" s="356"/>
      <c r="AE266" s="356"/>
      <c r="AF266" s="356"/>
      <c r="AG266" s="356"/>
      <c r="AH266" s="249"/>
      <c r="AI266" s="249"/>
      <c r="AJ266" s="249"/>
      <c r="AK266" s="249"/>
      <c r="AL266" s="249"/>
      <c r="AM266" s="249"/>
      <c r="AN266" s="249"/>
      <c r="AO266" s="249"/>
      <c r="AP266" s="249"/>
      <c r="AQ266" s="249"/>
      <c r="AR266" s="249"/>
      <c r="AS266" s="249"/>
      <c r="AT266" s="249"/>
      <c r="AU266" s="249"/>
      <c r="AV266" s="249"/>
      <c r="AW266" s="249"/>
      <c r="AX266" s="249"/>
      <c r="AY266" s="249"/>
      <c r="AZ266" s="249"/>
      <c r="BA266" s="249"/>
      <c r="BB266" s="249"/>
      <c r="BC266" s="249"/>
      <c r="BD266" s="249"/>
      <c r="BE266" s="249"/>
      <c r="BF266" s="249"/>
      <c r="BG266" s="249"/>
      <c r="BH266" s="249"/>
      <c r="BI266" s="249"/>
      <c r="BJ266" s="249"/>
      <c r="BK266" s="249"/>
      <c r="BL266" s="249"/>
      <c r="BM266" s="249"/>
      <c r="BN266" s="249"/>
      <c r="BO266" s="249"/>
      <c r="BP266" s="249"/>
      <c r="BQ266" s="249"/>
    </row>
    <row r="267" s="251" customFormat="1" hidden="1" customHeight="1" spans="1:69">
      <c r="A267" s="356"/>
      <c r="B267" s="356"/>
      <c r="C267" s="359"/>
      <c r="D267" s="356"/>
      <c r="E267" s="356"/>
      <c r="F267" s="356"/>
      <c r="G267" s="356"/>
      <c r="H267" s="356"/>
      <c r="I267" s="356"/>
      <c r="J267" s="356"/>
      <c r="K267" s="356"/>
      <c r="L267" s="356"/>
      <c r="M267" s="356"/>
      <c r="N267" s="356"/>
      <c r="O267" s="356"/>
      <c r="P267" s="356"/>
      <c r="Q267" s="356"/>
      <c r="R267" s="365"/>
      <c r="S267" s="356"/>
      <c r="T267" s="356"/>
      <c r="U267" s="356"/>
      <c r="V267" s="356"/>
      <c r="W267" s="356"/>
      <c r="X267" s="356"/>
      <c r="Y267" s="356"/>
      <c r="Z267" s="365"/>
      <c r="AA267" s="356"/>
      <c r="AB267" s="356"/>
      <c r="AC267" s="356"/>
      <c r="AD267" s="356"/>
      <c r="AE267" s="356"/>
      <c r="AF267" s="356"/>
      <c r="AG267" s="356"/>
      <c r="AH267" s="249"/>
      <c r="AI267" s="249"/>
      <c r="AJ267" s="249"/>
      <c r="AK267" s="249"/>
      <c r="AL267" s="249"/>
      <c r="AM267" s="249"/>
      <c r="AN267" s="249"/>
      <c r="AO267" s="249"/>
      <c r="AP267" s="249"/>
      <c r="AQ267" s="249"/>
      <c r="AR267" s="249"/>
      <c r="AS267" s="249"/>
      <c r="AT267" s="249"/>
      <c r="AU267" s="249"/>
      <c r="AV267" s="249"/>
      <c r="AW267" s="249"/>
      <c r="AX267" s="249"/>
      <c r="AY267" s="249"/>
      <c r="AZ267" s="249"/>
      <c r="BA267" s="249"/>
      <c r="BB267" s="249"/>
      <c r="BC267" s="249"/>
      <c r="BD267" s="249"/>
      <c r="BE267" s="249"/>
      <c r="BF267" s="249"/>
      <c r="BG267" s="249"/>
      <c r="BH267" s="249"/>
      <c r="BI267" s="249"/>
      <c r="BJ267" s="249"/>
      <c r="BK267" s="249"/>
      <c r="BL267" s="249"/>
      <c r="BM267" s="249"/>
      <c r="BN267" s="249"/>
      <c r="BO267" s="249"/>
      <c r="BP267" s="249"/>
      <c r="BQ267" s="249"/>
    </row>
    <row r="268" s="251" customFormat="1" hidden="1" customHeight="1" spans="1:69">
      <c r="A268" s="356"/>
      <c r="B268" s="356"/>
      <c r="C268" s="359"/>
      <c r="D268" s="356"/>
      <c r="E268" s="356"/>
      <c r="F268" s="356"/>
      <c r="G268" s="356"/>
      <c r="H268" s="356"/>
      <c r="I268" s="356"/>
      <c r="J268" s="356"/>
      <c r="K268" s="356"/>
      <c r="L268" s="356"/>
      <c r="M268" s="356"/>
      <c r="N268" s="356"/>
      <c r="O268" s="356"/>
      <c r="P268" s="356"/>
      <c r="Q268" s="356"/>
      <c r="R268" s="365"/>
      <c r="S268" s="356"/>
      <c r="T268" s="356"/>
      <c r="U268" s="356"/>
      <c r="V268" s="356"/>
      <c r="W268" s="356"/>
      <c r="X268" s="356"/>
      <c r="Y268" s="356"/>
      <c r="Z268" s="365"/>
      <c r="AA268" s="356"/>
      <c r="AB268" s="356"/>
      <c r="AC268" s="356"/>
      <c r="AD268" s="356"/>
      <c r="AE268" s="356"/>
      <c r="AF268" s="356"/>
      <c r="AG268" s="356"/>
      <c r="AH268" s="249"/>
      <c r="AI268" s="249"/>
      <c r="AJ268" s="249"/>
      <c r="AK268" s="249"/>
      <c r="AL268" s="249"/>
      <c r="AM268" s="249"/>
      <c r="AN268" s="249"/>
      <c r="AO268" s="249"/>
      <c r="AP268" s="249"/>
      <c r="AQ268" s="249"/>
      <c r="AR268" s="249"/>
      <c r="AS268" s="249"/>
      <c r="AT268" s="249"/>
      <c r="AU268" s="249"/>
      <c r="AV268" s="249"/>
      <c r="AW268" s="249"/>
      <c r="AX268" s="249"/>
      <c r="AY268" s="249"/>
      <c r="AZ268" s="249"/>
      <c r="BA268" s="249"/>
      <c r="BB268" s="249"/>
      <c r="BC268" s="249"/>
      <c r="BD268" s="249"/>
      <c r="BE268" s="249"/>
      <c r="BF268" s="249"/>
      <c r="BG268" s="249"/>
      <c r="BH268" s="249"/>
      <c r="BI268" s="249"/>
      <c r="BJ268" s="249"/>
      <c r="BK268" s="249"/>
      <c r="BL268" s="249"/>
      <c r="BM268" s="249"/>
      <c r="BN268" s="249"/>
      <c r="BO268" s="249"/>
      <c r="BP268" s="249"/>
      <c r="BQ268" s="249"/>
    </row>
    <row r="269" s="251" customFormat="1" hidden="1" customHeight="1" spans="1:69">
      <c r="A269" s="356"/>
      <c r="B269" s="356"/>
      <c r="C269" s="359"/>
      <c r="D269" s="356"/>
      <c r="E269" s="356"/>
      <c r="F269" s="356"/>
      <c r="G269" s="356"/>
      <c r="H269" s="356"/>
      <c r="I269" s="356"/>
      <c r="J269" s="356"/>
      <c r="K269" s="356"/>
      <c r="L269" s="356"/>
      <c r="M269" s="356"/>
      <c r="N269" s="356"/>
      <c r="O269" s="356"/>
      <c r="P269" s="356"/>
      <c r="Q269" s="356"/>
      <c r="R269" s="365"/>
      <c r="S269" s="356"/>
      <c r="T269" s="356"/>
      <c r="U269" s="356"/>
      <c r="V269" s="356"/>
      <c r="W269" s="356"/>
      <c r="X269" s="356"/>
      <c r="Y269" s="356"/>
      <c r="Z269" s="365"/>
      <c r="AA269" s="356"/>
      <c r="AB269" s="356"/>
      <c r="AC269" s="356"/>
      <c r="AD269" s="356"/>
      <c r="AE269" s="356"/>
      <c r="AF269" s="356"/>
      <c r="AG269" s="356"/>
      <c r="AH269" s="249"/>
      <c r="AI269" s="249"/>
      <c r="AJ269" s="249"/>
      <c r="AK269" s="249"/>
      <c r="AL269" s="249"/>
      <c r="AM269" s="249"/>
      <c r="AN269" s="249"/>
      <c r="AO269" s="249"/>
      <c r="AP269" s="249"/>
      <c r="AQ269" s="249"/>
      <c r="AR269" s="249"/>
      <c r="AS269" s="249"/>
      <c r="AT269" s="249"/>
      <c r="AU269" s="249"/>
      <c r="AV269" s="249"/>
      <c r="AW269" s="249"/>
      <c r="AX269" s="249"/>
      <c r="AY269" s="249"/>
      <c r="AZ269" s="249"/>
      <c r="BA269" s="249"/>
      <c r="BB269" s="249"/>
      <c r="BC269" s="249"/>
      <c r="BD269" s="249"/>
      <c r="BE269" s="249"/>
      <c r="BF269" s="249"/>
      <c r="BG269" s="249"/>
      <c r="BH269" s="249"/>
      <c r="BI269" s="249"/>
      <c r="BJ269" s="249"/>
      <c r="BK269" s="249"/>
      <c r="BL269" s="249"/>
      <c r="BM269" s="249"/>
      <c r="BN269" s="249"/>
      <c r="BO269" s="249"/>
      <c r="BP269" s="249"/>
      <c r="BQ269" s="249"/>
    </row>
    <row r="270" s="251" customFormat="1" hidden="1" customHeight="1" spans="1:69">
      <c r="A270" s="356"/>
      <c r="B270" s="356"/>
      <c r="C270" s="359"/>
      <c r="D270" s="356"/>
      <c r="E270" s="356"/>
      <c r="F270" s="356"/>
      <c r="G270" s="356"/>
      <c r="H270" s="356"/>
      <c r="I270" s="356"/>
      <c r="J270" s="356"/>
      <c r="K270" s="356"/>
      <c r="L270" s="356"/>
      <c r="M270" s="356"/>
      <c r="N270" s="356"/>
      <c r="O270" s="356"/>
      <c r="P270" s="356"/>
      <c r="Q270" s="356"/>
      <c r="R270" s="365"/>
      <c r="S270" s="356"/>
      <c r="T270" s="356"/>
      <c r="U270" s="356"/>
      <c r="V270" s="356"/>
      <c r="W270" s="356"/>
      <c r="X270" s="356"/>
      <c r="Y270" s="356"/>
      <c r="Z270" s="365"/>
      <c r="AA270" s="356"/>
      <c r="AB270" s="356"/>
      <c r="AC270" s="356"/>
      <c r="AD270" s="356"/>
      <c r="AE270" s="356"/>
      <c r="AF270" s="356"/>
      <c r="AG270" s="356"/>
      <c r="AH270" s="249"/>
      <c r="AI270" s="249"/>
      <c r="AJ270" s="249"/>
      <c r="AK270" s="249"/>
      <c r="AL270" s="249"/>
      <c r="AM270" s="249"/>
      <c r="AN270" s="249"/>
      <c r="AO270" s="249"/>
      <c r="AP270" s="249"/>
      <c r="AQ270" s="249"/>
      <c r="AR270" s="249"/>
      <c r="AS270" s="249"/>
      <c r="AT270" s="249"/>
      <c r="AU270" s="249"/>
      <c r="AV270" s="249"/>
      <c r="AW270" s="249"/>
      <c r="AX270" s="249"/>
      <c r="AY270" s="249"/>
      <c r="AZ270" s="249"/>
      <c r="BA270" s="249"/>
      <c r="BB270" s="249"/>
      <c r="BC270" s="249"/>
      <c r="BD270" s="249"/>
      <c r="BE270" s="249"/>
      <c r="BF270" s="249"/>
      <c r="BG270" s="249"/>
      <c r="BH270" s="249"/>
      <c r="BI270" s="249"/>
      <c r="BJ270" s="249"/>
      <c r="BK270" s="249"/>
      <c r="BL270" s="249"/>
      <c r="BM270" s="249"/>
      <c r="BN270" s="249"/>
      <c r="BO270" s="249"/>
      <c r="BP270" s="249"/>
      <c r="BQ270" s="249"/>
    </row>
    <row r="271" s="251" customFormat="1" hidden="1" customHeight="1" spans="1:69">
      <c r="A271" s="356"/>
      <c r="B271" s="356"/>
      <c r="C271" s="359"/>
      <c r="D271" s="356"/>
      <c r="E271" s="356"/>
      <c r="F271" s="356"/>
      <c r="G271" s="356"/>
      <c r="H271" s="356"/>
      <c r="I271" s="356"/>
      <c r="J271" s="356"/>
      <c r="K271" s="356"/>
      <c r="L271" s="356"/>
      <c r="M271" s="356"/>
      <c r="N271" s="356"/>
      <c r="O271" s="356"/>
      <c r="P271" s="356"/>
      <c r="Q271" s="356"/>
      <c r="R271" s="365"/>
      <c r="S271" s="356"/>
      <c r="T271" s="356"/>
      <c r="U271" s="356"/>
      <c r="V271" s="356"/>
      <c r="W271" s="356"/>
      <c r="X271" s="356"/>
      <c r="Y271" s="356"/>
      <c r="Z271" s="365"/>
      <c r="AA271" s="356"/>
      <c r="AB271" s="356"/>
      <c r="AC271" s="356"/>
      <c r="AD271" s="356"/>
      <c r="AE271" s="356"/>
      <c r="AF271" s="356"/>
      <c r="AG271" s="356"/>
      <c r="AH271" s="249"/>
      <c r="AI271" s="249"/>
      <c r="AJ271" s="249"/>
      <c r="AK271" s="249"/>
      <c r="AL271" s="249"/>
      <c r="AM271" s="249"/>
      <c r="AN271" s="249"/>
      <c r="AO271" s="249"/>
      <c r="AP271" s="249"/>
      <c r="AQ271" s="249"/>
      <c r="AR271" s="249"/>
      <c r="AS271" s="249"/>
      <c r="AT271" s="249"/>
      <c r="AU271" s="249"/>
      <c r="AV271" s="249"/>
      <c r="AW271" s="249"/>
      <c r="AX271" s="249"/>
      <c r="AY271" s="249"/>
      <c r="AZ271" s="249"/>
      <c r="BA271" s="249"/>
      <c r="BB271" s="249"/>
      <c r="BC271" s="249"/>
      <c r="BD271" s="249"/>
      <c r="BE271" s="249"/>
      <c r="BF271" s="249"/>
      <c r="BG271" s="249"/>
      <c r="BH271" s="249"/>
      <c r="BI271" s="249"/>
      <c r="BJ271" s="249"/>
      <c r="BK271" s="249"/>
      <c r="BL271" s="249"/>
      <c r="BM271" s="249"/>
      <c r="BN271" s="249"/>
      <c r="BO271" s="249"/>
      <c r="BP271" s="249"/>
      <c r="BQ271" s="249"/>
    </row>
    <row r="272" s="251" customFormat="1" hidden="1" customHeight="1" spans="1:69">
      <c r="A272" s="356"/>
      <c r="B272" s="356"/>
      <c r="C272" s="359"/>
      <c r="D272" s="356"/>
      <c r="E272" s="356"/>
      <c r="F272" s="356"/>
      <c r="G272" s="356"/>
      <c r="H272" s="356"/>
      <c r="I272" s="356"/>
      <c r="J272" s="356"/>
      <c r="K272" s="356"/>
      <c r="L272" s="356"/>
      <c r="M272" s="356"/>
      <c r="N272" s="356"/>
      <c r="O272" s="356"/>
      <c r="P272" s="356"/>
      <c r="Q272" s="356"/>
      <c r="R272" s="365"/>
      <c r="S272" s="356"/>
      <c r="T272" s="356"/>
      <c r="U272" s="356"/>
      <c r="V272" s="356"/>
      <c r="W272" s="356"/>
      <c r="X272" s="356"/>
      <c r="Y272" s="356"/>
      <c r="Z272" s="365"/>
      <c r="AA272" s="356"/>
      <c r="AB272" s="356"/>
      <c r="AC272" s="356"/>
      <c r="AD272" s="356"/>
      <c r="AE272" s="356"/>
      <c r="AF272" s="356"/>
      <c r="AG272" s="356"/>
      <c r="AH272" s="249"/>
      <c r="AI272" s="249"/>
      <c r="AJ272" s="249"/>
      <c r="AK272" s="249"/>
      <c r="AL272" s="249"/>
      <c r="AM272" s="249"/>
      <c r="AN272" s="249"/>
      <c r="AO272" s="249"/>
      <c r="AP272" s="249"/>
      <c r="AQ272" s="249"/>
      <c r="AR272" s="249"/>
      <c r="AS272" s="249"/>
      <c r="AT272" s="249"/>
      <c r="AU272" s="249"/>
      <c r="AV272" s="249"/>
      <c r="AW272" s="249"/>
      <c r="AX272" s="249"/>
      <c r="AY272" s="249"/>
      <c r="AZ272" s="249"/>
      <c r="BA272" s="249"/>
      <c r="BB272" s="249"/>
      <c r="BC272" s="249"/>
      <c r="BD272" s="249"/>
      <c r="BE272" s="249"/>
      <c r="BF272" s="249"/>
      <c r="BG272" s="249"/>
      <c r="BH272" s="249"/>
      <c r="BI272" s="249"/>
      <c r="BJ272" s="249"/>
      <c r="BK272" s="249"/>
      <c r="BL272" s="249"/>
      <c r="BM272" s="249"/>
      <c r="BN272" s="249"/>
      <c r="BO272" s="249"/>
      <c r="BP272" s="249"/>
      <c r="BQ272" s="249"/>
    </row>
    <row r="273" s="251" customFormat="1" hidden="1" customHeight="1" spans="1:69">
      <c r="A273" s="356"/>
      <c r="B273" s="356"/>
      <c r="C273" s="359"/>
      <c r="D273" s="356"/>
      <c r="E273" s="356"/>
      <c r="F273" s="356"/>
      <c r="G273" s="356"/>
      <c r="H273" s="356"/>
      <c r="I273" s="356"/>
      <c r="J273" s="356"/>
      <c r="K273" s="356"/>
      <c r="L273" s="356"/>
      <c r="M273" s="356"/>
      <c r="N273" s="356"/>
      <c r="O273" s="356"/>
      <c r="P273" s="356"/>
      <c r="Q273" s="356"/>
      <c r="R273" s="365"/>
      <c r="S273" s="356"/>
      <c r="T273" s="356"/>
      <c r="U273" s="356"/>
      <c r="V273" s="356"/>
      <c r="W273" s="356"/>
      <c r="X273" s="356"/>
      <c r="Y273" s="356"/>
      <c r="Z273" s="365"/>
      <c r="AA273" s="356"/>
      <c r="AB273" s="356"/>
      <c r="AC273" s="356"/>
      <c r="AD273" s="356"/>
      <c r="AE273" s="356"/>
      <c r="AF273" s="356"/>
      <c r="AG273" s="356"/>
      <c r="AH273" s="249"/>
      <c r="AI273" s="249"/>
      <c r="AJ273" s="249"/>
      <c r="AK273" s="249"/>
      <c r="AL273" s="249"/>
      <c r="AM273" s="249"/>
      <c r="AN273" s="249"/>
      <c r="AO273" s="249"/>
      <c r="AP273" s="249"/>
      <c r="AQ273" s="249"/>
      <c r="AR273" s="249"/>
      <c r="AS273" s="249"/>
      <c r="AT273" s="249"/>
      <c r="AU273" s="249"/>
      <c r="AV273" s="249"/>
      <c r="AW273" s="249"/>
      <c r="AX273" s="249"/>
      <c r="AY273" s="249"/>
      <c r="AZ273" s="249"/>
      <c r="BA273" s="249"/>
      <c r="BB273" s="249"/>
      <c r="BC273" s="249"/>
      <c r="BD273" s="249"/>
      <c r="BE273" s="249"/>
      <c r="BF273" s="249"/>
      <c r="BG273" s="249"/>
      <c r="BH273" s="249"/>
      <c r="BI273" s="249"/>
      <c r="BJ273" s="249"/>
      <c r="BK273" s="249"/>
      <c r="BL273" s="249"/>
      <c r="BM273" s="249"/>
      <c r="BN273" s="249"/>
      <c r="BO273" s="249"/>
      <c r="BP273" s="249"/>
      <c r="BQ273" s="249"/>
    </row>
    <row r="274" s="251" customFormat="1" hidden="1" customHeight="1" spans="1:69">
      <c r="A274" s="356"/>
      <c r="B274" s="356"/>
      <c r="C274" s="359"/>
      <c r="D274" s="356"/>
      <c r="E274" s="356"/>
      <c r="F274" s="356"/>
      <c r="G274" s="356"/>
      <c r="H274" s="356"/>
      <c r="I274" s="356"/>
      <c r="J274" s="356"/>
      <c r="K274" s="356"/>
      <c r="L274" s="356"/>
      <c r="M274" s="356"/>
      <c r="N274" s="356"/>
      <c r="O274" s="356"/>
      <c r="P274" s="356"/>
      <c r="Q274" s="356"/>
      <c r="R274" s="365"/>
      <c r="S274" s="356"/>
      <c r="T274" s="356"/>
      <c r="U274" s="356"/>
      <c r="V274" s="356"/>
      <c r="W274" s="356"/>
      <c r="X274" s="356"/>
      <c r="Y274" s="356"/>
      <c r="Z274" s="365"/>
      <c r="AA274" s="356"/>
      <c r="AB274" s="356"/>
      <c r="AC274" s="356"/>
      <c r="AD274" s="356"/>
      <c r="AE274" s="356"/>
      <c r="AF274" s="356"/>
      <c r="AG274" s="356"/>
      <c r="AH274" s="249"/>
      <c r="AI274" s="249"/>
      <c r="AJ274" s="249"/>
      <c r="AK274" s="249"/>
      <c r="AL274" s="249"/>
      <c r="AM274" s="249"/>
      <c r="AN274" s="249"/>
      <c r="AO274" s="249"/>
      <c r="AP274" s="249"/>
      <c r="AQ274" s="249"/>
      <c r="AR274" s="249"/>
      <c r="AS274" s="249"/>
      <c r="AT274" s="249"/>
      <c r="AU274" s="249"/>
      <c r="AV274" s="249"/>
      <c r="AW274" s="249"/>
      <c r="AX274" s="249"/>
      <c r="AY274" s="249"/>
      <c r="AZ274" s="249"/>
      <c r="BA274" s="249"/>
      <c r="BB274" s="249"/>
      <c r="BC274" s="249"/>
      <c r="BD274" s="249"/>
      <c r="BE274" s="249"/>
      <c r="BF274" s="249"/>
      <c r="BG274" s="249"/>
      <c r="BH274" s="249"/>
      <c r="BI274" s="249"/>
      <c r="BJ274" s="249"/>
      <c r="BK274" s="249"/>
      <c r="BL274" s="249"/>
      <c r="BM274" s="249"/>
      <c r="BN274" s="249"/>
      <c r="BO274" s="249"/>
      <c r="BP274" s="249"/>
      <c r="BQ274" s="249"/>
    </row>
    <row r="275" s="251" customFormat="1" hidden="1" customHeight="1" spans="1:69">
      <c r="A275" s="356"/>
      <c r="B275" s="356"/>
      <c r="C275" s="359"/>
      <c r="D275" s="356"/>
      <c r="E275" s="356"/>
      <c r="F275" s="356"/>
      <c r="G275" s="356"/>
      <c r="H275" s="356"/>
      <c r="I275" s="356"/>
      <c r="J275" s="356"/>
      <c r="K275" s="356"/>
      <c r="L275" s="356"/>
      <c r="M275" s="356"/>
      <c r="N275" s="356"/>
      <c r="O275" s="356"/>
      <c r="P275" s="356"/>
      <c r="Q275" s="356"/>
      <c r="R275" s="365"/>
      <c r="S275" s="356"/>
      <c r="T275" s="356"/>
      <c r="U275" s="356"/>
      <c r="V275" s="356"/>
      <c r="W275" s="356"/>
      <c r="X275" s="356"/>
      <c r="Y275" s="356"/>
      <c r="Z275" s="365"/>
      <c r="AA275" s="356"/>
      <c r="AB275" s="356"/>
      <c r="AC275" s="356"/>
      <c r="AD275" s="356"/>
      <c r="AE275" s="356"/>
      <c r="AF275" s="356"/>
      <c r="AG275" s="356"/>
      <c r="AH275" s="249"/>
      <c r="AI275" s="249"/>
      <c r="AJ275" s="249"/>
      <c r="AK275" s="249"/>
      <c r="AL275" s="249"/>
      <c r="AM275" s="249"/>
      <c r="AN275" s="249"/>
      <c r="AO275" s="249"/>
      <c r="AP275" s="249"/>
      <c r="AQ275" s="249"/>
      <c r="AR275" s="249"/>
      <c r="AS275" s="249"/>
      <c r="AT275" s="249"/>
      <c r="AU275" s="249"/>
      <c r="AV275" s="249"/>
      <c r="AW275" s="249"/>
      <c r="AX275" s="249"/>
      <c r="AY275" s="249"/>
      <c r="AZ275" s="249"/>
      <c r="BA275" s="249"/>
      <c r="BB275" s="249"/>
      <c r="BC275" s="249"/>
      <c r="BD275" s="249"/>
      <c r="BE275" s="249"/>
      <c r="BF275" s="249"/>
      <c r="BG275" s="249"/>
      <c r="BH275" s="249"/>
      <c r="BI275" s="249"/>
      <c r="BJ275" s="249"/>
      <c r="BK275" s="249"/>
      <c r="BL275" s="249"/>
      <c r="BM275" s="249"/>
      <c r="BN275" s="249"/>
      <c r="BO275" s="249"/>
      <c r="BP275" s="249"/>
      <c r="BQ275" s="249"/>
    </row>
    <row r="276" s="251" customFormat="1" hidden="1" customHeight="1" spans="1:69">
      <c r="A276" s="356"/>
      <c r="B276" s="356"/>
      <c r="C276" s="359"/>
      <c r="D276" s="356"/>
      <c r="E276" s="356"/>
      <c r="F276" s="356"/>
      <c r="G276" s="356"/>
      <c r="H276" s="356"/>
      <c r="I276" s="356"/>
      <c r="J276" s="356"/>
      <c r="K276" s="356"/>
      <c r="L276" s="356"/>
      <c r="M276" s="356"/>
      <c r="N276" s="356"/>
      <c r="O276" s="356"/>
      <c r="P276" s="356"/>
      <c r="Q276" s="356"/>
      <c r="R276" s="365"/>
      <c r="S276" s="356"/>
      <c r="T276" s="356"/>
      <c r="U276" s="356"/>
      <c r="V276" s="356"/>
      <c r="W276" s="356"/>
      <c r="X276" s="356"/>
      <c r="Y276" s="356"/>
      <c r="Z276" s="365"/>
      <c r="AA276" s="356"/>
      <c r="AB276" s="356"/>
      <c r="AC276" s="356"/>
      <c r="AD276" s="356"/>
      <c r="AE276" s="356"/>
      <c r="AF276" s="356"/>
      <c r="AG276" s="356"/>
      <c r="AH276" s="249"/>
      <c r="AI276" s="249"/>
      <c r="AJ276" s="249"/>
      <c r="AK276" s="249"/>
      <c r="AL276" s="249"/>
      <c r="AM276" s="249"/>
      <c r="AN276" s="249"/>
      <c r="AO276" s="249"/>
      <c r="AP276" s="249"/>
      <c r="AQ276" s="249"/>
      <c r="AR276" s="249"/>
      <c r="AS276" s="249"/>
      <c r="AT276" s="249"/>
      <c r="AU276" s="249"/>
      <c r="AV276" s="249"/>
      <c r="AW276" s="249"/>
      <c r="AX276" s="249"/>
      <c r="AY276" s="249"/>
      <c r="AZ276" s="249"/>
      <c r="BA276" s="249"/>
      <c r="BB276" s="249"/>
      <c r="BC276" s="249"/>
      <c r="BD276" s="249"/>
      <c r="BE276" s="249"/>
      <c r="BF276" s="249"/>
      <c r="BG276" s="249"/>
      <c r="BH276" s="249"/>
      <c r="BI276" s="249"/>
      <c r="BJ276" s="249"/>
      <c r="BK276" s="249"/>
      <c r="BL276" s="249"/>
      <c r="BM276" s="249"/>
      <c r="BN276" s="249"/>
      <c r="BO276" s="249"/>
      <c r="BP276" s="249"/>
      <c r="BQ276" s="249"/>
    </row>
    <row r="277" s="251" customFormat="1" hidden="1" customHeight="1" spans="1:69">
      <c r="A277" s="356"/>
      <c r="B277" s="356"/>
      <c r="C277" s="359"/>
      <c r="D277" s="356"/>
      <c r="E277" s="356"/>
      <c r="F277" s="356"/>
      <c r="G277" s="356"/>
      <c r="H277" s="356"/>
      <c r="I277" s="356"/>
      <c r="J277" s="356"/>
      <c r="K277" s="356"/>
      <c r="L277" s="356"/>
      <c r="M277" s="356"/>
      <c r="N277" s="356"/>
      <c r="O277" s="356"/>
      <c r="P277" s="356"/>
      <c r="Q277" s="356"/>
      <c r="R277" s="365"/>
      <c r="S277" s="356"/>
      <c r="T277" s="356"/>
      <c r="U277" s="356"/>
      <c r="V277" s="356"/>
      <c r="W277" s="356"/>
      <c r="X277" s="356"/>
      <c r="Y277" s="356"/>
      <c r="Z277" s="365"/>
      <c r="AA277" s="356"/>
      <c r="AB277" s="356"/>
      <c r="AC277" s="356"/>
      <c r="AD277" s="356"/>
      <c r="AE277" s="356"/>
      <c r="AF277" s="356"/>
      <c r="AG277" s="356"/>
      <c r="AH277" s="249"/>
      <c r="AI277" s="249"/>
      <c r="AJ277" s="249"/>
      <c r="AK277" s="249"/>
      <c r="AL277" s="249"/>
      <c r="AM277" s="249"/>
      <c r="AN277" s="249"/>
      <c r="AO277" s="249"/>
      <c r="AP277" s="249"/>
      <c r="AQ277" s="249"/>
      <c r="AR277" s="249"/>
      <c r="AS277" s="249"/>
      <c r="AT277" s="249"/>
      <c r="AU277" s="249"/>
      <c r="AV277" s="249"/>
      <c r="AW277" s="249"/>
      <c r="AX277" s="249"/>
      <c r="AY277" s="249"/>
      <c r="AZ277" s="249"/>
      <c r="BA277" s="249"/>
      <c r="BB277" s="249"/>
      <c r="BC277" s="249"/>
      <c r="BD277" s="249"/>
      <c r="BE277" s="249"/>
      <c r="BF277" s="249"/>
      <c r="BG277" s="249"/>
      <c r="BH277" s="249"/>
      <c r="BI277" s="249"/>
      <c r="BJ277" s="249"/>
      <c r="BK277" s="249"/>
      <c r="BL277" s="249"/>
      <c r="BM277" s="249"/>
      <c r="BN277" s="249"/>
      <c r="BO277" s="249"/>
      <c r="BP277" s="249"/>
      <c r="BQ277" s="249"/>
    </row>
    <row r="278" s="251" customFormat="1" hidden="1" customHeight="1" spans="1:69">
      <c r="A278" s="356"/>
      <c r="B278" s="356"/>
      <c r="C278" s="359"/>
      <c r="D278" s="356"/>
      <c r="E278" s="356"/>
      <c r="F278" s="356"/>
      <c r="G278" s="356"/>
      <c r="H278" s="356"/>
      <c r="I278" s="356"/>
      <c r="J278" s="356"/>
      <c r="K278" s="356"/>
      <c r="L278" s="356"/>
      <c r="M278" s="356"/>
      <c r="N278" s="356"/>
      <c r="O278" s="356"/>
      <c r="P278" s="356"/>
      <c r="Q278" s="356"/>
      <c r="R278" s="365"/>
      <c r="S278" s="356"/>
      <c r="T278" s="356"/>
      <c r="U278" s="356"/>
      <c r="V278" s="356"/>
      <c r="W278" s="356"/>
      <c r="X278" s="356"/>
      <c r="Y278" s="356"/>
      <c r="Z278" s="365"/>
      <c r="AA278" s="356"/>
      <c r="AB278" s="356"/>
      <c r="AC278" s="356"/>
      <c r="AD278" s="356"/>
      <c r="AE278" s="356"/>
      <c r="AF278" s="356"/>
      <c r="AG278" s="356"/>
      <c r="AH278" s="249"/>
      <c r="AI278" s="249"/>
      <c r="AJ278" s="249"/>
      <c r="AK278" s="249"/>
      <c r="AL278" s="249"/>
      <c r="AM278" s="249"/>
      <c r="AN278" s="249"/>
      <c r="AO278" s="249"/>
      <c r="AP278" s="249"/>
      <c r="AQ278" s="249"/>
      <c r="AR278" s="249"/>
      <c r="AS278" s="249"/>
      <c r="AT278" s="249"/>
      <c r="AU278" s="249"/>
      <c r="AV278" s="249"/>
      <c r="AW278" s="249"/>
      <c r="AX278" s="249"/>
      <c r="AY278" s="249"/>
      <c r="AZ278" s="249"/>
      <c r="BA278" s="249"/>
      <c r="BB278" s="249"/>
      <c r="BC278" s="249"/>
      <c r="BD278" s="249"/>
      <c r="BE278" s="249"/>
      <c r="BF278" s="249"/>
      <c r="BG278" s="249"/>
      <c r="BH278" s="249"/>
      <c r="BI278" s="249"/>
      <c r="BJ278" s="249"/>
      <c r="BK278" s="249"/>
      <c r="BL278" s="249"/>
      <c r="BM278" s="249"/>
      <c r="BN278" s="249"/>
      <c r="BO278" s="249"/>
      <c r="BP278" s="249"/>
      <c r="BQ278" s="249"/>
    </row>
    <row r="279" s="251" customFormat="1" hidden="1" customHeight="1" spans="1:69">
      <c r="A279" s="356"/>
      <c r="B279" s="356"/>
      <c r="C279" s="359"/>
      <c r="D279" s="356"/>
      <c r="E279" s="356"/>
      <c r="F279" s="356"/>
      <c r="G279" s="356"/>
      <c r="H279" s="356"/>
      <c r="I279" s="356"/>
      <c r="J279" s="356"/>
      <c r="K279" s="356"/>
      <c r="L279" s="356"/>
      <c r="M279" s="356"/>
      <c r="N279" s="356"/>
      <c r="O279" s="356"/>
      <c r="P279" s="356"/>
      <c r="Q279" s="356"/>
      <c r="R279" s="365"/>
      <c r="S279" s="356"/>
      <c r="T279" s="356"/>
      <c r="U279" s="356"/>
      <c r="V279" s="356"/>
      <c r="W279" s="356"/>
      <c r="X279" s="356"/>
      <c r="Y279" s="356"/>
      <c r="Z279" s="365"/>
      <c r="AA279" s="356"/>
      <c r="AB279" s="356"/>
      <c r="AC279" s="356"/>
      <c r="AD279" s="356"/>
      <c r="AE279" s="356"/>
      <c r="AF279" s="356"/>
      <c r="AG279" s="356"/>
      <c r="AH279" s="249"/>
      <c r="AI279" s="249"/>
      <c r="AJ279" s="249"/>
      <c r="AK279" s="249"/>
      <c r="AL279" s="249"/>
      <c r="AM279" s="249"/>
      <c r="AN279" s="249"/>
      <c r="AO279" s="249"/>
      <c r="AP279" s="249"/>
      <c r="AQ279" s="249"/>
      <c r="AR279" s="249"/>
      <c r="AS279" s="249"/>
      <c r="AT279" s="249"/>
      <c r="AU279" s="249"/>
      <c r="AV279" s="249"/>
      <c r="AW279" s="249"/>
      <c r="AX279" s="249"/>
      <c r="AY279" s="249"/>
      <c r="AZ279" s="249"/>
      <c r="BA279" s="249"/>
      <c r="BB279" s="249"/>
      <c r="BC279" s="249"/>
      <c r="BD279" s="249"/>
      <c r="BE279" s="249"/>
      <c r="BF279" s="249"/>
      <c r="BG279" s="249"/>
      <c r="BH279" s="249"/>
      <c r="BI279" s="249"/>
      <c r="BJ279" s="249"/>
      <c r="BK279" s="249"/>
      <c r="BL279" s="249"/>
      <c r="BM279" s="249"/>
      <c r="BN279" s="249"/>
      <c r="BO279" s="249"/>
      <c r="BP279" s="249"/>
      <c r="BQ279" s="249"/>
    </row>
    <row r="280" s="251" customFormat="1" hidden="1" customHeight="1" spans="1:69">
      <c r="A280" s="356"/>
      <c r="B280" s="356"/>
      <c r="C280" s="359"/>
      <c r="D280" s="356"/>
      <c r="E280" s="356"/>
      <c r="F280" s="356"/>
      <c r="G280" s="356"/>
      <c r="H280" s="356"/>
      <c r="I280" s="356"/>
      <c r="J280" s="356"/>
      <c r="K280" s="356"/>
      <c r="L280" s="356"/>
      <c r="M280" s="356"/>
      <c r="N280" s="356"/>
      <c r="O280" s="356"/>
      <c r="P280" s="356"/>
      <c r="Q280" s="356"/>
      <c r="R280" s="365"/>
      <c r="S280" s="356"/>
      <c r="T280" s="356"/>
      <c r="U280" s="356"/>
      <c r="V280" s="356"/>
      <c r="W280" s="356"/>
      <c r="X280" s="356"/>
      <c r="Y280" s="356"/>
      <c r="Z280" s="365"/>
      <c r="AA280" s="356"/>
      <c r="AB280" s="356"/>
      <c r="AC280" s="356"/>
      <c r="AD280" s="356"/>
      <c r="AE280" s="356"/>
      <c r="AF280" s="356"/>
      <c r="AG280" s="356"/>
      <c r="AH280" s="249"/>
      <c r="AI280" s="249"/>
      <c r="AJ280" s="249"/>
      <c r="AK280" s="249"/>
      <c r="AL280" s="249"/>
      <c r="AM280" s="249"/>
      <c r="AN280" s="249"/>
      <c r="AO280" s="249"/>
      <c r="AP280" s="249"/>
      <c r="AQ280" s="249"/>
      <c r="AR280" s="249"/>
      <c r="AS280" s="249"/>
      <c r="AT280" s="249"/>
      <c r="AU280" s="249"/>
      <c r="AV280" s="249"/>
      <c r="AW280" s="249"/>
      <c r="AX280" s="249"/>
      <c r="AY280" s="249"/>
      <c r="AZ280" s="249"/>
      <c r="BA280" s="249"/>
      <c r="BB280" s="249"/>
      <c r="BC280" s="249"/>
      <c r="BD280" s="249"/>
      <c r="BE280" s="249"/>
      <c r="BF280" s="249"/>
      <c r="BG280" s="249"/>
      <c r="BH280" s="249"/>
      <c r="BI280" s="249"/>
      <c r="BJ280" s="249"/>
      <c r="BK280" s="249"/>
      <c r="BL280" s="249"/>
      <c r="BM280" s="249"/>
      <c r="BN280" s="249"/>
      <c r="BO280" s="249"/>
      <c r="BP280" s="249"/>
      <c r="BQ280" s="249"/>
    </row>
    <row r="281" s="251" customFormat="1" hidden="1" customHeight="1" spans="1:69">
      <c r="A281" s="356"/>
      <c r="B281" s="356"/>
      <c r="C281" s="359"/>
      <c r="D281" s="356"/>
      <c r="E281" s="356"/>
      <c r="F281" s="356"/>
      <c r="G281" s="356"/>
      <c r="H281" s="356"/>
      <c r="I281" s="356"/>
      <c r="J281" s="356"/>
      <c r="K281" s="356"/>
      <c r="L281" s="356"/>
      <c r="M281" s="356"/>
      <c r="N281" s="356"/>
      <c r="O281" s="356"/>
      <c r="P281" s="356"/>
      <c r="Q281" s="356"/>
      <c r="R281" s="365"/>
      <c r="S281" s="356"/>
      <c r="T281" s="356"/>
      <c r="U281" s="356"/>
      <c r="V281" s="356"/>
      <c r="W281" s="356"/>
      <c r="X281" s="356"/>
      <c r="Y281" s="356"/>
      <c r="Z281" s="365"/>
      <c r="AA281" s="356"/>
      <c r="AB281" s="356"/>
      <c r="AC281" s="356"/>
      <c r="AD281" s="356"/>
      <c r="AE281" s="356"/>
      <c r="AF281" s="356"/>
      <c r="AG281" s="356"/>
      <c r="AH281" s="249"/>
      <c r="AI281" s="249"/>
      <c r="AJ281" s="249"/>
      <c r="AK281" s="249"/>
      <c r="AL281" s="249"/>
      <c r="AM281" s="249"/>
      <c r="AN281" s="249"/>
      <c r="AO281" s="249"/>
      <c r="AP281" s="249"/>
      <c r="AQ281" s="249"/>
      <c r="AR281" s="249"/>
      <c r="AS281" s="249"/>
      <c r="AT281" s="249"/>
      <c r="AU281" s="249"/>
      <c r="AV281" s="249"/>
      <c r="AW281" s="249"/>
      <c r="AX281" s="249"/>
      <c r="AY281" s="249"/>
      <c r="AZ281" s="249"/>
      <c r="BA281" s="249"/>
      <c r="BB281" s="249"/>
      <c r="BC281" s="249"/>
      <c r="BD281" s="249"/>
      <c r="BE281" s="249"/>
      <c r="BF281" s="249"/>
      <c r="BG281" s="249"/>
      <c r="BH281" s="249"/>
      <c r="BI281" s="249"/>
      <c r="BJ281" s="249"/>
      <c r="BK281" s="249"/>
      <c r="BL281" s="249"/>
      <c r="BM281" s="249"/>
      <c r="BN281" s="249"/>
      <c r="BO281" s="249"/>
      <c r="BP281" s="249"/>
      <c r="BQ281" s="249"/>
    </row>
    <row r="282" s="251" customFormat="1" hidden="1" customHeight="1" spans="1:69">
      <c r="A282" s="356"/>
      <c r="B282" s="356"/>
      <c r="C282" s="359"/>
      <c r="D282" s="356"/>
      <c r="E282" s="356"/>
      <c r="F282" s="356"/>
      <c r="G282" s="356"/>
      <c r="H282" s="356"/>
      <c r="I282" s="356"/>
      <c r="J282" s="356"/>
      <c r="K282" s="356"/>
      <c r="L282" s="356"/>
      <c r="M282" s="356"/>
      <c r="N282" s="356"/>
      <c r="O282" s="356"/>
      <c r="P282" s="356"/>
      <c r="Q282" s="356"/>
      <c r="R282" s="365"/>
      <c r="S282" s="356"/>
      <c r="T282" s="356"/>
      <c r="U282" s="356"/>
      <c r="V282" s="356"/>
      <c r="W282" s="356"/>
      <c r="X282" s="356"/>
      <c r="Y282" s="356"/>
      <c r="Z282" s="365"/>
      <c r="AA282" s="356"/>
      <c r="AB282" s="356"/>
      <c r="AC282" s="356"/>
      <c r="AD282" s="356"/>
      <c r="AE282" s="356"/>
      <c r="AF282" s="356"/>
      <c r="AG282" s="356"/>
      <c r="AH282" s="249"/>
      <c r="AI282" s="249"/>
      <c r="AJ282" s="249"/>
      <c r="AK282" s="249"/>
      <c r="AL282" s="249"/>
      <c r="AM282" s="249"/>
      <c r="AN282" s="249"/>
      <c r="AO282" s="249"/>
      <c r="AP282" s="249"/>
      <c r="AQ282" s="249"/>
      <c r="AR282" s="249"/>
      <c r="AS282" s="249"/>
      <c r="AT282" s="249"/>
      <c r="AU282" s="249"/>
      <c r="AV282" s="249"/>
      <c r="AW282" s="249"/>
      <c r="AX282" s="249"/>
      <c r="AY282" s="249"/>
      <c r="AZ282" s="249"/>
      <c r="BA282" s="249"/>
      <c r="BB282" s="249"/>
      <c r="BC282" s="249"/>
      <c r="BD282" s="249"/>
      <c r="BE282" s="249"/>
      <c r="BF282" s="249"/>
      <c r="BG282" s="249"/>
      <c r="BH282" s="249"/>
      <c r="BI282" s="249"/>
      <c r="BJ282" s="249"/>
      <c r="BK282" s="249"/>
      <c r="BL282" s="249"/>
      <c r="BM282" s="249"/>
      <c r="BN282" s="249"/>
      <c r="BO282" s="249"/>
      <c r="BP282" s="249"/>
      <c r="BQ282" s="249"/>
    </row>
    <row r="283" s="251" customFormat="1" hidden="1" customHeight="1" spans="1:69">
      <c r="A283" s="356"/>
      <c r="B283" s="356"/>
      <c r="C283" s="359"/>
      <c r="D283" s="356"/>
      <c r="E283" s="356"/>
      <c r="F283" s="356"/>
      <c r="G283" s="356"/>
      <c r="H283" s="356"/>
      <c r="I283" s="356"/>
      <c r="J283" s="356"/>
      <c r="K283" s="356"/>
      <c r="L283" s="356"/>
      <c r="M283" s="356"/>
      <c r="N283" s="356"/>
      <c r="O283" s="356"/>
      <c r="P283" s="356"/>
      <c r="Q283" s="356"/>
      <c r="R283" s="365"/>
      <c r="S283" s="356"/>
      <c r="T283" s="356"/>
      <c r="U283" s="356"/>
      <c r="V283" s="356"/>
      <c r="W283" s="356"/>
      <c r="X283" s="356"/>
      <c r="Y283" s="356"/>
      <c r="Z283" s="365"/>
      <c r="AA283" s="356"/>
      <c r="AB283" s="356"/>
      <c r="AC283" s="356"/>
      <c r="AD283" s="356"/>
      <c r="AE283" s="356"/>
      <c r="AF283" s="356"/>
      <c r="AG283" s="356"/>
      <c r="AH283" s="249"/>
      <c r="AI283" s="249"/>
      <c r="AJ283" s="249"/>
      <c r="AK283" s="249"/>
      <c r="AL283" s="249"/>
      <c r="AM283" s="249"/>
      <c r="AN283" s="249"/>
      <c r="AO283" s="249"/>
      <c r="AP283" s="249"/>
      <c r="AQ283" s="249"/>
      <c r="AR283" s="249"/>
      <c r="AS283" s="249"/>
      <c r="AT283" s="249"/>
      <c r="AU283" s="249"/>
      <c r="AV283" s="249"/>
      <c r="AW283" s="249"/>
      <c r="AX283" s="249"/>
      <c r="AY283" s="249"/>
      <c r="AZ283" s="249"/>
      <c r="BA283" s="249"/>
      <c r="BB283" s="249"/>
      <c r="BC283" s="249"/>
      <c r="BD283" s="249"/>
      <c r="BE283" s="249"/>
      <c r="BF283" s="249"/>
      <c r="BG283" s="249"/>
      <c r="BH283" s="249"/>
      <c r="BI283" s="249"/>
      <c r="BJ283" s="249"/>
      <c r="BK283" s="249"/>
      <c r="BL283" s="249"/>
      <c r="BM283" s="249"/>
      <c r="BN283" s="249"/>
      <c r="BO283" s="249"/>
      <c r="BP283" s="249"/>
      <c r="BQ283" s="249"/>
    </row>
    <row r="284" s="251" customFormat="1" hidden="1" customHeight="1" spans="1:69">
      <c r="A284" s="356"/>
      <c r="B284" s="356"/>
      <c r="C284" s="359"/>
      <c r="D284" s="356"/>
      <c r="E284" s="356"/>
      <c r="F284" s="356"/>
      <c r="G284" s="356"/>
      <c r="H284" s="356"/>
      <c r="I284" s="356"/>
      <c r="J284" s="356"/>
      <c r="K284" s="356"/>
      <c r="L284" s="356"/>
      <c r="M284" s="356"/>
      <c r="N284" s="356"/>
      <c r="O284" s="356"/>
      <c r="P284" s="356"/>
      <c r="Q284" s="356"/>
      <c r="R284" s="365"/>
      <c r="S284" s="356"/>
      <c r="T284" s="356"/>
      <c r="U284" s="356"/>
      <c r="V284" s="356"/>
      <c r="W284" s="356"/>
      <c r="X284" s="356"/>
      <c r="Y284" s="356"/>
      <c r="Z284" s="365"/>
      <c r="AA284" s="356"/>
      <c r="AB284" s="356"/>
      <c r="AC284" s="356"/>
      <c r="AD284" s="356"/>
      <c r="AE284" s="356"/>
      <c r="AF284" s="356"/>
      <c r="AG284" s="356"/>
      <c r="AH284" s="249"/>
      <c r="AI284" s="249"/>
      <c r="AJ284" s="249"/>
      <c r="AK284" s="249"/>
      <c r="AL284" s="249"/>
      <c r="AM284" s="249"/>
      <c r="AN284" s="249"/>
      <c r="AO284" s="249"/>
      <c r="AP284" s="249"/>
      <c r="AQ284" s="249"/>
      <c r="AR284" s="249"/>
      <c r="AS284" s="249"/>
      <c r="AT284" s="249"/>
      <c r="AU284" s="249"/>
      <c r="AV284" s="249"/>
      <c r="AW284" s="249"/>
      <c r="AX284" s="249"/>
      <c r="AY284" s="249"/>
      <c r="AZ284" s="249"/>
      <c r="BA284" s="249"/>
      <c r="BB284" s="249"/>
      <c r="BC284" s="249"/>
      <c r="BD284" s="249"/>
      <c r="BE284" s="249"/>
      <c r="BF284" s="249"/>
      <c r="BG284" s="249"/>
      <c r="BH284" s="249"/>
      <c r="BI284" s="249"/>
      <c r="BJ284" s="249"/>
      <c r="BK284" s="249"/>
      <c r="BL284" s="249"/>
      <c r="BM284" s="249"/>
      <c r="BN284" s="249"/>
      <c r="BO284" s="249"/>
      <c r="BP284" s="249"/>
      <c r="BQ284" s="249"/>
    </row>
    <row r="285" s="251" customFormat="1" hidden="1" customHeight="1" spans="1:69">
      <c r="A285" s="356"/>
      <c r="B285" s="356"/>
      <c r="C285" s="359"/>
      <c r="D285" s="356"/>
      <c r="E285" s="356"/>
      <c r="F285" s="356"/>
      <c r="G285" s="356"/>
      <c r="H285" s="356"/>
      <c r="I285" s="356"/>
      <c r="J285" s="356"/>
      <c r="K285" s="356"/>
      <c r="L285" s="356"/>
      <c r="M285" s="356"/>
      <c r="N285" s="356"/>
      <c r="O285" s="356"/>
      <c r="P285" s="356"/>
      <c r="Q285" s="356"/>
      <c r="R285" s="365"/>
      <c r="S285" s="356"/>
      <c r="T285" s="356"/>
      <c r="U285" s="356"/>
      <c r="V285" s="356"/>
      <c r="W285" s="356"/>
      <c r="X285" s="356"/>
      <c r="Y285" s="356"/>
      <c r="Z285" s="365"/>
      <c r="AA285" s="356"/>
      <c r="AB285" s="356"/>
      <c r="AC285" s="356"/>
      <c r="AD285" s="356"/>
      <c r="AE285" s="356"/>
      <c r="AF285" s="356"/>
      <c r="AG285" s="356"/>
      <c r="AH285" s="249"/>
      <c r="AI285" s="249"/>
      <c r="AJ285" s="249"/>
      <c r="AK285" s="249"/>
      <c r="AL285" s="249"/>
      <c r="AM285" s="249"/>
      <c r="AN285" s="249"/>
      <c r="AO285" s="249"/>
      <c r="AP285" s="249"/>
      <c r="AQ285" s="249"/>
      <c r="AR285" s="249"/>
      <c r="AS285" s="249"/>
      <c r="AT285" s="249"/>
      <c r="AU285" s="249"/>
      <c r="AV285" s="249"/>
      <c r="AW285" s="249"/>
      <c r="AX285" s="249"/>
      <c r="AY285" s="249"/>
      <c r="AZ285" s="249"/>
      <c r="BA285" s="249"/>
      <c r="BB285" s="249"/>
      <c r="BC285" s="249"/>
      <c r="BD285" s="249"/>
      <c r="BE285" s="249"/>
      <c r="BF285" s="249"/>
      <c r="BG285" s="249"/>
      <c r="BH285" s="249"/>
      <c r="BI285" s="249"/>
      <c r="BJ285" s="249"/>
      <c r="BK285" s="249"/>
      <c r="BL285" s="249"/>
      <c r="BM285" s="249"/>
      <c r="BN285" s="249"/>
      <c r="BO285" s="249"/>
      <c r="BP285" s="249"/>
      <c r="BQ285" s="249"/>
    </row>
    <row r="286" s="251" customFormat="1" hidden="1" customHeight="1" spans="1:69">
      <c r="A286" s="356"/>
      <c r="B286" s="356"/>
      <c r="C286" s="359"/>
      <c r="D286" s="356"/>
      <c r="E286" s="356"/>
      <c r="F286" s="356"/>
      <c r="G286" s="356"/>
      <c r="H286" s="356"/>
      <c r="I286" s="356"/>
      <c r="J286" s="356"/>
      <c r="K286" s="356"/>
      <c r="L286" s="356"/>
      <c r="M286" s="356"/>
      <c r="N286" s="356"/>
      <c r="O286" s="356"/>
      <c r="P286" s="356"/>
      <c r="Q286" s="356"/>
      <c r="R286" s="365"/>
      <c r="S286" s="356"/>
      <c r="T286" s="356"/>
      <c r="U286" s="356"/>
      <c r="V286" s="356"/>
      <c r="W286" s="356"/>
      <c r="X286" s="356"/>
      <c r="Y286" s="356"/>
      <c r="Z286" s="365"/>
      <c r="AA286" s="356"/>
      <c r="AB286" s="356"/>
      <c r="AC286" s="356"/>
      <c r="AD286" s="356"/>
      <c r="AE286" s="356"/>
      <c r="AF286" s="356"/>
      <c r="AG286" s="356"/>
      <c r="AH286" s="249"/>
      <c r="AI286" s="249"/>
      <c r="AJ286" s="249"/>
      <c r="AK286" s="249"/>
      <c r="AL286" s="249"/>
      <c r="AM286" s="249"/>
      <c r="AN286" s="249"/>
      <c r="AO286" s="249"/>
      <c r="AP286" s="249"/>
      <c r="AQ286" s="249"/>
      <c r="AR286" s="249"/>
      <c r="AS286" s="249"/>
      <c r="AT286" s="249"/>
      <c r="AU286" s="249"/>
      <c r="AV286" s="249"/>
      <c r="AW286" s="249"/>
      <c r="AX286" s="249"/>
      <c r="AY286" s="249"/>
      <c r="AZ286" s="249"/>
      <c r="BA286" s="249"/>
      <c r="BB286" s="249"/>
      <c r="BC286" s="249"/>
      <c r="BD286" s="249"/>
      <c r="BE286" s="249"/>
      <c r="BF286" s="249"/>
      <c r="BG286" s="249"/>
      <c r="BH286" s="249"/>
      <c r="BI286" s="249"/>
      <c r="BJ286" s="249"/>
      <c r="BK286" s="249"/>
      <c r="BL286" s="249"/>
      <c r="BM286" s="249"/>
      <c r="BN286" s="249"/>
      <c r="BO286" s="249"/>
      <c r="BP286" s="249"/>
      <c r="BQ286" s="249"/>
    </row>
    <row r="287" s="251" customFormat="1" hidden="1" customHeight="1" spans="1:69">
      <c r="A287" s="356"/>
      <c r="B287" s="356"/>
      <c r="C287" s="359"/>
      <c r="D287" s="356"/>
      <c r="E287" s="356"/>
      <c r="F287" s="356"/>
      <c r="G287" s="356"/>
      <c r="H287" s="356"/>
      <c r="I287" s="356"/>
      <c r="J287" s="356"/>
      <c r="K287" s="356"/>
      <c r="L287" s="356"/>
      <c r="M287" s="356"/>
      <c r="N287" s="356"/>
      <c r="O287" s="356"/>
      <c r="P287" s="356"/>
      <c r="Q287" s="356"/>
      <c r="R287" s="365"/>
      <c r="S287" s="356"/>
      <c r="T287" s="356"/>
      <c r="U287" s="356"/>
      <c r="V287" s="356"/>
      <c r="W287" s="356"/>
      <c r="X287" s="356"/>
      <c r="Y287" s="356"/>
      <c r="Z287" s="365"/>
      <c r="AA287" s="356"/>
      <c r="AB287" s="356"/>
      <c r="AC287" s="356"/>
      <c r="AD287" s="356"/>
      <c r="AE287" s="356"/>
      <c r="AF287" s="356"/>
      <c r="AG287" s="356"/>
      <c r="AH287" s="249"/>
      <c r="AI287" s="249"/>
      <c r="AJ287" s="249"/>
      <c r="AK287" s="249"/>
      <c r="AL287" s="249"/>
      <c r="AM287" s="249"/>
      <c r="AN287" s="249"/>
      <c r="AO287" s="249"/>
      <c r="AP287" s="249"/>
      <c r="AQ287" s="249"/>
      <c r="AR287" s="249"/>
      <c r="AS287" s="249"/>
      <c r="AT287" s="249"/>
      <c r="AU287" s="249"/>
      <c r="AV287" s="249"/>
      <c r="AW287" s="249"/>
      <c r="AX287" s="249"/>
      <c r="AY287" s="249"/>
      <c r="AZ287" s="249"/>
      <c r="BA287" s="249"/>
      <c r="BB287" s="249"/>
      <c r="BC287" s="249"/>
      <c r="BD287" s="249"/>
      <c r="BE287" s="249"/>
      <c r="BF287" s="249"/>
      <c r="BG287" s="249"/>
      <c r="BH287" s="249"/>
      <c r="BI287" s="249"/>
      <c r="BJ287" s="249"/>
      <c r="BK287" s="249"/>
      <c r="BL287" s="249"/>
      <c r="BM287" s="249"/>
      <c r="BN287" s="249"/>
      <c r="BO287" s="249"/>
      <c r="BP287" s="249"/>
      <c r="BQ287" s="249"/>
    </row>
    <row r="288" s="251" customFormat="1" hidden="1" customHeight="1" spans="1:69">
      <c r="A288" s="356"/>
      <c r="B288" s="356"/>
      <c r="C288" s="359"/>
      <c r="D288" s="356"/>
      <c r="E288" s="356"/>
      <c r="F288" s="356"/>
      <c r="G288" s="356"/>
      <c r="H288" s="356"/>
      <c r="I288" s="356"/>
      <c r="J288" s="356"/>
      <c r="K288" s="356"/>
      <c r="L288" s="356"/>
      <c r="M288" s="356"/>
      <c r="N288" s="356"/>
      <c r="O288" s="356"/>
      <c r="P288" s="356"/>
      <c r="Q288" s="356"/>
      <c r="R288" s="365"/>
      <c r="S288" s="356"/>
      <c r="T288" s="356"/>
      <c r="U288" s="356"/>
      <c r="V288" s="356"/>
      <c r="W288" s="356"/>
      <c r="X288" s="356"/>
      <c r="Y288" s="356"/>
      <c r="Z288" s="365"/>
      <c r="AA288" s="356"/>
      <c r="AB288" s="356"/>
      <c r="AC288" s="356"/>
      <c r="AD288" s="356"/>
      <c r="AE288" s="356"/>
      <c r="AF288" s="356"/>
      <c r="AG288" s="356"/>
      <c r="AH288" s="249"/>
      <c r="AI288" s="249"/>
      <c r="AJ288" s="249"/>
      <c r="AK288" s="249"/>
      <c r="AL288" s="249"/>
      <c r="AM288" s="249"/>
      <c r="AN288" s="249"/>
      <c r="AO288" s="249"/>
      <c r="AP288" s="249"/>
      <c r="AQ288" s="249"/>
      <c r="AR288" s="249"/>
      <c r="AS288" s="249"/>
      <c r="AT288" s="249"/>
      <c r="AU288" s="249"/>
      <c r="AV288" s="249"/>
      <c r="AW288" s="249"/>
      <c r="AX288" s="249"/>
      <c r="AY288" s="249"/>
      <c r="AZ288" s="249"/>
      <c r="BA288" s="249"/>
      <c r="BB288" s="249"/>
      <c r="BC288" s="249"/>
      <c r="BD288" s="249"/>
      <c r="BE288" s="249"/>
      <c r="BF288" s="249"/>
      <c r="BG288" s="249"/>
      <c r="BH288" s="249"/>
      <c r="BI288" s="249"/>
      <c r="BJ288" s="249"/>
      <c r="BK288" s="249"/>
      <c r="BL288" s="249"/>
      <c r="BM288" s="249"/>
      <c r="BN288" s="249"/>
      <c r="BO288" s="249"/>
      <c r="BP288" s="249"/>
      <c r="BQ288" s="249"/>
    </row>
    <row r="289" s="251" customFormat="1" hidden="1" customHeight="1" spans="1:69">
      <c r="A289" s="356"/>
      <c r="B289" s="356"/>
      <c r="C289" s="359"/>
      <c r="D289" s="356"/>
      <c r="E289" s="356"/>
      <c r="F289" s="356"/>
      <c r="G289" s="356"/>
      <c r="H289" s="356"/>
      <c r="I289" s="356"/>
      <c r="J289" s="356"/>
      <c r="K289" s="356"/>
      <c r="L289" s="356"/>
      <c r="M289" s="356"/>
      <c r="N289" s="356"/>
      <c r="O289" s="356"/>
      <c r="P289" s="356"/>
      <c r="Q289" s="356"/>
      <c r="R289" s="365"/>
      <c r="S289" s="356"/>
      <c r="T289" s="356"/>
      <c r="U289" s="356"/>
      <c r="V289" s="356"/>
      <c r="W289" s="356"/>
      <c r="X289" s="356"/>
      <c r="Y289" s="356"/>
      <c r="Z289" s="365"/>
      <c r="AA289" s="356"/>
      <c r="AB289" s="356"/>
      <c r="AC289" s="356"/>
      <c r="AD289" s="356"/>
      <c r="AE289" s="356"/>
      <c r="AF289" s="356"/>
      <c r="AG289" s="356"/>
      <c r="AH289" s="249"/>
      <c r="AI289" s="249"/>
      <c r="AJ289" s="249"/>
      <c r="AK289" s="249"/>
      <c r="AL289" s="249"/>
      <c r="AM289" s="249"/>
      <c r="AN289" s="249"/>
      <c r="AO289" s="249"/>
      <c r="AP289" s="249"/>
      <c r="AQ289" s="249"/>
      <c r="AR289" s="249"/>
      <c r="AS289" s="249"/>
      <c r="AT289" s="249"/>
      <c r="AU289" s="249"/>
      <c r="AV289" s="249"/>
      <c r="AW289" s="249"/>
      <c r="AX289" s="249"/>
      <c r="AY289" s="249"/>
      <c r="AZ289" s="249"/>
      <c r="BA289" s="249"/>
      <c r="BB289" s="249"/>
      <c r="BC289" s="249"/>
      <c r="BD289" s="249"/>
      <c r="BE289" s="249"/>
      <c r="BF289" s="249"/>
      <c r="BG289" s="249"/>
      <c r="BH289" s="249"/>
      <c r="BI289" s="249"/>
      <c r="BJ289" s="249"/>
      <c r="BK289" s="249"/>
      <c r="BL289" s="249"/>
      <c r="BM289" s="249"/>
      <c r="BN289" s="249"/>
      <c r="BO289" s="249"/>
      <c r="BP289" s="249"/>
      <c r="BQ289" s="249"/>
    </row>
    <row r="290" s="251" customFormat="1" hidden="1" customHeight="1" spans="1:69">
      <c r="A290" s="356"/>
      <c r="B290" s="356"/>
      <c r="C290" s="359"/>
      <c r="D290" s="356"/>
      <c r="E290" s="356"/>
      <c r="F290" s="356"/>
      <c r="G290" s="356"/>
      <c r="H290" s="356"/>
      <c r="I290" s="356"/>
      <c r="J290" s="356"/>
      <c r="K290" s="356"/>
      <c r="L290" s="356"/>
      <c r="M290" s="356"/>
      <c r="N290" s="356"/>
      <c r="O290" s="356"/>
      <c r="P290" s="356"/>
      <c r="Q290" s="356"/>
      <c r="R290" s="365"/>
      <c r="S290" s="356"/>
      <c r="T290" s="356"/>
      <c r="U290" s="356"/>
      <c r="V290" s="356"/>
      <c r="W290" s="356"/>
      <c r="X290" s="356"/>
      <c r="Y290" s="356"/>
      <c r="Z290" s="365"/>
      <c r="AA290" s="356"/>
      <c r="AB290" s="356"/>
      <c r="AC290" s="356"/>
      <c r="AD290" s="356"/>
      <c r="AE290" s="356"/>
      <c r="AF290" s="356"/>
      <c r="AG290" s="356"/>
      <c r="AH290" s="249"/>
      <c r="AI290" s="249"/>
      <c r="AJ290" s="249"/>
      <c r="AK290" s="249"/>
      <c r="AL290" s="249"/>
      <c r="AM290" s="249"/>
      <c r="AN290" s="249"/>
      <c r="AO290" s="249"/>
      <c r="AP290" s="249"/>
      <c r="AQ290" s="249"/>
      <c r="AR290" s="249"/>
      <c r="AS290" s="249"/>
      <c r="AT290" s="249"/>
      <c r="AU290" s="249"/>
      <c r="AV290" s="249"/>
      <c r="AW290" s="249"/>
      <c r="AX290" s="249"/>
      <c r="AY290" s="249"/>
      <c r="AZ290" s="249"/>
      <c r="BA290" s="249"/>
      <c r="BB290" s="249"/>
      <c r="BC290" s="249"/>
      <c r="BD290" s="249"/>
      <c r="BE290" s="249"/>
      <c r="BF290" s="249"/>
      <c r="BG290" s="249"/>
      <c r="BH290" s="249"/>
      <c r="BI290" s="249"/>
      <c r="BJ290" s="249"/>
      <c r="BK290" s="249"/>
      <c r="BL290" s="249"/>
      <c r="BM290" s="249"/>
      <c r="BN290" s="249"/>
      <c r="BO290" s="249"/>
      <c r="BP290" s="249"/>
      <c r="BQ290" s="249"/>
    </row>
    <row r="291" s="251" customFormat="1" hidden="1" customHeight="1" spans="1:69">
      <c r="A291" s="356"/>
      <c r="B291" s="356"/>
      <c r="C291" s="359"/>
      <c r="D291" s="356"/>
      <c r="E291" s="356"/>
      <c r="F291" s="356"/>
      <c r="G291" s="356"/>
      <c r="H291" s="356"/>
      <c r="I291" s="356"/>
      <c r="J291" s="356"/>
      <c r="K291" s="356"/>
      <c r="L291" s="356"/>
      <c r="M291" s="356"/>
      <c r="N291" s="356"/>
      <c r="O291" s="356"/>
      <c r="P291" s="356"/>
      <c r="Q291" s="356"/>
      <c r="R291" s="365"/>
      <c r="S291" s="356"/>
      <c r="T291" s="356"/>
      <c r="U291" s="356"/>
      <c r="V291" s="356"/>
      <c r="W291" s="356"/>
      <c r="X291" s="356"/>
      <c r="Y291" s="356"/>
      <c r="Z291" s="365"/>
      <c r="AA291" s="356"/>
      <c r="AB291" s="356"/>
      <c r="AC291" s="356"/>
      <c r="AD291" s="356"/>
      <c r="AE291" s="356"/>
      <c r="AF291" s="356"/>
      <c r="AG291" s="356"/>
      <c r="AH291" s="249"/>
      <c r="AI291" s="249"/>
      <c r="AJ291" s="249"/>
      <c r="AK291" s="249"/>
      <c r="AL291" s="249"/>
      <c r="AM291" s="249"/>
      <c r="AN291" s="249"/>
      <c r="AO291" s="249"/>
      <c r="AP291" s="249"/>
      <c r="AQ291" s="249"/>
      <c r="AR291" s="249"/>
      <c r="AS291" s="249"/>
      <c r="AT291" s="249"/>
      <c r="AU291" s="249"/>
      <c r="AV291" s="249"/>
      <c r="AW291" s="249"/>
      <c r="AX291" s="249"/>
      <c r="AY291" s="249"/>
      <c r="AZ291" s="249"/>
      <c r="BA291" s="249"/>
      <c r="BB291" s="249"/>
      <c r="BC291" s="249"/>
      <c r="BD291" s="249"/>
      <c r="BE291" s="249"/>
      <c r="BF291" s="249"/>
      <c r="BG291" s="249"/>
      <c r="BH291" s="249"/>
      <c r="BI291" s="249"/>
      <c r="BJ291" s="249"/>
      <c r="BK291" s="249"/>
      <c r="BL291" s="249"/>
      <c r="BM291" s="249"/>
      <c r="BN291" s="249"/>
      <c r="BO291" s="249"/>
      <c r="BP291" s="249"/>
      <c r="BQ291" s="249"/>
    </row>
    <row r="292" s="251" customFormat="1" hidden="1" customHeight="1" spans="1:69">
      <c r="A292" s="356"/>
      <c r="B292" s="356"/>
      <c r="C292" s="359"/>
      <c r="D292" s="356"/>
      <c r="E292" s="356"/>
      <c r="F292" s="356"/>
      <c r="G292" s="356"/>
      <c r="H292" s="356"/>
      <c r="I292" s="356"/>
      <c r="J292" s="356"/>
      <c r="K292" s="356"/>
      <c r="L292" s="356"/>
      <c r="M292" s="356"/>
      <c r="N292" s="356"/>
      <c r="O292" s="356"/>
      <c r="P292" s="356"/>
      <c r="Q292" s="356"/>
      <c r="R292" s="365"/>
      <c r="S292" s="356"/>
      <c r="T292" s="356"/>
      <c r="U292" s="356"/>
      <c r="V292" s="356"/>
      <c r="W292" s="356"/>
      <c r="X292" s="356"/>
      <c r="Y292" s="356"/>
      <c r="Z292" s="365"/>
      <c r="AA292" s="356"/>
      <c r="AB292" s="356"/>
      <c r="AC292" s="356"/>
      <c r="AD292" s="356"/>
      <c r="AE292" s="356"/>
      <c r="AF292" s="356"/>
      <c r="AG292" s="356"/>
      <c r="AH292" s="249"/>
      <c r="AI292" s="249"/>
      <c r="AJ292" s="249"/>
      <c r="AK292" s="249"/>
      <c r="AL292" s="249"/>
      <c r="AM292" s="249"/>
      <c r="AN292" s="249"/>
      <c r="AO292" s="249"/>
      <c r="AP292" s="249"/>
      <c r="AQ292" s="249"/>
      <c r="AR292" s="249"/>
      <c r="AS292" s="249"/>
      <c r="AT292" s="249"/>
      <c r="AU292" s="249"/>
      <c r="AV292" s="249"/>
      <c r="AW292" s="249"/>
      <c r="AX292" s="249"/>
      <c r="AY292" s="249"/>
      <c r="AZ292" s="249"/>
      <c r="BA292" s="249"/>
      <c r="BB292" s="249"/>
      <c r="BC292" s="249"/>
      <c r="BD292" s="249"/>
      <c r="BE292" s="249"/>
      <c r="BF292" s="249"/>
      <c r="BG292" s="249"/>
      <c r="BH292" s="249"/>
      <c r="BI292" s="249"/>
      <c r="BJ292" s="249"/>
      <c r="BK292" s="249"/>
      <c r="BL292" s="249"/>
      <c r="BM292" s="249"/>
      <c r="BN292" s="249"/>
      <c r="BO292" s="249"/>
      <c r="BP292" s="249"/>
      <c r="BQ292" s="249"/>
    </row>
    <row r="293" s="251" customFormat="1" hidden="1" customHeight="1" spans="1:69">
      <c r="A293" s="356"/>
      <c r="B293" s="356"/>
      <c r="C293" s="359"/>
      <c r="D293" s="356"/>
      <c r="E293" s="356"/>
      <c r="F293" s="356"/>
      <c r="G293" s="356"/>
      <c r="H293" s="356"/>
      <c r="I293" s="356"/>
      <c r="J293" s="356"/>
      <c r="K293" s="356"/>
      <c r="L293" s="356"/>
      <c r="M293" s="356"/>
      <c r="N293" s="356"/>
      <c r="O293" s="356"/>
      <c r="P293" s="356"/>
      <c r="Q293" s="356"/>
      <c r="R293" s="365"/>
      <c r="S293" s="356"/>
      <c r="T293" s="356"/>
      <c r="U293" s="356"/>
      <c r="V293" s="356"/>
      <c r="W293" s="356"/>
      <c r="X293" s="356"/>
      <c r="Y293" s="356"/>
      <c r="Z293" s="365"/>
      <c r="AA293" s="356"/>
      <c r="AB293" s="356"/>
      <c r="AC293" s="356"/>
      <c r="AD293" s="356"/>
      <c r="AE293" s="356"/>
      <c r="AF293" s="356"/>
      <c r="AG293" s="356"/>
      <c r="AH293" s="249"/>
      <c r="AI293" s="249"/>
      <c r="AJ293" s="249"/>
      <c r="AK293" s="249"/>
      <c r="AL293" s="249"/>
      <c r="AM293" s="249"/>
      <c r="AN293" s="249"/>
      <c r="AO293" s="249"/>
      <c r="AP293" s="249"/>
      <c r="AQ293" s="249"/>
      <c r="AR293" s="249"/>
      <c r="AS293" s="249"/>
      <c r="AT293" s="249"/>
      <c r="AU293" s="249"/>
      <c r="AV293" s="249"/>
      <c r="AW293" s="249"/>
      <c r="AX293" s="249"/>
      <c r="AY293" s="249"/>
      <c r="AZ293" s="249"/>
      <c r="BA293" s="249"/>
      <c r="BB293" s="249"/>
      <c r="BC293" s="249"/>
      <c r="BD293" s="249"/>
      <c r="BE293" s="249"/>
      <c r="BF293" s="249"/>
      <c r="BG293" s="249"/>
      <c r="BH293" s="249"/>
      <c r="BI293" s="249"/>
      <c r="BJ293" s="249"/>
      <c r="BK293" s="249"/>
      <c r="BL293" s="249"/>
      <c r="BM293" s="249"/>
      <c r="BN293" s="249"/>
      <c r="BO293" s="249"/>
      <c r="BP293" s="249"/>
      <c r="BQ293" s="249"/>
    </row>
    <row r="294" s="251" customFormat="1" hidden="1" customHeight="1" spans="1:69">
      <c r="A294" s="356"/>
      <c r="B294" s="356"/>
      <c r="C294" s="359"/>
      <c r="D294" s="356"/>
      <c r="E294" s="356"/>
      <c r="F294" s="356"/>
      <c r="G294" s="356"/>
      <c r="H294" s="356"/>
      <c r="I294" s="356"/>
      <c r="J294" s="356"/>
      <c r="K294" s="356"/>
      <c r="L294" s="356"/>
      <c r="M294" s="356"/>
      <c r="N294" s="356"/>
      <c r="O294" s="356"/>
      <c r="P294" s="356"/>
      <c r="Q294" s="356"/>
      <c r="R294" s="365"/>
      <c r="S294" s="356"/>
      <c r="T294" s="356"/>
      <c r="U294" s="356"/>
      <c r="V294" s="356"/>
      <c r="W294" s="356"/>
      <c r="X294" s="356"/>
      <c r="Y294" s="356"/>
      <c r="Z294" s="365"/>
      <c r="AA294" s="356"/>
      <c r="AB294" s="356"/>
      <c r="AC294" s="356"/>
      <c r="AD294" s="356"/>
      <c r="AE294" s="356"/>
      <c r="AF294" s="356"/>
      <c r="AG294" s="356"/>
      <c r="AH294" s="249"/>
      <c r="AI294" s="249"/>
      <c r="AJ294" s="249"/>
      <c r="AK294" s="249"/>
      <c r="AL294" s="249"/>
      <c r="AM294" s="249"/>
      <c r="AN294" s="249"/>
      <c r="AO294" s="249"/>
      <c r="AP294" s="249"/>
      <c r="AQ294" s="249"/>
      <c r="AR294" s="249"/>
      <c r="AS294" s="249"/>
      <c r="AT294" s="249"/>
      <c r="AU294" s="249"/>
      <c r="AV294" s="249"/>
      <c r="AW294" s="249"/>
      <c r="AX294" s="249"/>
      <c r="AY294" s="249"/>
      <c r="AZ294" s="249"/>
      <c r="BA294" s="249"/>
      <c r="BB294" s="249"/>
      <c r="BC294" s="249"/>
      <c r="BD294" s="249"/>
      <c r="BE294" s="249"/>
      <c r="BF294" s="249"/>
      <c r="BG294" s="249"/>
      <c r="BH294" s="249"/>
      <c r="BI294" s="249"/>
      <c r="BJ294" s="249"/>
      <c r="BK294" s="249"/>
      <c r="BL294" s="249"/>
      <c r="BM294" s="249"/>
      <c r="BN294" s="249"/>
      <c r="BO294" s="249"/>
      <c r="BP294" s="249"/>
      <c r="BQ294" s="249"/>
    </row>
    <row r="295" s="251" customFormat="1" hidden="1" customHeight="1" spans="1:69">
      <c r="A295" s="356"/>
      <c r="B295" s="356"/>
      <c r="C295" s="359"/>
      <c r="D295" s="356"/>
      <c r="E295" s="356"/>
      <c r="F295" s="356"/>
      <c r="G295" s="356"/>
      <c r="H295" s="356"/>
      <c r="I295" s="356"/>
      <c r="J295" s="356"/>
      <c r="K295" s="356"/>
      <c r="L295" s="356"/>
      <c r="M295" s="356"/>
      <c r="N295" s="356"/>
      <c r="O295" s="356"/>
      <c r="P295" s="356"/>
      <c r="Q295" s="356"/>
      <c r="R295" s="365"/>
      <c r="S295" s="356"/>
      <c r="T295" s="356"/>
      <c r="U295" s="356"/>
      <c r="V295" s="356"/>
      <c r="W295" s="356"/>
      <c r="X295" s="356"/>
      <c r="Y295" s="356"/>
      <c r="Z295" s="365"/>
      <c r="AA295" s="356"/>
      <c r="AB295" s="356"/>
      <c r="AC295" s="356"/>
      <c r="AD295" s="356"/>
      <c r="AE295" s="356"/>
      <c r="AF295" s="356"/>
      <c r="AG295" s="356"/>
      <c r="AH295" s="249"/>
      <c r="AI295" s="249"/>
      <c r="AJ295" s="249"/>
      <c r="AK295" s="249"/>
      <c r="AL295" s="249"/>
      <c r="AM295" s="249"/>
      <c r="AN295" s="249"/>
      <c r="AO295" s="249"/>
      <c r="AP295" s="249"/>
      <c r="AQ295" s="249"/>
      <c r="AR295" s="249"/>
      <c r="AS295" s="249"/>
      <c r="AT295" s="249"/>
      <c r="AU295" s="249"/>
      <c r="AV295" s="249"/>
      <c r="AW295" s="249"/>
      <c r="AX295" s="249"/>
      <c r="AY295" s="249"/>
      <c r="AZ295" s="249"/>
      <c r="BA295" s="249"/>
      <c r="BB295" s="249"/>
      <c r="BC295" s="249"/>
      <c r="BD295" s="249"/>
      <c r="BE295" s="249"/>
      <c r="BF295" s="249"/>
      <c r="BG295" s="249"/>
      <c r="BH295" s="249"/>
      <c r="BI295" s="249"/>
      <c r="BJ295" s="249"/>
      <c r="BK295" s="249"/>
      <c r="BL295" s="249"/>
      <c r="BM295" s="249"/>
      <c r="BN295" s="249"/>
      <c r="BO295" s="249"/>
      <c r="BP295" s="249"/>
      <c r="BQ295" s="249"/>
    </row>
    <row r="296" s="251" customFormat="1" hidden="1" customHeight="1" spans="1:69">
      <c r="A296" s="356"/>
      <c r="B296" s="356"/>
      <c r="C296" s="359"/>
      <c r="D296" s="356"/>
      <c r="E296" s="356"/>
      <c r="F296" s="356"/>
      <c r="G296" s="356"/>
      <c r="H296" s="356"/>
      <c r="I296" s="356"/>
      <c r="J296" s="356"/>
      <c r="K296" s="356"/>
      <c r="L296" s="356"/>
      <c r="M296" s="356"/>
      <c r="N296" s="356"/>
      <c r="O296" s="356"/>
      <c r="P296" s="356"/>
      <c r="Q296" s="356"/>
      <c r="R296" s="365"/>
      <c r="S296" s="356"/>
      <c r="T296" s="356"/>
      <c r="U296" s="356"/>
      <c r="V296" s="356"/>
      <c r="W296" s="356"/>
      <c r="X296" s="356"/>
      <c r="Y296" s="356"/>
      <c r="Z296" s="365"/>
      <c r="AA296" s="356"/>
      <c r="AB296" s="356"/>
      <c r="AC296" s="356"/>
      <c r="AD296" s="356"/>
      <c r="AE296" s="356"/>
      <c r="AF296" s="356"/>
      <c r="AG296" s="356"/>
      <c r="AH296" s="249"/>
      <c r="AI296" s="249"/>
      <c r="AJ296" s="249"/>
      <c r="AK296" s="249"/>
      <c r="AL296" s="249"/>
      <c r="AM296" s="249"/>
      <c r="AN296" s="249"/>
      <c r="AO296" s="249"/>
      <c r="AP296" s="249"/>
      <c r="AQ296" s="249"/>
      <c r="AR296" s="249"/>
      <c r="AS296" s="249"/>
      <c r="AT296" s="249"/>
      <c r="AU296" s="249"/>
      <c r="AV296" s="249"/>
      <c r="AW296" s="249"/>
      <c r="AX296" s="249"/>
      <c r="AY296" s="249"/>
      <c r="AZ296" s="249"/>
      <c r="BA296" s="249"/>
      <c r="BB296" s="249"/>
      <c r="BC296" s="249"/>
      <c r="BD296" s="249"/>
      <c r="BE296" s="249"/>
      <c r="BF296" s="249"/>
      <c r="BG296" s="249"/>
      <c r="BH296" s="249"/>
      <c r="BI296" s="249"/>
      <c r="BJ296" s="249"/>
      <c r="BK296" s="249"/>
      <c r="BL296" s="249"/>
      <c r="BM296" s="249"/>
      <c r="BN296" s="249"/>
      <c r="BO296" s="249"/>
      <c r="BP296" s="249"/>
      <c r="BQ296" s="249"/>
    </row>
    <row r="297" s="251" customFormat="1" hidden="1" customHeight="1" spans="1:69">
      <c r="A297" s="356"/>
      <c r="B297" s="356"/>
      <c r="C297" s="359"/>
      <c r="D297" s="356"/>
      <c r="E297" s="356"/>
      <c r="F297" s="356"/>
      <c r="G297" s="356"/>
      <c r="H297" s="356"/>
      <c r="I297" s="356"/>
      <c r="J297" s="356"/>
      <c r="K297" s="356"/>
      <c r="L297" s="356"/>
      <c r="M297" s="356"/>
      <c r="N297" s="356"/>
      <c r="O297" s="356"/>
      <c r="P297" s="356"/>
      <c r="Q297" s="356"/>
      <c r="R297" s="365"/>
      <c r="S297" s="356"/>
      <c r="T297" s="356"/>
      <c r="U297" s="356"/>
      <c r="V297" s="356"/>
      <c r="W297" s="356"/>
      <c r="X297" s="356"/>
      <c r="Y297" s="356"/>
      <c r="Z297" s="365"/>
      <c r="AA297" s="356"/>
      <c r="AB297" s="356"/>
      <c r="AC297" s="356"/>
      <c r="AD297" s="356"/>
      <c r="AE297" s="356"/>
      <c r="AF297" s="356"/>
      <c r="AG297" s="356"/>
      <c r="AH297" s="249"/>
      <c r="AI297" s="249"/>
      <c r="AJ297" s="249"/>
      <c r="AK297" s="249"/>
      <c r="AL297" s="249"/>
      <c r="AM297" s="249"/>
      <c r="AN297" s="249"/>
      <c r="AO297" s="249"/>
      <c r="AP297" s="249"/>
      <c r="AQ297" s="249"/>
      <c r="AR297" s="249"/>
      <c r="AS297" s="249"/>
      <c r="AT297" s="249"/>
      <c r="AU297" s="249"/>
      <c r="AV297" s="249"/>
      <c r="AW297" s="249"/>
      <c r="AX297" s="249"/>
      <c r="AY297" s="249"/>
      <c r="AZ297" s="249"/>
      <c r="BA297" s="249"/>
      <c r="BB297" s="249"/>
      <c r="BC297" s="249"/>
      <c r="BD297" s="249"/>
      <c r="BE297" s="249"/>
      <c r="BF297" s="249"/>
      <c r="BG297" s="249"/>
      <c r="BH297" s="249"/>
      <c r="BI297" s="249"/>
      <c r="BJ297" s="249"/>
      <c r="BK297" s="249"/>
      <c r="BL297" s="249"/>
      <c r="BM297" s="249"/>
      <c r="BN297" s="249"/>
      <c r="BO297" s="249"/>
      <c r="BP297" s="249"/>
      <c r="BQ297" s="249"/>
    </row>
    <row r="298" s="251" customFormat="1" hidden="1" customHeight="1" spans="1:69">
      <c r="A298" s="356"/>
      <c r="B298" s="356"/>
      <c r="C298" s="359"/>
      <c r="D298" s="356"/>
      <c r="E298" s="356"/>
      <c r="F298" s="356"/>
      <c r="G298" s="356"/>
      <c r="H298" s="356"/>
      <c r="I298" s="356"/>
      <c r="J298" s="356"/>
      <c r="K298" s="356"/>
      <c r="L298" s="356"/>
      <c r="M298" s="356"/>
      <c r="N298" s="356"/>
      <c r="O298" s="356"/>
      <c r="P298" s="356"/>
      <c r="Q298" s="356"/>
      <c r="R298" s="365"/>
      <c r="S298" s="356"/>
      <c r="T298" s="356"/>
      <c r="U298" s="356"/>
      <c r="V298" s="356"/>
      <c r="W298" s="356"/>
      <c r="X298" s="356"/>
      <c r="Y298" s="356"/>
      <c r="Z298" s="365"/>
      <c r="AA298" s="356"/>
      <c r="AB298" s="356"/>
      <c r="AC298" s="356"/>
      <c r="AD298" s="356"/>
      <c r="AE298" s="356"/>
      <c r="AF298" s="356"/>
      <c r="AG298" s="356"/>
      <c r="AH298" s="249"/>
      <c r="AI298" s="249"/>
      <c r="AJ298" s="249"/>
      <c r="AK298" s="249"/>
      <c r="AL298" s="249"/>
      <c r="AM298" s="249"/>
      <c r="AN298" s="249"/>
      <c r="AO298" s="249"/>
      <c r="AP298" s="249"/>
      <c r="AQ298" s="249"/>
      <c r="AR298" s="249"/>
      <c r="AS298" s="249"/>
      <c r="AT298" s="249"/>
      <c r="AU298" s="249"/>
      <c r="AV298" s="249"/>
      <c r="AW298" s="249"/>
      <c r="AX298" s="249"/>
      <c r="AY298" s="249"/>
      <c r="AZ298" s="249"/>
      <c r="BA298" s="249"/>
      <c r="BB298" s="249"/>
      <c r="BC298" s="249"/>
      <c r="BD298" s="249"/>
      <c r="BE298" s="249"/>
      <c r="BF298" s="249"/>
      <c r="BG298" s="249"/>
      <c r="BH298" s="249"/>
      <c r="BI298" s="249"/>
      <c r="BJ298" s="249"/>
      <c r="BK298" s="249"/>
      <c r="BL298" s="249"/>
      <c r="BM298" s="249"/>
      <c r="BN298" s="249"/>
      <c r="BO298" s="249"/>
      <c r="BP298" s="249"/>
      <c r="BQ298" s="249"/>
    </row>
    <row r="299" s="251" customFormat="1" hidden="1" customHeight="1" spans="1:69">
      <c r="A299" s="356"/>
      <c r="B299" s="356"/>
      <c r="C299" s="359"/>
      <c r="D299" s="356"/>
      <c r="E299" s="356"/>
      <c r="F299" s="356"/>
      <c r="G299" s="356"/>
      <c r="H299" s="356"/>
      <c r="I299" s="356"/>
      <c r="J299" s="356"/>
      <c r="K299" s="356"/>
      <c r="L299" s="356"/>
      <c r="M299" s="356"/>
      <c r="N299" s="356"/>
      <c r="O299" s="356"/>
      <c r="P299" s="356"/>
      <c r="Q299" s="356"/>
      <c r="R299" s="365"/>
      <c r="S299" s="356"/>
      <c r="T299" s="356"/>
      <c r="U299" s="356"/>
      <c r="V299" s="356"/>
      <c r="W299" s="356"/>
      <c r="X299" s="356"/>
      <c r="Y299" s="356"/>
      <c r="Z299" s="365"/>
      <c r="AA299" s="356"/>
      <c r="AB299" s="356"/>
      <c r="AC299" s="356"/>
      <c r="AD299" s="356"/>
      <c r="AE299" s="356"/>
      <c r="AF299" s="356"/>
      <c r="AG299" s="356"/>
      <c r="AH299" s="249"/>
      <c r="AI299" s="249"/>
      <c r="AJ299" s="249"/>
      <c r="AK299" s="249"/>
      <c r="AL299" s="249"/>
      <c r="AM299" s="249"/>
      <c r="AN299" s="249"/>
      <c r="AO299" s="249"/>
      <c r="AP299" s="249"/>
      <c r="AQ299" s="249"/>
      <c r="AR299" s="249"/>
      <c r="AS299" s="249"/>
      <c r="AT299" s="249"/>
      <c r="AU299" s="249"/>
      <c r="AV299" s="249"/>
      <c r="AW299" s="249"/>
      <c r="AX299" s="249"/>
      <c r="AY299" s="249"/>
      <c r="AZ299" s="249"/>
      <c r="BA299" s="249"/>
      <c r="BB299" s="249"/>
      <c r="BC299" s="249"/>
      <c r="BD299" s="249"/>
      <c r="BE299" s="249"/>
      <c r="BF299" s="249"/>
      <c r="BG299" s="249"/>
      <c r="BH299" s="249"/>
      <c r="BI299" s="249"/>
      <c r="BJ299" s="249"/>
      <c r="BK299" s="249"/>
      <c r="BL299" s="249"/>
      <c r="BM299" s="249"/>
      <c r="BN299" s="249"/>
      <c r="BO299" s="249"/>
      <c r="BP299" s="249"/>
      <c r="BQ299" s="249"/>
    </row>
    <row r="300" s="251" customFormat="1" hidden="1" customHeight="1" spans="1:69">
      <c r="A300" s="356"/>
      <c r="B300" s="356"/>
      <c r="C300" s="359"/>
      <c r="D300" s="356"/>
      <c r="E300" s="356"/>
      <c r="F300" s="356"/>
      <c r="G300" s="356"/>
      <c r="H300" s="356"/>
      <c r="I300" s="356"/>
      <c r="J300" s="356"/>
      <c r="K300" s="356"/>
      <c r="L300" s="356"/>
      <c r="M300" s="356"/>
      <c r="N300" s="356"/>
      <c r="O300" s="356"/>
      <c r="P300" s="356"/>
      <c r="Q300" s="356"/>
      <c r="R300" s="365"/>
      <c r="S300" s="356"/>
      <c r="T300" s="356"/>
      <c r="U300" s="356"/>
      <c r="V300" s="356"/>
      <c r="W300" s="356"/>
      <c r="X300" s="356"/>
      <c r="Y300" s="356"/>
      <c r="Z300" s="365"/>
      <c r="AA300" s="356"/>
      <c r="AB300" s="356"/>
      <c r="AC300" s="356"/>
      <c r="AD300" s="356"/>
      <c r="AE300" s="356"/>
      <c r="AF300" s="356"/>
      <c r="AG300" s="356"/>
      <c r="AH300" s="249"/>
      <c r="AI300" s="249"/>
      <c r="AJ300" s="249"/>
      <c r="AK300" s="249"/>
      <c r="AL300" s="249"/>
      <c r="AM300" s="249"/>
      <c r="AN300" s="249"/>
      <c r="AO300" s="249"/>
      <c r="AP300" s="249"/>
      <c r="AQ300" s="249"/>
      <c r="AR300" s="249"/>
      <c r="AS300" s="249"/>
      <c r="AT300" s="249"/>
      <c r="AU300" s="249"/>
      <c r="AV300" s="249"/>
      <c r="AW300" s="249"/>
      <c r="AX300" s="249"/>
      <c r="AY300" s="249"/>
      <c r="AZ300" s="249"/>
      <c r="BA300" s="249"/>
      <c r="BB300" s="249"/>
      <c r="BC300" s="249"/>
      <c r="BD300" s="249"/>
      <c r="BE300" s="249"/>
      <c r="BF300" s="249"/>
      <c r="BG300" s="249"/>
      <c r="BH300" s="249"/>
      <c r="BI300" s="249"/>
      <c r="BJ300" s="249"/>
      <c r="BK300" s="249"/>
      <c r="BL300" s="249"/>
      <c r="BM300" s="249"/>
      <c r="BN300" s="249"/>
      <c r="BO300" s="249"/>
      <c r="BP300" s="249"/>
      <c r="BQ300" s="249"/>
    </row>
    <row r="301" s="251" customFormat="1" hidden="1" customHeight="1" spans="1:69">
      <c r="A301" s="356"/>
      <c r="B301" s="356"/>
      <c r="C301" s="359"/>
      <c r="D301" s="356"/>
      <c r="E301" s="356"/>
      <c r="F301" s="356"/>
      <c r="G301" s="356"/>
      <c r="H301" s="356"/>
      <c r="I301" s="356"/>
      <c r="J301" s="356"/>
      <c r="K301" s="356"/>
      <c r="L301" s="356"/>
      <c r="M301" s="356"/>
      <c r="N301" s="356"/>
      <c r="O301" s="356"/>
      <c r="P301" s="356"/>
      <c r="Q301" s="356"/>
      <c r="R301" s="365"/>
      <c r="S301" s="356"/>
      <c r="T301" s="356"/>
      <c r="U301" s="356"/>
      <c r="V301" s="356"/>
      <c r="W301" s="356"/>
      <c r="X301" s="356"/>
      <c r="Y301" s="356"/>
      <c r="Z301" s="365"/>
      <c r="AA301" s="356"/>
      <c r="AB301" s="356"/>
      <c r="AC301" s="356"/>
      <c r="AD301" s="356"/>
      <c r="AE301" s="356"/>
      <c r="AF301" s="356"/>
      <c r="AG301" s="356"/>
      <c r="AH301" s="249"/>
      <c r="AI301" s="249"/>
      <c r="AJ301" s="249"/>
      <c r="AK301" s="249"/>
      <c r="AL301" s="249"/>
      <c r="AM301" s="249"/>
      <c r="AN301" s="249"/>
      <c r="AO301" s="249"/>
      <c r="AP301" s="249"/>
      <c r="AQ301" s="249"/>
      <c r="AR301" s="249"/>
      <c r="AS301" s="249"/>
      <c r="AT301" s="249"/>
      <c r="AU301" s="249"/>
      <c r="AV301" s="249"/>
      <c r="AW301" s="249"/>
      <c r="AX301" s="249"/>
      <c r="AY301" s="249"/>
      <c r="AZ301" s="249"/>
      <c r="BA301" s="249"/>
      <c r="BB301" s="249"/>
      <c r="BC301" s="249"/>
      <c r="BD301" s="249"/>
      <c r="BE301" s="249"/>
      <c r="BF301" s="249"/>
      <c r="BG301" s="249"/>
      <c r="BH301" s="249"/>
      <c r="BI301" s="249"/>
      <c r="BJ301" s="249"/>
      <c r="BK301" s="249"/>
      <c r="BL301" s="249"/>
      <c r="BM301" s="249"/>
      <c r="BN301" s="249"/>
      <c r="BO301" s="249"/>
      <c r="BP301" s="249"/>
      <c r="BQ301" s="249"/>
    </row>
    <row r="302" s="251" customFormat="1" hidden="1" customHeight="1" spans="1:69">
      <c r="A302" s="356"/>
      <c r="B302" s="356"/>
      <c r="C302" s="359"/>
      <c r="D302" s="356"/>
      <c r="E302" s="356"/>
      <c r="F302" s="356"/>
      <c r="G302" s="356"/>
      <c r="H302" s="356"/>
      <c r="I302" s="356"/>
      <c r="J302" s="356"/>
      <c r="K302" s="356"/>
      <c r="L302" s="356"/>
      <c r="M302" s="356"/>
      <c r="N302" s="356"/>
      <c r="O302" s="356"/>
      <c r="P302" s="356"/>
      <c r="Q302" s="356"/>
      <c r="R302" s="365"/>
      <c r="S302" s="356"/>
      <c r="T302" s="356"/>
      <c r="U302" s="356"/>
      <c r="V302" s="356"/>
      <c r="W302" s="356"/>
      <c r="X302" s="356"/>
      <c r="Y302" s="356"/>
      <c r="Z302" s="365"/>
      <c r="AA302" s="356"/>
      <c r="AB302" s="356"/>
      <c r="AC302" s="356"/>
      <c r="AD302" s="356"/>
      <c r="AE302" s="356"/>
      <c r="AF302" s="356"/>
      <c r="AG302" s="356"/>
      <c r="AH302" s="249"/>
      <c r="AI302" s="249"/>
      <c r="AJ302" s="249"/>
      <c r="AK302" s="249"/>
      <c r="AL302" s="249"/>
      <c r="AM302" s="249"/>
      <c r="AN302" s="249"/>
      <c r="AO302" s="249"/>
      <c r="AP302" s="249"/>
      <c r="AQ302" s="249"/>
      <c r="AR302" s="249"/>
      <c r="AS302" s="249"/>
      <c r="AT302" s="249"/>
      <c r="AU302" s="249"/>
      <c r="AV302" s="249"/>
      <c r="AW302" s="249"/>
      <c r="AX302" s="249"/>
      <c r="AY302" s="249"/>
      <c r="AZ302" s="249"/>
      <c r="BA302" s="249"/>
      <c r="BB302" s="249"/>
      <c r="BC302" s="249"/>
      <c r="BD302" s="249"/>
      <c r="BE302" s="249"/>
      <c r="BF302" s="249"/>
      <c r="BG302" s="249"/>
      <c r="BH302" s="249"/>
      <c r="BI302" s="249"/>
      <c r="BJ302" s="249"/>
      <c r="BK302" s="249"/>
      <c r="BL302" s="249"/>
      <c r="BM302" s="249"/>
      <c r="BN302" s="249"/>
      <c r="BO302" s="249"/>
      <c r="BP302" s="249"/>
      <c r="BQ302" s="249"/>
    </row>
    <row r="303" s="251" customFormat="1" hidden="1" customHeight="1" spans="1:69">
      <c r="A303" s="356"/>
      <c r="B303" s="356"/>
      <c r="C303" s="359"/>
      <c r="D303" s="356"/>
      <c r="E303" s="356"/>
      <c r="F303" s="356"/>
      <c r="G303" s="356"/>
      <c r="H303" s="356"/>
      <c r="I303" s="356"/>
      <c r="J303" s="356"/>
      <c r="K303" s="356"/>
      <c r="L303" s="356"/>
      <c r="M303" s="356"/>
      <c r="N303" s="356"/>
      <c r="O303" s="356"/>
      <c r="P303" s="356"/>
      <c r="Q303" s="356"/>
      <c r="R303" s="365"/>
      <c r="S303" s="356"/>
      <c r="T303" s="356"/>
      <c r="U303" s="356"/>
      <c r="V303" s="356"/>
      <c r="W303" s="356"/>
      <c r="X303" s="356"/>
      <c r="Y303" s="356"/>
      <c r="Z303" s="365"/>
      <c r="AA303" s="356"/>
      <c r="AB303" s="356"/>
      <c r="AC303" s="356"/>
      <c r="AD303" s="356"/>
      <c r="AE303" s="356"/>
      <c r="AF303" s="356"/>
      <c r="AG303" s="356"/>
      <c r="AH303" s="249"/>
      <c r="AI303" s="249"/>
      <c r="AJ303" s="249"/>
      <c r="AK303" s="249"/>
      <c r="AL303" s="249"/>
      <c r="AM303" s="249"/>
      <c r="AN303" s="249"/>
      <c r="AO303" s="249"/>
      <c r="AP303" s="249"/>
      <c r="AQ303" s="249"/>
      <c r="AR303" s="249"/>
      <c r="AS303" s="249"/>
      <c r="AT303" s="249"/>
      <c r="AU303" s="249"/>
      <c r="AV303" s="249"/>
      <c r="AW303" s="249"/>
      <c r="AX303" s="249"/>
      <c r="AY303" s="249"/>
      <c r="AZ303" s="249"/>
      <c r="BA303" s="249"/>
      <c r="BB303" s="249"/>
      <c r="BC303" s="249"/>
      <c r="BD303" s="249"/>
      <c r="BE303" s="249"/>
      <c r="BF303" s="249"/>
      <c r="BG303" s="249"/>
      <c r="BH303" s="249"/>
      <c r="BI303" s="249"/>
      <c r="BJ303" s="249"/>
      <c r="BK303" s="249"/>
      <c r="BL303" s="249"/>
      <c r="BM303" s="249"/>
      <c r="BN303" s="249"/>
      <c r="BO303" s="249"/>
      <c r="BP303" s="249"/>
      <c r="BQ303" s="249"/>
    </row>
    <row r="304" s="251" customFormat="1" hidden="1" customHeight="1" spans="1:69">
      <c r="A304" s="356"/>
      <c r="B304" s="356"/>
      <c r="C304" s="359"/>
      <c r="D304" s="356"/>
      <c r="E304" s="356"/>
      <c r="F304" s="356"/>
      <c r="G304" s="356"/>
      <c r="H304" s="356"/>
      <c r="I304" s="356"/>
      <c r="J304" s="356"/>
      <c r="K304" s="356"/>
      <c r="L304" s="356"/>
      <c r="M304" s="356"/>
      <c r="N304" s="356"/>
      <c r="O304" s="356"/>
      <c r="P304" s="356"/>
      <c r="Q304" s="356"/>
      <c r="R304" s="365"/>
      <c r="S304" s="356"/>
      <c r="T304" s="356"/>
      <c r="U304" s="356"/>
      <c r="V304" s="356"/>
      <c r="W304" s="356"/>
      <c r="X304" s="356"/>
      <c r="Y304" s="356"/>
      <c r="Z304" s="365"/>
      <c r="AA304" s="356"/>
      <c r="AB304" s="356"/>
      <c r="AC304" s="356"/>
      <c r="AD304" s="356"/>
      <c r="AE304" s="356"/>
      <c r="AF304" s="356"/>
      <c r="AG304" s="356"/>
      <c r="AH304" s="249"/>
      <c r="AI304" s="249"/>
      <c r="AJ304" s="249"/>
      <c r="AK304" s="249"/>
      <c r="AL304" s="249"/>
      <c r="AM304" s="249"/>
      <c r="AN304" s="249"/>
      <c r="AO304" s="249"/>
      <c r="AP304" s="249"/>
      <c r="AQ304" s="249"/>
      <c r="AR304" s="249"/>
      <c r="AS304" s="249"/>
      <c r="AT304" s="249"/>
      <c r="AU304" s="249"/>
      <c r="AV304" s="249"/>
      <c r="AW304" s="249"/>
      <c r="AX304" s="249"/>
      <c r="AY304" s="249"/>
      <c r="AZ304" s="249"/>
      <c r="BA304" s="249"/>
      <c r="BB304" s="249"/>
      <c r="BC304" s="249"/>
      <c r="BD304" s="249"/>
      <c r="BE304" s="249"/>
      <c r="BF304" s="249"/>
      <c r="BG304" s="249"/>
      <c r="BH304" s="249"/>
      <c r="BI304" s="249"/>
      <c r="BJ304" s="249"/>
      <c r="BK304" s="249"/>
      <c r="BL304" s="249"/>
      <c r="BM304" s="249"/>
      <c r="BN304" s="249"/>
      <c r="BO304" s="249"/>
      <c r="BP304" s="249"/>
      <c r="BQ304" s="249"/>
    </row>
    <row r="305" s="251" customFormat="1" hidden="1" customHeight="1" spans="1:69">
      <c r="A305" s="356"/>
      <c r="B305" s="356"/>
      <c r="C305" s="359"/>
      <c r="D305" s="356"/>
      <c r="E305" s="356"/>
      <c r="F305" s="356"/>
      <c r="G305" s="356"/>
      <c r="H305" s="356"/>
      <c r="I305" s="356"/>
      <c r="J305" s="356"/>
      <c r="K305" s="356"/>
      <c r="L305" s="356"/>
      <c r="M305" s="356"/>
      <c r="N305" s="356"/>
      <c r="O305" s="356"/>
      <c r="P305" s="356"/>
      <c r="Q305" s="356"/>
      <c r="R305" s="365"/>
      <c r="S305" s="356"/>
      <c r="T305" s="356"/>
      <c r="U305" s="356"/>
      <c r="V305" s="356"/>
      <c r="W305" s="356"/>
      <c r="X305" s="356"/>
      <c r="Y305" s="356"/>
      <c r="Z305" s="365"/>
      <c r="AA305" s="356"/>
      <c r="AB305" s="356"/>
      <c r="AC305" s="356"/>
      <c r="AD305" s="356"/>
      <c r="AE305" s="356"/>
      <c r="AF305" s="356"/>
      <c r="AG305" s="356"/>
      <c r="AH305" s="249"/>
      <c r="AI305" s="249"/>
      <c r="AJ305" s="249"/>
      <c r="AK305" s="249"/>
      <c r="AL305" s="249"/>
      <c r="AM305" s="249"/>
      <c r="AN305" s="249"/>
      <c r="AO305" s="249"/>
      <c r="AP305" s="249"/>
      <c r="AQ305" s="249"/>
      <c r="AR305" s="249"/>
      <c r="AS305" s="249"/>
      <c r="AT305" s="249"/>
      <c r="AU305" s="249"/>
      <c r="AV305" s="249"/>
      <c r="AW305" s="249"/>
      <c r="AX305" s="249"/>
      <c r="AY305" s="249"/>
      <c r="AZ305" s="249"/>
      <c r="BA305" s="249"/>
      <c r="BB305" s="249"/>
      <c r="BC305" s="249"/>
      <c r="BD305" s="249"/>
      <c r="BE305" s="249"/>
      <c r="BF305" s="249"/>
      <c r="BG305" s="249"/>
      <c r="BH305" s="249"/>
      <c r="BI305" s="249"/>
      <c r="BJ305" s="249"/>
      <c r="BK305" s="249"/>
      <c r="BL305" s="249"/>
      <c r="BM305" s="249"/>
      <c r="BN305" s="249"/>
      <c r="BO305" s="249"/>
      <c r="BP305" s="249"/>
      <c r="BQ305" s="249"/>
    </row>
    <row r="306" s="251" customFormat="1" hidden="1" customHeight="1" spans="1:69">
      <c r="A306" s="356"/>
      <c r="B306" s="356"/>
      <c r="C306" s="359"/>
      <c r="D306" s="356"/>
      <c r="E306" s="356"/>
      <c r="F306" s="356"/>
      <c r="G306" s="356"/>
      <c r="H306" s="356"/>
      <c r="I306" s="356"/>
      <c r="J306" s="356"/>
      <c r="K306" s="356"/>
      <c r="L306" s="356"/>
      <c r="M306" s="356"/>
      <c r="N306" s="356"/>
      <c r="O306" s="356"/>
      <c r="P306" s="356"/>
      <c r="Q306" s="356"/>
      <c r="R306" s="365"/>
      <c r="S306" s="356"/>
      <c r="T306" s="356"/>
      <c r="U306" s="356"/>
      <c r="V306" s="356"/>
      <c r="W306" s="356"/>
      <c r="X306" s="356"/>
      <c r="Y306" s="356"/>
      <c r="Z306" s="365"/>
      <c r="AA306" s="356"/>
      <c r="AB306" s="356"/>
      <c r="AC306" s="356"/>
      <c r="AD306" s="356"/>
      <c r="AE306" s="356"/>
      <c r="AF306" s="356"/>
      <c r="AG306" s="356"/>
      <c r="AH306" s="249"/>
      <c r="AI306" s="249"/>
      <c r="AJ306" s="249"/>
      <c r="AK306" s="249"/>
      <c r="AL306" s="249"/>
      <c r="AM306" s="249"/>
      <c r="AN306" s="249"/>
      <c r="AO306" s="249"/>
      <c r="AP306" s="249"/>
      <c r="AQ306" s="249"/>
      <c r="AR306" s="249"/>
      <c r="AS306" s="249"/>
      <c r="AT306" s="249"/>
      <c r="AU306" s="249"/>
      <c r="AV306" s="249"/>
      <c r="AW306" s="249"/>
      <c r="AX306" s="249"/>
      <c r="AY306" s="249"/>
      <c r="AZ306" s="249"/>
      <c r="BA306" s="249"/>
      <c r="BB306" s="249"/>
      <c r="BC306" s="249"/>
      <c r="BD306" s="249"/>
      <c r="BE306" s="249"/>
      <c r="BF306" s="249"/>
      <c r="BG306" s="249"/>
      <c r="BH306" s="249"/>
      <c r="BI306" s="249"/>
      <c r="BJ306" s="249"/>
      <c r="BK306" s="249"/>
      <c r="BL306" s="249"/>
      <c r="BM306" s="249"/>
      <c r="BN306" s="249"/>
      <c r="BO306" s="249"/>
      <c r="BP306" s="249"/>
      <c r="BQ306" s="249"/>
    </row>
    <row r="307" s="251" customFormat="1" hidden="1" customHeight="1" spans="1:69">
      <c r="A307" s="356"/>
      <c r="B307" s="356"/>
      <c r="C307" s="359"/>
      <c r="D307" s="356"/>
      <c r="E307" s="356"/>
      <c r="F307" s="356"/>
      <c r="G307" s="356"/>
      <c r="H307" s="356"/>
      <c r="I307" s="356"/>
      <c r="J307" s="356"/>
      <c r="K307" s="356"/>
      <c r="L307" s="356"/>
      <c r="M307" s="356"/>
      <c r="N307" s="356"/>
      <c r="O307" s="356"/>
      <c r="P307" s="356"/>
      <c r="Q307" s="356"/>
      <c r="R307" s="365"/>
      <c r="S307" s="356"/>
      <c r="T307" s="356"/>
      <c r="U307" s="356"/>
      <c r="V307" s="356"/>
      <c r="W307" s="356"/>
      <c r="X307" s="356"/>
      <c r="Y307" s="356"/>
      <c r="Z307" s="365"/>
      <c r="AA307" s="356"/>
      <c r="AB307" s="356"/>
      <c r="AC307" s="356"/>
      <c r="AD307" s="356"/>
      <c r="AE307" s="356"/>
      <c r="AF307" s="356"/>
      <c r="AG307" s="356"/>
      <c r="AH307" s="249"/>
      <c r="AI307" s="249"/>
      <c r="AJ307" s="249"/>
      <c r="AK307" s="249"/>
      <c r="AL307" s="249"/>
      <c r="AM307" s="249"/>
      <c r="AN307" s="249"/>
      <c r="AO307" s="249"/>
      <c r="AP307" s="249"/>
      <c r="AQ307" s="249"/>
      <c r="AR307" s="249"/>
      <c r="AS307" s="249"/>
      <c r="AT307" s="249"/>
      <c r="AU307" s="249"/>
      <c r="AV307" s="249"/>
      <c r="AW307" s="249"/>
      <c r="AX307" s="249"/>
      <c r="AY307" s="249"/>
      <c r="AZ307" s="249"/>
      <c r="BA307" s="249"/>
      <c r="BB307" s="249"/>
      <c r="BC307" s="249"/>
      <c r="BD307" s="249"/>
      <c r="BE307" s="249"/>
      <c r="BF307" s="249"/>
      <c r="BG307" s="249"/>
      <c r="BH307" s="249"/>
      <c r="BI307" s="249"/>
      <c r="BJ307" s="249"/>
      <c r="BK307" s="249"/>
      <c r="BL307" s="249"/>
      <c r="BM307" s="249"/>
      <c r="BN307" s="249"/>
      <c r="BO307" s="249"/>
      <c r="BP307" s="249"/>
      <c r="BQ307" s="249"/>
    </row>
    <row r="308" s="251" customFormat="1" hidden="1" customHeight="1" spans="1:69">
      <c r="A308" s="356"/>
      <c r="B308" s="356"/>
      <c r="C308" s="359"/>
      <c r="D308" s="356"/>
      <c r="E308" s="356"/>
      <c r="F308" s="356"/>
      <c r="G308" s="356"/>
      <c r="H308" s="356"/>
      <c r="I308" s="356"/>
      <c r="J308" s="356"/>
      <c r="K308" s="356"/>
      <c r="L308" s="356"/>
      <c r="M308" s="356"/>
      <c r="N308" s="356"/>
      <c r="O308" s="356"/>
      <c r="P308" s="356"/>
      <c r="Q308" s="356"/>
      <c r="R308" s="365"/>
      <c r="S308" s="356"/>
      <c r="T308" s="356"/>
      <c r="U308" s="356"/>
      <c r="V308" s="356"/>
      <c r="W308" s="356"/>
      <c r="X308" s="356"/>
      <c r="Y308" s="356"/>
      <c r="Z308" s="365"/>
      <c r="AA308" s="356"/>
      <c r="AB308" s="356"/>
      <c r="AC308" s="356"/>
      <c r="AD308" s="356"/>
      <c r="AE308" s="356"/>
      <c r="AF308" s="356"/>
      <c r="AG308" s="356"/>
      <c r="AH308" s="249"/>
      <c r="AI308" s="249"/>
      <c r="AJ308" s="249"/>
      <c r="AK308" s="249"/>
      <c r="AL308" s="249"/>
      <c r="AM308" s="249"/>
      <c r="AN308" s="249"/>
      <c r="AO308" s="249"/>
      <c r="AP308" s="249"/>
      <c r="AQ308" s="249"/>
      <c r="AR308" s="249"/>
      <c r="AS308" s="249"/>
      <c r="AT308" s="249"/>
      <c r="AU308" s="249"/>
      <c r="AV308" s="249"/>
      <c r="AW308" s="249"/>
      <c r="AX308" s="249"/>
      <c r="AY308" s="249"/>
      <c r="AZ308" s="249"/>
      <c r="BA308" s="249"/>
      <c r="BB308" s="249"/>
      <c r="BC308" s="249"/>
      <c r="BD308" s="249"/>
      <c r="BE308" s="249"/>
      <c r="BF308" s="249"/>
      <c r="BG308" s="249"/>
      <c r="BH308" s="249"/>
      <c r="BI308" s="249"/>
      <c r="BJ308" s="249"/>
      <c r="BK308" s="249"/>
      <c r="BL308" s="249"/>
      <c r="BM308" s="249"/>
      <c r="BN308" s="249"/>
      <c r="BO308" s="249"/>
      <c r="BP308" s="249"/>
      <c r="BQ308" s="249"/>
    </row>
    <row r="309" s="251" customFormat="1" hidden="1" customHeight="1" spans="1:69">
      <c r="A309" s="356"/>
      <c r="B309" s="356"/>
      <c r="C309" s="359"/>
      <c r="D309" s="356"/>
      <c r="E309" s="356"/>
      <c r="F309" s="356"/>
      <c r="G309" s="356"/>
      <c r="H309" s="356"/>
      <c r="I309" s="356"/>
      <c r="J309" s="356"/>
      <c r="K309" s="356"/>
      <c r="L309" s="356"/>
      <c r="M309" s="356"/>
      <c r="N309" s="356"/>
      <c r="O309" s="356"/>
      <c r="P309" s="356"/>
      <c r="Q309" s="356"/>
      <c r="R309" s="365"/>
      <c r="S309" s="356"/>
      <c r="T309" s="356"/>
      <c r="U309" s="356"/>
      <c r="V309" s="356"/>
      <c r="W309" s="356"/>
      <c r="X309" s="356"/>
      <c r="Y309" s="356"/>
      <c r="Z309" s="365"/>
      <c r="AA309" s="356"/>
      <c r="AB309" s="356"/>
      <c r="AC309" s="356"/>
      <c r="AD309" s="356"/>
      <c r="AE309" s="356"/>
      <c r="AF309" s="356"/>
      <c r="AG309" s="356"/>
      <c r="AH309" s="249"/>
      <c r="AI309" s="249"/>
      <c r="AJ309" s="249"/>
      <c r="AK309" s="249"/>
      <c r="AL309" s="249"/>
      <c r="AM309" s="249"/>
      <c r="AN309" s="249"/>
      <c r="AO309" s="249"/>
      <c r="AP309" s="249"/>
      <c r="AQ309" s="249"/>
      <c r="AR309" s="249"/>
      <c r="AS309" s="249"/>
      <c r="AT309" s="249"/>
      <c r="AU309" s="249"/>
      <c r="AV309" s="249"/>
      <c r="AW309" s="249"/>
      <c r="AX309" s="249"/>
      <c r="AY309" s="249"/>
      <c r="AZ309" s="249"/>
      <c r="BA309" s="249"/>
      <c r="BB309" s="249"/>
      <c r="BC309" s="249"/>
      <c r="BD309" s="249"/>
      <c r="BE309" s="249"/>
      <c r="BF309" s="249"/>
      <c r="BG309" s="249"/>
      <c r="BH309" s="249"/>
      <c r="BI309" s="249"/>
      <c r="BJ309" s="249"/>
      <c r="BK309" s="249"/>
      <c r="BL309" s="249"/>
      <c r="BM309" s="249"/>
      <c r="BN309" s="249"/>
      <c r="BO309" s="249"/>
      <c r="BP309" s="249"/>
      <c r="BQ309" s="249"/>
    </row>
    <row r="310" s="251" customFormat="1" hidden="1" customHeight="1" spans="1:69">
      <c r="A310" s="356"/>
      <c r="B310" s="356"/>
      <c r="C310" s="359"/>
      <c r="D310" s="356"/>
      <c r="E310" s="356"/>
      <c r="F310" s="356"/>
      <c r="G310" s="356"/>
      <c r="H310" s="356"/>
      <c r="I310" s="356"/>
      <c r="J310" s="356"/>
      <c r="K310" s="356"/>
      <c r="L310" s="356"/>
      <c r="M310" s="356"/>
      <c r="N310" s="356"/>
      <c r="O310" s="356"/>
      <c r="P310" s="356"/>
      <c r="Q310" s="356"/>
      <c r="R310" s="365"/>
      <c r="S310" s="356"/>
      <c r="T310" s="356"/>
      <c r="U310" s="356"/>
      <c r="V310" s="356"/>
      <c r="W310" s="356"/>
      <c r="X310" s="356"/>
      <c r="Y310" s="356"/>
      <c r="Z310" s="365"/>
      <c r="AA310" s="356"/>
      <c r="AB310" s="356"/>
      <c r="AC310" s="356"/>
      <c r="AD310" s="356"/>
      <c r="AE310" s="356"/>
      <c r="AF310" s="356"/>
      <c r="AG310" s="356"/>
      <c r="AH310" s="249"/>
      <c r="AI310" s="249"/>
      <c r="AJ310" s="249"/>
      <c r="AK310" s="249"/>
      <c r="AL310" s="249"/>
      <c r="AM310" s="249"/>
      <c r="AN310" s="249"/>
      <c r="AO310" s="249"/>
      <c r="AP310" s="249"/>
      <c r="AQ310" s="249"/>
      <c r="AR310" s="249"/>
      <c r="AS310" s="249"/>
      <c r="AT310" s="249"/>
      <c r="AU310" s="249"/>
      <c r="AV310" s="249"/>
      <c r="AW310" s="249"/>
      <c r="AX310" s="249"/>
      <c r="AY310" s="249"/>
      <c r="AZ310" s="249"/>
      <c r="BA310" s="249"/>
      <c r="BB310" s="249"/>
      <c r="BC310" s="249"/>
      <c r="BD310" s="249"/>
      <c r="BE310" s="249"/>
      <c r="BF310" s="249"/>
      <c r="BG310" s="249"/>
      <c r="BH310" s="249"/>
      <c r="BI310" s="249"/>
      <c r="BJ310" s="249"/>
      <c r="BK310" s="249"/>
      <c r="BL310" s="249"/>
      <c r="BM310" s="249"/>
      <c r="BN310" s="249"/>
      <c r="BO310" s="249"/>
      <c r="BP310" s="249"/>
      <c r="BQ310" s="249"/>
    </row>
    <row r="311" s="251" customFormat="1" hidden="1" customHeight="1" spans="1:69">
      <c r="A311" s="356"/>
      <c r="B311" s="356"/>
      <c r="C311" s="359"/>
      <c r="D311" s="356"/>
      <c r="E311" s="356"/>
      <c r="F311" s="356"/>
      <c r="G311" s="356"/>
      <c r="H311" s="356"/>
      <c r="I311" s="356"/>
      <c r="J311" s="356"/>
      <c r="K311" s="356"/>
      <c r="L311" s="356"/>
      <c r="M311" s="356"/>
      <c r="N311" s="356"/>
      <c r="O311" s="356"/>
      <c r="P311" s="356"/>
      <c r="Q311" s="356"/>
      <c r="R311" s="365"/>
      <c r="S311" s="356"/>
      <c r="T311" s="356"/>
      <c r="U311" s="356"/>
      <c r="V311" s="356"/>
      <c r="W311" s="356"/>
      <c r="X311" s="356"/>
      <c r="Y311" s="356"/>
      <c r="Z311" s="365"/>
      <c r="AA311" s="356"/>
      <c r="AB311" s="356"/>
      <c r="AC311" s="356"/>
      <c r="AD311" s="356"/>
      <c r="AE311" s="356"/>
      <c r="AF311" s="356"/>
      <c r="AG311" s="356"/>
      <c r="AH311" s="249"/>
      <c r="AI311" s="249"/>
      <c r="AJ311" s="249"/>
      <c r="AK311" s="249"/>
      <c r="AL311" s="249"/>
      <c r="AM311" s="249"/>
      <c r="AN311" s="249"/>
      <c r="AO311" s="249"/>
      <c r="AP311" s="249"/>
      <c r="AQ311" s="249"/>
      <c r="AR311" s="249"/>
      <c r="AS311" s="249"/>
      <c r="AT311" s="249"/>
      <c r="AU311" s="249"/>
      <c r="AV311" s="249"/>
      <c r="AW311" s="249"/>
      <c r="AX311" s="249"/>
      <c r="AY311" s="249"/>
      <c r="AZ311" s="249"/>
      <c r="BA311" s="249"/>
      <c r="BB311" s="249"/>
      <c r="BC311" s="249"/>
      <c r="BD311" s="249"/>
      <c r="BE311" s="249"/>
      <c r="BF311" s="249"/>
      <c r="BG311" s="249"/>
      <c r="BH311" s="249"/>
      <c r="BI311" s="249"/>
      <c r="BJ311" s="249"/>
      <c r="BK311" s="249"/>
      <c r="BL311" s="249"/>
      <c r="BM311" s="249"/>
      <c r="BN311" s="249"/>
      <c r="BO311" s="249"/>
      <c r="BP311" s="249"/>
      <c r="BQ311" s="249"/>
    </row>
    <row r="312" s="251" customFormat="1" hidden="1" customHeight="1" spans="1:69">
      <c r="A312" s="356"/>
      <c r="B312" s="356"/>
      <c r="C312" s="359"/>
      <c r="D312" s="356"/>
      <c r="E312" s="356"/>
      <c r="F312" s="356"/>
      <c r="G312" s="356"/>
      <c r="H312" s="356"/>
      <c r="I312" s="356"/>
      <c r="J312" s="356"/>
      <c r="K312" s="356"/>
      <c r="L312" s="356"/>
      <c r="M312" s="356"/>
      <c r="N312" s="356"/>
      <c r="O312" s="356"/>
      <c r="P312" s="356"/>
      <c r="Q312" s="356"/>
      <c r="R312" s="365"/>
      <c r="S312" s="356"/>
      <c r="T312" s="356"/>
      <c r="U312" s="356"/>
      <c r="V312" s="356"/>
      <c r="W312" s="356"/>
      <c r="X312" s="356"/>
      <c r="Y312" s="356"/>
      <c r="Z312" s="365"/>
      <c r="AA312" s="356"/>
      <c r="AB312" s="356"/>
      <c r="AC312" s="356"/>
      <c r="AD312" s="356"/>
      <c r="AE312" s="356"/>
      <c r="AF312" s="356"/>
      <c r="AG312" s="356"/>
      <c r="AH312" s="249"/>
      <c r="AI312" s="249"/>
      <c r="AJ312" s="249"/>
      <c r="AK312" s="249"/>
      <c r="AL312" s="249"/>
      <c r="AM312" s="249"/>
      <c r="AN312" s="249"/>
      <c r="AO312" s="249"/>
      <c r="AP312" s="249"/>
      <c r="AQ312" s="249"/>
      <c r="AR312" s="249"/>
      <c r="AS312" s="249"/>
      <c r="AT312" s="249"/>
      <c r="AU312" s="249"/>
      <c r="AV312" s="249"/>
      <c r="AW312" s="249"/>
      <c r="AX312" s="249"/>
      <c r="AY312" s="249"/>
      <c r="AZ312" s="249"/>
      <c r="BA312" s="249"/>
      <c r="BB312" s="249"/>
      <c r="BC312" s="249"/>
      <c r="BD312" s="249"/>
      <c r="BE312" s="249"/>
      <c r="BF312" s="249"/>
      <c r="BG312" s="249"/>
      <c r="BH312" s="249"/>
      <c r="BI312" s="249"/>
      <c r="BJ312" s="249"/>
      <c r="BK312" s="249"/>
      <c r="BL312" s="249"/>
      <c r="BM312" s="249"/>
      <c r="BN312" s="249"/>
      <c r="BO312" s="249"/>
      <c r="BP312" s="249"/>
      <c r="BQ312" s="249"/>
    </row>
    <row r="313" s="251" customFormat="1" hidden="1" customHeight="1" spans="1:69">
      <c r="A313" s="356"/>
      <c r="B313" s="356"/>
      <c r="C313" s="359"/>
      <c r="D313" s="356"/>
      <c r="E313" s="356"/>
      <c r="F313" s="356"/>
      <c r="G313" s="356"/>
      <c r="H313" s="356"/>
      <c r="I313" s="356"/>
      <c r="J313" s="356"/>
      <c r="K313" s="356"/>
      <c r="L313" s="356"/>
      <c r="M313" s="356"/>
      <c r="N313" s="356"/>
      <c r="O313" s="356"/>
      <c r="P313" s="356"/>
      <c r="Q313" s="356"/>
      <c r="R313" s="365"/>
      <c r="S313" s="356"/>
      <c r="T313" s="356"/>
      <c r="U313" s="356"/>
      <c r="V313" s="356"/>
      <c r="W313" s="356"/>
      <c r="X313" s="356"/>
      <c r="Y313" s="356"/>
      <c r="Z313" s="365"/>
      <c r="AA313" s="356"/>
      <c r="AB313" s="356"/>
      <c r="AC313" s="356"/>
      <c r="AD313" s="356"/>
      <c r="AE313" s="356"/>
      <c r="AF313" s="356"/>
      <c r="AG313" s="356"/>
      <c r="AH313" s="249"/>
      <c r="AI313" s="249"/>
      <c r="AJ313" s="249"/>
      <c r="AK313" s="249"/>
      <c r="AL313" s="249"/>
      <c r="AM313" s="249"/>
      <c r="AN313" s="249"/>
      <c r="AO313" s="249"/>
      <c r="AP313" s="249"/>
      <c r="AQ313" s="249"/>
      <c r="AR313" s="249"/>
      <c r="AS313" s="249"/>
      <c r="AT313" s="249"/>
      <c r="AU313" s="249"/>
      <c r="AV313" s="249"/>
      <c r="AW313" s="249"/>
      <c r="AX313" s="249"/>
      <c r="AY313" s="249"/>
      <c r="AZ313" s="249"/>
      <c r="BA313" s="249"/>
      <c r="BB313" s="249"/>
      <c r="BC313" s="249"/>
      <c r="BD313" s="249"/>
      <c r="BE313" s="249"/>
      <c r="BF313" s="249"/>
      <c r="BG313" s="249"/>
      <c r="BH313" s="249"/>
      <c r="BI313" s="249"/>
      <c r="BJ313" s="249"/>
      <c r="BK313" s="249"/>
      <c r="BL313" s="249"/>
      <c r="BM313" s="249"/>
      <c r="BN313" s="249"/>
      <c r="BO313" s="249"/>
      <c r="BP313" s="249"/>
      <c r="BQ313" s="249"/>
    </row>
    <row r="314" s="251" customFormat="1" hidden="1" customHeight="1" spans="1:69">
      <c r="A314" s="356"/>
      <c r="B314" s="356"/>
      <c r="C314" s="359"/>
      <c r="D314" s="356"/>
      <c r="E314" s="356"/>
      <c r="F314" s="356"/>
      <c r="G314" s="356"/>
      <c r="H314" s="356"/>
      <c r="I314" s="356"/>
      <c r="J314" s="356"/>
      <c r="K314" s="356"/>
      <c r="L314" s="356"/>
      <c r="M314" s="356"/>
      <c r="N314" s="356"/>
      <c r="O314" s="356"/>
      <c r="P314" s="356"/>
      <c r="Q314" s="356"/>
      <c r="R314" s="365"/>
      <c r="S314" s="356"/>
      <c r="T314" s="356"/>
      <c r="U314" s="356"/>
      <c r="V314" s="356"/>
      <c r="W314" s="356"/>
      <c r="X314" s="356"/>
      <c r="Y314" s="356"/>
      <c r="Z314" s="365"/>
      <c r="AA314" s="356"/>
      <c r="AB314" s="356"/>
      <c r="AC314" s="356"/>
      <c r="AD314" s="356"/>
      <c r="AE314" s="356"/>
      <c r="AF314" s="356"/>
      <c r="AG314" s="356"/>
      <c r="AH314" s="249"/>
      <c r="AI314" s="249"/>
      <c r="AJ314" s="249"/>
      <c r="AK314" s="249"/>
      <c r="AL314" s="249"/>
      <c r="AM314" s="249"/>
      <c r="AN314" s="249"/>
      <c r="AO314" s="249"/>
      <c r="AP314" s="249"/>
      <c r="AQ314" s="249"/>
      <c r="AR314" s="249"/>
      <c r="AS314" s="249"/>
      <c r="AT314" s="249"/>
      <c r="AU314" s="249"/>
      <c r="AV314" s="249"/>
      <c r="AW314" s="249"/>
      <c r="AX314" s="249"/>
      <c r="AY314" s="249"/>
      <c r="AZ314" s="249"/>
      <c r="BA314" s="249"/>
      <c r="BB314" s="249"/>
      <c r="BC314" s="249"/>
      <c r="BD314" s="249"/>
      <c r="BE314" s="249"/>
      <c r="BF314" s="249"/>
      <c r="BG314" s="249"/>
      <c r="BH314" s="249"/>
      <c r="BI314" s="249"/>
      <c r="BJ314" s="249"/>
      <c r="BK314" s="249"/>
      <c r="BL314" s="249"/>
      <c r="BM314" s="249"/>
      <c r="BN314" s="249"/>
      <c r="BO314" s="249"/>
      <c r="BP314" s="249"/>
      <c r="BQ314" s="249"/>
    </row>
    <row r="315" s="251" customFormat="1" hidden="1" customHeight="1" spans="1:69">
      <c r="A315" s="356"/>
      <c r="B315" s="356"/>
      <c r="C315" s="359"/>
      <c r="D315" s="356"/>
      <c r="E315" s="356"/>
      <c r="F315" s="356"/>
      <c r="G315" s="356"/>
      <c r="H315" s="356"/>
      <c r="I315" s="356"/>
      <c r="J315" s="356"/>
      <c r="K315" s="356"/>
      <c r="L315" s="356"/>
      <c r="M315" s="356"/>
      <c r="N315" s="356"/>
      <c r="O315" s="356"/>
      <c r="P315" s="356"/>
      <c r="Q315" s="356"/>
      <c r="R315" s="365"/>
      <c r="S315" s="356"/>
      <c r="T315" s="356"/>
      <c r="U315" s="356"/>
      <c r="V315" s="356"/>
      <c r="W315" s="356"/>
      <c r="X315" s="356"/>
      <c r="Y315" s="356"/>
      <c r="Z315" s="365"/>
      <c r="AA315" s="356"/>
      <c r="AB315" s="356"/>
      <c r="AC315" s="356"/>
      <c r="AD315" s="356"/>
      <c r="AE315" s="356"/>
      <c r="AF315" s="356"/>
      <c r="AG315" s="356"/>
      <c r="AH315" s="249"/>
      <c r="AI315" s="249"/>
      <c r="AJ315" s="249"/>
      <c r="AK315" s="249"/>
      <c r="AL315" s="249"/>
      <c r="AM315" s="249"/>
      <c r="AN315" s="249"/>
      <c r="AO315" s="249"/>
      <c r="AP315" s="249"/>
      <c r="AQ315" s="249"/>
      <c r="AR315" s="249"/>
      <c r="AS315" s="249"/>
      <c r="AT315" s="249"/>
      <c r="AU315" s="249"/>
      <c r="AV315" s="249"/>
      <c r="AW315" s="249"/>
      <c r="AX315" s="249"/>
      <c r="AY315" s="249"/>
      <c r="AZ315" s="249"/>
      <c r="BA315" s="249"/>
      <c r="BB315" s="249"/>
      <c r="BC315" s="249"/>
      <c r="BD315" s="249"/>
      <c r="BE315" s="249"/>
      <c r="BF315" s="249"/>
      <c r="BG315" s="249"/>
      <c r="BH315" s="249"/>
      <c r="BI315" s="249"/>
      <c r="BJ315" s="249"/>
      <c r="BK315" s="249"/>
      <c r="BL315" s="249"/>
      <c r="BM315" s="249"/>
      <c r="BN315" s="249"/>
      <c r="BO315" s="249"/>
      <c r="BP315" s="249"/>
      <c r="BQ315" s="249"/>
    </row>
    <row r="316" s="251" customFormat="1" hidden="1" customHeight="1" spans="1:69">
      <c r="A316" s="356"/>
      <c r="B316" s="356"/>
      <c r="C316" s="359"/>
      <c r="D316" s="356"/>
      <c r="E316" s="356"/>
      <c r="F316" s="356"/>
      <c r="G316" s="356"/>
      <c r="H316" s="356"/>
      <c r="I316" s="356"/>
      <c r="J316" s="356"/>
      <c r="K316" s="356"/>
      <c r="L316" s="356"/>
      <c r="M316" s="356"/>
      <c r="N316" s="356"/>
      <c r="O316" s="356"/>
      <c r="P316" s="356"/>
      <c r="Q316" s="356"/>
      <c r="R316" s="365"/>
      <c r="S316" s="356"/>
      <c r="T316" s="356"/>
      <c r="U316" s="356"/>
      <c r="V316" s="356"/>
      <c r="W316" s="356"/>
      <c r="X316" s="356"/>
      <c r="Y316" s="356"/>
      <c r="Z316" s="365"/>
      <c r="AA316" s="356"/>
      <c r="AB316" s="356"/>
      <c r="AC316" s="356"/>
      <c r="AD316" s="356"/>
      <c r="AE316" s="356"/>
      <c r="AF316" s="356"/>
      <c r="AG316" s="356"/>
      <c r="AH316" s="249"/>
      <c r="AI316" s="249"/>
      <c r="AJ316" s="249"/>
      <c r="AK316" s="249"/>
      <c r="AL316" s="249"/>
      <c r="AM316" s="249"/>
      <c r="AN316" s="249"/>
      <c r="AO316" s="249"/>
      <c r="AP316" s="249"/>
      <c r="AQ316" s="249"/>
      <c r="AR316" s="249"/>
      <c r="AS316" s="249"/>
      <c r="AT316" s="249"/>
      <c r="AU316" s="249"/>
      <c r="AV316" s="249"/>
      <c r="AW316" s="249"/>
      <c r="AX316" s="249"/>
      <c r="AY316" s="249"/>
      <c r="AZ316" s="249"/>
      <c r="BA316" s="249"/>
      <c r="BB316" s="249"/>
      <c r="BC316" s="249"/>
      <c r="BD316" s="249"/>
      <c r="BE316" s="249"/>
      <c r="BF316" s="249"/>
      <c r="BG316" s="249"/>
      <c r="BH316" s="249"/>
      <c r="BI316" s="249"/>
      <c r="BJ316" s="249"/>
      <c r="BK316" s="249"/>
      <c r="BL316" s="249"/>
      <c r="BM316" s="249"/>
      <c r="BN316" s="249"/>
      <c r="BO316" s="249"/>
      <c r="BP316" s="249"/>
      <c r="BQ316" s="249"/>
    </row>
    <row r="317" s="251" customFormat="1" hidden="1" customHeight="1" spans="1:69">
      <c r="A317" s="356"/>
      <c r="B317" s="356"/>
      <c r="C317" s="359"/>
      <c r="D317" s="356"/>
      <c r="E317" s="356"/>
      <c r="F317" s="356"/>
      <c r="G317" s="356"/>
      <c r="H317" s="356"/>
      <c r="I317" s="356"/>
      <c r="J317" s="356"/>
      <c r="K317" s="356"/>
      <c r="L317" s="356"/>
      <c r="M317" s="356"/>
      <c r="N317" s="356"/>
      <c r="O317" s="356"/>
      <c r="P317" s="356"/>
      <c r="Q317" s="356"/>
      <c r="R317" s="365"/>
      <c r="S317" s="356"/>
      <c r="T317" s="356"/>
      <c r="U317" s="356"/>
      <c r="V317" s="356"/>
      <c r="W317" s="356"/>
      <c r="X317" s="356"/>
      <c r="Y317" s="356"/>
      <c r="Z317" s="365"/>
      <c r="AA317" s="356"/>
      <c r="AB317" s="356"/>
      <c r="AC317" s="356"/>
      <c r="AD317" s="356"/>
      <c r="AE317" s="356"/>
      <c r="AF317" s="356"/>
      <c r="AG317" s="356"/>
      <c r="AH317" s="249"/>
      <c r="AI317" s="249"/>
      <c r="AJ317" s="249"/>
      <c r="AK317" s="249"/>
      <c r="AL317" s="249"/>
      <c r="AM317" s="249"/>
      <c r="AN317" s="249"/>
      <c r="AO317" s="249"/>
      <c r="AP317" s="249"/>
      <c r="AQ317" s="249"/>
      <c r="AR317" s="249"/>
      <c r="AS317" s="249"/>
      <c r="AT317" s="249"/>
      <c r="AU317" s="249"/>
      <c r="AV317" s="249"/>
      <c r="AW317" s="249"/>
      <c r="AX317" s="249"/>
      <c r="AY317" s="249"/>
      <c r="AZ317" s="249"/>
      <c r="BA317" s="249"/>
      <c r="BB317" s="249"/>
      <c r="BC317" s="249"/>
      <c r="BD317" s="249"/>
      <c r="BE317" s="249"/>
      <c r="BF317" s="249"/>
      <c r="BG317" s="249"/>
      <c r="BH317" s="249"/>
      <c r="BI317" s="249"/>
      <c r="BJ317" s="249"/>
      <c r="BK317" s="249"/>
      <c r="BL317" s="249"/>
      <c r="BM317" s="249"/>
      <c r="BN317" s="249"/>
      <c r="BO317" s="249"/>
      <c r="BP317" s="249"/>
      <c r="BQ317" s="249"/>
    </row>
    <row r="318" s="251" customFormat="1" hidden="1" customHeight="1" spans="1:69">
      <c r="A318" s="356"/>
      <c r="B318" s="356"/>
      <c r="C318" s="359"/>
      <c r="D318" s="356"/>
      <c r="E318" s="356"/>
      <c r="F318" s="356"/>
      <c r="G318" s="356"/>
      <c r="H318" s="356"/>
      <c r="I318" s="356"/>
      <c r="J318" s="356"/>
      <c r="K318" s="356"/>
      <c r="L318" s="356"/>
      <c r="M318" s="356"/>
      <c r="N318" s="356"/>
      <c r="O318" s="356"/>
      <c r="P318" s="356"/>
      <c r="Q318" s="356"/>
      <c r="R318" s="365"/>
      <c r="S318" s="356"/>
      <c r="T318" s="356"/>
      <c r="U318" s="356"/>
      <c r="V318" s="356"/>
      <c r="W318" s="356"/>
      <c r="X318" s="356"/>
      <c r="Y318" s="356"/>
      <c r="Z318" s="365"/>
      <c r="AA318" s="356"/>
      <c r="AB318" s="356"/>
      <c r="AC318" s="356"/>
      <c r="AD318" s="356"/>
      <c r="AE318" s="356"/>
      <c r="AF318" s="356"/>
      <c r="AG318" s="356"/>
      <c r="AH318" s="249"/>
      <c r="AI318" s="249"/>
      <c r="AJ318" s="249"/>
      <c r="AK318" s="249"/>
      <c r="AL318" s="249"/>
      <c r="AM318" s="249"/>
      <c r="AN318" s="249"/>
      <c r="AO318" s="249"/>
      <c r="AP318" s="249"/>
      <c r="AQ318" s="249"/>
      <c r="AR318" s="249"/>
      <c r="AS318" s="249"/>
      <c r="AT318" s="249"/>
      <c r="AU318" s="249"/>
      <c r="AV318" s="249"/>
      <c r="AW318" s="249"/>
      <c r="AX318" s="249"/>
      <c r="AY318" s="249"/>
      <c r="AZ318" s="249"/>
      <c r="BA318" s="249"/>
      <c r="BB318" s="249"/>
      <c r="BC318" s="249"/>
      <c r="BD318" s="249"/>
      <c r="BE318" s="249"/>
      <c r="BF318" s="249"/>
      <c r="BG318" s="249"/>
      <c r="BH318" s="249"/>
      <c r="BI318" s="249"/>
      <c r="BJ318" s="249"/>
      <c r="BK318" s="249"/>
      <c r="BL318" s="249"/>
      <c r="BM318" s="249"/>
      <c r="BN318" s="249"/>
      <c r="BO318" s="249"/>
      <c r="BP318" s="249"/>
      <c r="BQ318" s="249"/>
    </row>
    <row r="319" s="251" customFormat="1" hidden="1" customHeight="1" spans="1:69">
      <c r="A319" s="356"/>
      <c r="B319" s="356"/>
      <c r="C319" s="359"/>
      <c r="D319" s="356"/>
      <c r="E319" s="356"/>
      <c r="F319" s="356"/>
      <c r="G319" s="356"/>
      <c r="H319" s="356"/>
      <c r="I319" s="356"/>
      <c r="J319" s="356"/>
      <c r="K319" s="356"/>
      <c r="L319" s="356"/>
      <c r="M319" s="356"/>
      <c r="N319" s="356"/>
      <c r="O319" s="356"/>
      <c r="P319" s="356"/>
      <c r="Q319" s="356"/>
      <c r="R319" s="365"/>
      <c r="S319" s="356"/>
      <c r="T319" s="356"/>
      <c r="U319" s="356"/>
      <c r="V319" s="356"/>
      <c r="W319" s="356"/>
      <c r="X319" s="356"/>
      <c r="Y319" s="356"/>
      <c r="Z319" s="365"/>
      <c r="AA319" s="356"/>
      <c r="AB319" s="356"/>
      <c r="AC319" s="356"/>
      <c r="AD319" s="356"/>
      <c r="AE319" s="356"/>
      <c r="AF319" s="356"/>
      <c r="AG319" s="356"/>
      <c r="AH319" s="249"/>
      <c r="AI319" s="249"/>
      <c r="AJ319" s="249"/>
      <c r="AK319" s="249"/>
      <c r="AL319" s="249"/>
      <c r="AM319" s="249"/>
      <c r="AN319" s="249"/>
      <c r="AO319" s="249"/>
      <c r="AP319" s="249"/>
      <c r="AQ319" s="249"/>
      <c r="AR319" s="249"/>
      <c r="AS319" s="249"/>
      <c r="AT319" s="249"/>
      <c r="AU319" s="249"/>
      <c r="AV319" s="249"/>
      <c r="AW319" s="249"/>
      <c r="AX319" s="249"/>
      <c r="AY319" s="249"/>
      <c r="AZ319" s="249"/>
      <c r="BA319" s="249"/>
      <c r="BB319" s="249"/>
      <c r="BC319" s="249"/>
      <c r="BD319" s="249"/>
      <c r="BE319" s="249"/>
      <c r="BF319" s="249"/>
      <c r="BG319" s="249"/>
      <c r="BH319" s="249"/>
      <c r="BI319" s="249"/>
      <c r="BJ319" s="249"/>
      <c r="BK319" s="249"/>
      <c r="BL319" s="249"/>
      <c r="BM319" s="249"/>
      <c r="BN319" s="249"/>
      <c r="BO319" s="249"/>
      <c r="BP319" s="249"/>
      <c r="BQ319" s="249"/>
    </row>
    <row r="320" s="251" customFormat="1" hidden="1" customHeight="1" spans="1:69">
      <c r="A320" s="356"/>
      <c r="B320" s="356"/>
      <c r="C320" s="359"/>
      <c r="D320" s="356"/>
      <c r="E320" s="356"/>
      <c r="F320" s="356"/>
      <c r="G320" s="356"/>
      <c r="H320" s="356"/>
      <c r="I320" s="356"/>
      <c r="J320" s="356"/>
      <c r="K320" s="356"/>
      <c r="L320" s="356"/>
      <c r="M320" s="356"/>
      <c r="N320" s="356"/>
      <c r="O320" s="356"/>
      <c r="P320" s="356"/>
      <c r="Q320" s="356"/>
      <c r="R320" s="365"/>
      <c r="S320" s="356"/>
      <c r="T320" s="356"/>
      <c r="U320" s="356"/>
      <c r="V320" s="356"/>
      <c r="W320" s="356"/>
      <c r="X320" s="356"/>
      <c r="Y320" s="356"/>
      <c r="Z320" s="365"/>
      <c r="AA320" s="356"/>
      <c r="AB320" s="356"/>
      <c r="AC320" s="356"/>
      <c r="AD320" s="356"/>
      <c r="AE320" s="356"/>
      <c r="AF320" s="356"/>
      <c r="AG320" s="356"/>
      <c r="AH320" s="249"/>
      <c r="AI320" s="249"/>
      <c r="AJ320" s="249"/>
      <c r="AK320" s="249"/>
      <c r="AL320" s="249"/>
      <c r="AM320" s="249"/>
      <c r="AN320" s="249"/>
      <c r="AO320" s="249"/>
      <c r="AP320" s="249"/>
      <c r="AQ320" s="249"/>
      <c r="AR320" s="249"/>
      <c r="AS320" s="249"/>
      <c r="AT320" s="249"/>
      <c r="AU320" s="249"/>
      <c r="AV320" s="249"/>
      <c r="AW320" s="249"/>
      <c r="AX320" s="249"/>
      <c r="AY320" s="249"/>
      <c r="AZ320" s="249"/>
      <c r="BA320" s="249"/>
      <c r="BB320" s="249"/>
      <c r="BC320" s="249"/>
      <c r="BD320" s="249"/>
      <c r="BE320" s="249"/>
      <c r="BF320" s="249"/>
      <c r="BG320" s="249"/>
      <c r="BH320" s="249"/>
      <c r="BI320" s="249"/>
      <c r="BJ320" s="249"/>
      <c r="BK320" s="249"/>
      <c r="BL320" s="249"/>
      <c r="BM320" s="249"/>
      <c r="BN320" s="249"/>
      <c r="BO320" s="249"/>
      <c r="BP320" s="249"/>
      <c r="BQ320" s="249"/>
    </row>
    <row r="321" s="251" customFormat="1" hidden="1" customHeight="1" spans="1:69">
      <c r="A321" s="356"/>
      <c r="B321" s="356"/>
      <c r="C321" s="359"/>
      <c r="D321" s="356"/>
      <c r="E321" s="356"/>
      <c r="F321" s="356"/>
      <c r="G321" s="356"/>
      <c r="H321" s="356"/>
      <c r="I321" s="356"/>
      <c r="J321" s="356"/>
      <c r="K321" s="356"/>
      <c r="L321" s="356"/>
      <c r="M321" s="356"/>
      <c r="N321" s="356"/>
      <c r="O321" s="356"/>
      <c r="P321" s="356"/>
      <c r="Q321" s="356"/>
      <c r="R321" s="365"/>
      <c r="S321" s="356"/>
      <c r="T321" s="356"/>
      <c r="U321" s="356"/>
      <c r="V321" s="356"/>
      <c r="W321" s="356"/>
      <c r="X321" s="356"/>
      <c r="Y321" s="356"/>
      <c r="Z321" s="365"/>
      <c r="AA321" s="356"/>
      <c r="AB321" s="356"/>
      <c r="AC321" s="356"/>
      <c r="AD321" s="356"/>
      <c r="AE321" s="356"/>
      <c r="AF321" s="356"/>
      <c r="AG321" s="356"/>
      <c r="AH321" s="249"/>
      <c r="AI321" s="249"/>
      <c r="AJ321" s="249"/>
      <c r="AK321" s="249"/>
      <c r="AL321" s="249"/>
      <c r="AM321" s="249"/>
      <c r="AN321" s="249"/>
      <c r="AO321" s="249"/>
      <c r="AP321" s="249"/>
      <c r="AQ321" s="249"/>
      <c r="AR321" s="249"/>
      <c r="AS321" s="249"/>
      <c r="AT321" s="249"/>
      <c r="AU321" s="249"/>
      <c r="AV321" s="249"/>
      <c r="AW321" s="249"/>
      <c r="AX321" s="249"/>
      <c r="AY321" s="249"/>
      <c r="AZ321" s="249"/>
      <c r="BA321" s="249"/>
      <c r="BB321" s="249"/>
      <c r="BC321" s="249"/>
      <c r="BD321" s="249"/>
      <c r="BE321" s="249"/>
      <c r="BF321" s="249"/>
      <c r="BG321" s="249"/>
      <c r="BH321" s="249"/>
      <c r="BI321" s="249"/>
      <c r="BJ321" s="249"/>
      <c r="BK321" s="249"/>
      <c r="BL321" s="249"/>
      <c r="BM321" s="249"/>
      <c r="BN321" s="249"/>
      <c r="BO321" s="249"/>
      <c r="BP321" s="249"/>
      <c r="BQ321" s="249"/>
    </row>
    <row r="322" s="251" customFormat="1" hidden="1" customHeight="1" spans="1:69">
      <c r="A322" s="356"/>
      <c r="B322" s="356"/>
      <c r="C322" s="359"/>
      <c r="D322" s="356"/>
      <c r="E322" s="356"/>
      <c r="F322" s="356"/>
      <c r="G322" s="356"/>
      <c r="H322" s="356"/>
      <c r="I322" s="356"/>
      <c r="J322" s="356"/>
      <c r="K322" s="356"/>
      <c r="L322" s="356"/>
      <c r="M322" s="356"/>
      <c r="N322" s="356"/>
      <c r="O322" s="356"/>
      <c r="P322" s="356"/>
      <c r="Q322" s="356"/>
      <c r="R322" s="365"/>
      <c r="S322" s="356"/>
      <c r="T322" s="356"/>
      <c r="U322" s="356"/>
      <c r="V322" s="356"/>
      <c r="W322" s="356"/>
      <c r="X322" s="356"/>
      <c r="Y322" s="356"/>
      <c r="Z322" s="365"/>
      <c r="AA322" s="356"/>
      <c r="AB322" s="356"/>
      <c r="AC322" s="356"/>
      <c r="AD322" s="356"/>
      <c r="AE322" s="356"/>
      <c r="AF322" s="356"/>
      <c r="AG322" s="356"/>
      <c r="AH322" s="249"/>
      <c r="AI322" s="249"/>
      <c r="AJ322" s="249"/>
      <c r="AK322" s="249"/>
      <c r="AL322" s="249"/>
      <c r="AM322" s="249"/>
      <c r="AN322" s="249"/>
      <c r="AO322" s="249"/>
      <c r="AP322" s="249"/>
      <c r="AQ322" s="249"/>
      <c r="AR322" s="249"/>
      <c r="AS322" s="249"/>
      <c r="AT322" s="249"/>
      <c r="AU322" s="249"/>
      <c r="AV322" s="249"/>
      <c r="AW322" s="249"/>
      <c r="AX322" s="249"/>
      <c r="AY322" s="249"/>
      <c r="AZ322" s="249"/>
      <c r="BA322" s="249"/>
      <c r="BB322" s="249"/>
      <c r="BC322" s="249"/>
      <c r="BD322" s="249"/>
      <c r="BE322" s="249"/>
      <c r="BF322" s="249"/>
      <c r="BG322" s="249"/>
      <c r="BH322" s="249"/>
      <c r="BI322" s="249"/>
      <c r="BJ322" s="249"/>
      <c r="BK322" s="249"/>
      <c r="BL322" s="249"/>
      <c r="BM322" s="249"/>
      <c r="BN322" s="249"/>
      <c r="BO322" s="249"/>
      <c r="BP322" s="249"/>
      <c r="BQ322" s="249"/>
    </row>
    <row r="323" s="251" customFormat="1" hidden="1" customHeight="1" spans="1:69">
      <c r="A323" s="356"/>
      <c r="B323" s="356"/>
      <c r="C323" s="359"/>
      <c r="D323" s="356"/>
      <c r="E323" s="356"/>
      <c r="F323" s="356"/>
      <c r="G323" s="356"/>
      <c r="H323" s="356"/>
      <c r="I323" s="356"/>
      <c r="J323" s="356"/>
      <c r="K323" s="356"/>
      <c r="L323" s="356"/>
      <c r="M323" s="356"/>
      <c r="N323" s="356"/>
      <c r="O323" s="356"/>
      <c r="P323" s="356"/>
      <c r="Q323" s="356"/>
      <c r="R323" s="365"/>
      <c r="S323" s="356"/>
      <c r="T323" s="356"/>
      <c r="U323" s="356"/>
      <c r="V323" s="356"/>
      <c r="W323" s="356"/>
      <c r="X323" s="356"/>
      <c r="Y323" s="356"/>
      <c r="Z323" s="365"/>
      <c r="AA323" s="356"/>
      <c r="AB323" s="356"/>
      <c r="AC323" s="356"/>
      <c r="AD323" s="356"/>
      <c r="AE323" s="356"/>
      <c r="AF323" s="356"/>
      <c r="AG323" s="356"/>
      <c r="AH323" s="249"/>
      <c r="AI323" s="249"/>
      <c r="AJ323" s="249"/>
      <c r="AK323" s="249"/>
      <c r="AL323" s="249"/>
      <c r="AM323" s="249"/>
      <c r="AN323" s="249"/>
      <c r="AO323" s="249"/>
      <c r="AP323" s="249"/>
      <c r="AQ323" s="249"/>
      <c r="AR323" s="249"/>
      <c r="AS323" s="249"/>
      <c r="AT323" s="249"/>
      <c r="AU323" s="249"/>
      <c r="AV323" s="249"/>
      <c r="AW323" s="249"/>
      <c r="AX323" s="249"/>
      <c r="AY323" s="249"/>
      <c r="AZ323" s="249"/>
      <c r="BA323" s="249"/>
      <c r="BB323" s="249"/>
      <c r="BC323" s="249"/>
      <c r="BD323" s="249"/>
      <c r="BE323" s="249"/>
      <c r="BF323" s="249"/>
      <c r="BG323" s="249"/>
      <c r="BH323" s="249"/>
      <c r="BI323" s="249"/>
      <c r="BJ323" s="249"/>
      <c r="BK323" s="249"/>
      <c r="BL323" s="249"/>
      <c r="BM323" s="249"/>
      <c r="BN323" s="249"/>
      <c r="BO323" s="249"/>
      <c r="BP323" s="249"/>
      <c r="BQ323" s="249"/>
    </row>
    <row r="324" s="251" customFormat="1" hidden="1" customHeight="1" spans="1:69">
      <c r="A324" s="356"/>
      <c r="B324" s="356"/>
      <c r="C324" s="359"/>
      <c r="D324" s="356"/>
      <c r="E324" s="356"/>
      <c r="F324" s="356"/>
      <c r="G324" s="356"/>
      <c r="H324" s="356"/>
      <c r="I324" s="356"/>
      <c r="J324" s="356"/>
      <c r="K324" s="356"/>
      <c r="L324" s="356"/>
      <c r="M324" s="356"/>
      <c r="N324" s="356"/>
      <c r="O324" s="356"/>
      <c r="P324" s="356"/>
      <c r="Q324" s="356"/>
      <c r="R324" s="365"/>
      <c r="S324" s="356"/>
      <c r="T324" s="356"/>
      <c r="U324" s="356"/>
      <c r="V324" s="356"/>
      <c r="W324" s="356"/>
      <c r="X324" s="356"/>
      <c r="Y324" s="356"/>
      <c r="Z324" s="365"/>
      <c r="AA324" s="356"/>
      <c r="AB324" s="356"/>
      <c r="AC324" s="356"/>
      <c r="AD324" s="356"/>
      <c r="AE324" s="356"/>
      <c r="AF324" s="356"/>
      <c r="AG324" s="356"/>
      <c r="AH324" s="249"/>
      <c r="AI324" s="249"/>
      <c r="AJ324" s="249"/>
      <c r="AK324" s="249"/>
      <c r="AL324" s="249"/>
      <c r="AM324" s="249"/>
      <c r="AN324" s="249"/>
      <c r="AO324" s="249"/>
      <c r="AP324" s="249"/>
      <c r="AQ324" s="249"/>
      <c r="AR324" s="249"/>
      <c r="AS324" s="249"/>
      <c r="AT324" s="249"/>
      <c r="AU324" s="249"/>
      <c r="AV324" s="249"/>
      <c r="AW324" s="249"/>
      <c r="AX324" s="249"/>
      <c r="AY324" s="249"/>
      <c r="AZ324" s="249"/>
      <c r="BA324" s="249"/>
      <c r="BB324" s="249"/>
      <c r="BC324" s="249"/>
      <c r="BD324" s="249"/>
      <c r="BE324" s="249"/>
      <c r="BF324" s="249"/>
      <c r="BG324" s="249"/>
      <c r="BH324" s="249"/>
      <c r="BI324" s="249"/>
      <c r="BJ324" s="249"/>
      <c r="BK324" s="249"/>
      <c r="BL324" s="249"/>
      <c r="BM324" s="249"/>
      <c r="BN324" s="249"/>
      <c r="BO324" s="249"/>
      <c r="BP324" s="249"/>
      <c r="BQ324" s="249"/>
    </row>
    <row r="325" s="251" customFormat="1" hidden="1" customHeight="1" spans="1:69">
      <c r="A325" s="356"/>
      <c r="B325" s="356"/>
      <c r="C325" s="359"/>
      <c r="D325" s="356"/>
      <c r="E325" s="356"/>
      <c r="F325" s="356"/>
      <c r="G325" s="356"/>
      <c r="H325" s="356"/>
      <c r="I325" s="356"/>
      <c r="J325" s="356"/>
      <c r="K325" s="356"/>
      <c r="L325" s="356"/>
      <c r="M325" s="356"/>
      <c r="N325" s="356"/>
      <c r="O325" s="356"/>
      <c r="P325" s="356"/>
      <c r="Q325" s="356"/>
      <c r="R325" s="365"/>
      <c r="S325" s="356"/>
      <c r="T325" s="356"/>
      <c r="U325" s="356"/>
      <c r="V325" s="356"/>
      <c r="W325" s="356"/>
      <c r="X325" s="356"/>
      <c r="Y325" s="356"/>
      <c r="Z325" s="365"/>
      <c r="AA325" s="356"/>
      <c r="AB325" s="356"/>
      <c r="AC325" s="356"/>
      <c r="AD325" s="356"/>
      <c r="AE325" s="356"/>
      <c r="AF325" s="356"/>
      <c r="AG325" s="356"/>
      <c r="AH325" s="249"/>
      <c r="AI325" s="249"/>
      <c r="AJ325" s="249"/>
      <c r="AK325" s="249"/>
      <c r="AL325" s="249"/>
      <c r="AM325" s="249"/>
      <c r="AN325" s="249"/>
      <c r="AO325" s="249"/>
      <c r="AP325" s="249"/>
      <c r="AQ325" s="249"/>
      <c r="AR325" s="249"/>
      <c r="AS325" s="249"/>
      <c r="AT325" s="249"/>
      <c r="AU325" s="249"/>
      <c r="AV325" s="249"/>
      <c r="AW325" s="249"/>
      <c r="AX325" s="249"/>
      <c r="AY325" s="249"/>
      <c r="AZ325" s="249"/>
      <c r="BA325" s="249"/>
      <c r="BB325" s="249"/>
      <c r="BC325" s="249"/>
      <c r="BD325" s="249"/>
      <c r="BE325" s="249"/>
      <c r="BF325" s="249"/>
      <c r="BG325" s="249"/>
      <c r="BH325" s="249"/>
      <c r="BI325" s="249"/>
      <c r="BJ325" s="249"/>
      <c r="BK325" s="249"/>
      <c r="BL325" s="249"/>
      <c r="BM325" s="249"/>
      <c r="BN325" s="249"/>
      <c r="BO325" s="249"/>
      <c r="BP325" s="249"/>
      <c r="BQ325" s="249"/>
    </row>
    <row r="326" s="251" customFormat="1" hidden="1" customHeight="1" spans="1:69">
      <c r="A326" s="356"/>
      <c r="B326" s="356"/>
      <c r="C326" s="359"/>
      <c r="D326" s="356"/>
      <c r="E326" s="356"/>
      <c r="F326" s="356"/>
      <c r="G326" s="356"/>
      <c r="H326" s="356"/>
      <c r="I326" s="356"/>
      <c r="J326" s="356"/>
      <c r="K326" s="356"/>
      <c r="L326" s="356"/>
      <c r="M326" s="356"/>
      <c r="N326" s="356"/>
      <c r="O326" s="356"/>
      <c r="P326" s="356"/>
      <c r="Q326" s="356"/>
      <c r="R326" s="365"/>
      <c r="S326" s="356"/>
      <c r="T326" s="356"/>
      <c r="U326" s="356"/>
      <c r="V326" s="356"/>
      <c r="W326" s="356"/>
      <c r="X326" s="356"/>
      <c r="Y326" s="356"/>
      <c r="Z326" s="365"/>
      <c r="AA326" s="356"/>
      <c r="AB326" s="356"/>
      <c r="AC326" s="356"/>
      <c r="AD326" s="356"/>
      <c r="AE326" s="356"/>
      <c r="AF326" s="356"/>
      <c r="AG326" s="356"/>
      <c r="AH326" s="249"/>
      <c r="AI326" s="249"/>
      <c r="AJ326" s="249"/>
      <c r="AK326" s="249"/>
      <c r="AL326" s="249"/>
      <c r="AM326" s="249"/>
      <c r="AN326" s="249"/>
      <c r="AO326" s="249"/>
      <c r="AP326" s="249"/>
      <c r="AQ326" s="249"/>
      <c r="AR326" s="249"/>
      <c r="AS326" s="249"/>
      <c r="AT326" s="249"/>
      <c r="AU326" s="249"/>
      <c r="AV326" s="249"/>
      <c r="AW326" s="249"/>
      <c r="AX326" s="249"/>
      <c r="AY326" s="249"/>
      <c r="AZ326" s="249"/>
      <c r="BA326" s="249"/>
      <c r="BB326" s="249"/>
      <c r="BC326" s="249"/>
      <c r="BD326" s="249"/>
      <c r="BE326" s="249"/>
      <c r="BF326" s="249"/>
      <c r="BG326" s="249"/>
      <c r="BH326" s="249"/>
      <c r="BI326" s="249"/>
      <c r="BJ326" s="249"/>
      <c r="BK326" s="249"/>
      <c r="BL326" s="249"/>
      <c r="BM326" s="249"/>
      <c r="BN326" s="249"/>
      <c r="BO326" s="249"/>
      <c r="BP326" s="249"/>
      <c r="BQ326" s="249"/>
    </row>
    <row r="327" s="251" customFormat="1" hidden="1" customHeight="1" spans="1:69">
      <c r="A327" s="356"/>
      <c r="B327" s="356"/>
      <c r="C327" s="359"/>
      <c r="D327" s="356"/>
      <c r="E327" s="356"/>
      <c r="F327" s="356"/>
      <c r="G327" s="356"/>
      <c r="H327" s="356"/>
      <c r="I327" s="356"/>
      <c r="J327" s="356"/>
      <c r="K327" s="356"/>
      <c r="L327" s="356"/>
      <c r="M327" s="356"/>
      <c r="N327" s="356"/>
      <c r="O327" s="356"/>
      <c r="P327" s="356"/>
      <c r="Q327" s="356"/>
      <c r="R327" s="365"/>
      <c r="S327" s="356"/>
      <c r="T327" s="356"/>
      <c r="U327" s="356"/>
      <c r="V327" s="356"/>
      <c r="W327" s="356"/>
      <c r="X327" s="356"/>
      <c r="Y327" s="356"/>
      <c r="Z327" s="365"/>
      <c r="AA327" s="356"/>
      <c r="AB327" s="356"/>
      <c r="AC327" s="356"/>
      <c r="AD327" s="356"/>
      <c r="AE327" s="356"/>
      <c r="AF327" s="356"/>
      <c r="AG327" s="356"/>
      <c r="AH327" s="249"/>
      <c r="AI327" s="249"/>
      <c r="AJ327" s="249"/>
      <c r="AK327" s="249"/>
      <c r="AL327" s="249"/>
      <c r="AM327" s="249"/>
      <c r="AN327" s="249"/>
      <c r="AO327" s="249"/>
      <c r="AP327" s="249"/>
      <c r="AQ327" s="249"/>
      <c r="AR327" s="249"/>
      <c r="AS327" s="249"/>
      <c r="AT327" s="249"/>
      <c r="AU327" s="249"/>
      <c r="AV327" s="249"/>
      <c r="AW327" s="249"/>
      <c r="AX327" s="249"/>
      <c r="AY327" s="249"/>
      <c r="AZ327" s="249"/>
      <c r="BA327" s="249"/>
      <c r="BB327" s="249"/>
      <c r="BC327" s="249"/>
      <c r="BD327" s="249"/>
      <c r="BE327" s="249"/>
      <c r="BF327" s="249"/>
      <c r="BG327" s="249"/>
      <c r="BH327" s="249"/>
      <c r="BI327" s="249"/>
      <c r="BJ327" s="249"/>
      <c r="BK327" s="249"/>
      <c r="BL327" s="249"/>
      <c r="BM327" s="249"/>
      <c r="BN327" s="249"/>
      <c r="BO327" s="249"/>
      <c r="BP327" s="249"/>
      <c r="BQ327" s="249"/>
    </row>
    <row r="328" s="251" customFormat="1" hidden="1" customHeight="1" spans="1:69">
      <c r="A328" s="356"/>
      <c r="B328" s="356"/>
      <c r="C328" s="359"/>
      <c r="D328" s="356"/>
      <c r="E328" s="356"/>
      <c r="F328" s="356"/>
      <c r="G328" s="356"/>
      <c r="H328" s="356"/>
      <c r="I328" s="356"/>
      <c r="J328" s="356"/>
      <c r="K328" s="356"/>
      <c r="L328" s="356"/>
      <c r="M328" s="356"/>
      <c r="N328" s="356"/>
      <c r="O328" s="356"/>
      <c r="P328" s="356"/>
      <c r="Q328" s="356"/>
      <c r="R328" s="365"/>
      <c r="S328" s="356"/>
      <c r="T328" s="356"/>
      <c r="U328" s="356"/>
      <c r="V328" s="356"/>
      <c r="W328" s="356"/>
      <c r="X328" s="356"/>
      <c r="Y328" s="356"/>
      <c r="Z328" s="365"/>
      <c r="AA328" s="356"/>
      <c r="AB328" s="356"/>
      <c r="AC328" s="356"/>
      <c r="AD328" s="356"/>
      <c r="AE328" s="356"/>
      <c r="AF328" s="356"/>
      <c r="AG328" s="356"/>
      <c r="AH328" s="249"/>
      <c r="AI328" s="249"/>
      <c r="AJ328" s="249"/>
      <c r="AK328" s="249"/>
      <c r="AL328" s="249"/>
      <c r="AM328" s="249"/>
      <c r="AN328" s="249"/>
      <c r="AO328" s="249"/>
      <c r="AP328" s="249"/>
      <c r="AQ328" s="249"/>
      <c r="AR328" s="249"/>
      <c r="AS328" s="249"/>
      <c r="AT328" s="249"/>
      <c r="AU328" s="249"/>
      <c r="AV328" s="249"/>
      <c r="AW328" s="249"/>
      <c r="AX328" s="249"/>
      <c r="AY328" s="249"/>
      <c r="AZ328" s="249"/>
      <c r="BA328" s="249"/>
      <c r="BB328" s="249"/>
      <c r="BC328" s="249"/>
      <c r="BD328" s="249"/>
      <c r="BE328" s="249"/>
      <c r="BF328" s="249"/>
      <c r="BG328" s="249"/>
      <c r="BH328" s="249"/>
      <c r="BI328" s="249"/>
      <c r="BJ328" s="249"/>
      <c r="BK328" s="249"/>
      <c r="BL328" s="249"/>
      <c r="BM328" s="249"/>
      <c r="BN328" s="249"/>
      <c r="BO328" s="249"/>
      <c r="BP328" s="249"/>
      <c r="BQ328" s="249"/>
    </row>
    <row r="329" s="251" customFormat="1" hidden="1" customHeight="1" spans="1:69">
      <c r="A329" s="356"/>
      <c r="B329" s="356"/>
      <c r="C329" s="359"/>
      <c r="D329" s="356"/>
      <c r="E329" s="356"/>
      <c r="F329" s="356"/>
      <c r="G329" s="356"/>
      <c r="H329" s="356"/>
      <c r="I329" s="356"/>
      <c r="J329" s="356"/>
      <c r="K329" s="356"/>
      <c r="L329" s="356"/>
      <c r="M329" s="356"/>
      <c r="N329" s="356"/>
      <c r="O329" s="356"/>
      <c r="P329" s="356"/>
      <c r="Q329" s="356"/>
      <c r="R329" s="365"/>
      <c r="S329" s="356"/>
      <c r="T329" s="356"/>
      <c r="U329" s="356"/>
      <c r="V329" s="356"/>
      <c r="W329" s="356"/>
      <c r="X329" s="356"/>
      <c r="Y329" s="356"/>
      <c r="Z329" s="365"/>
      <c r="AA329" s="356"/>
      <c r="AB329" s="356"/>
      <c r="AC329" s="356"/>
      <c r="AD329" s="356"/>
      <c r="AE329" s="356"/>
      <c r="AF329" s="356"/>
      <c r="AG329" s="356"/>
      <c r="AH329" s="249"/>
      <c r="AI329" s="249"/>
      <c r="AJ329" s="249"/>
      <c r="AK329" s="249"/>
      <c r="AL329" s="249"/>
      <c r="AM329" s="249"/>
      <c r="AN329" s="249"/>
      <c r="AO329" s="249"/>
      <c r="AP329" s="249"/>
      <c r="AQ329" s="249"/>
      <c r="AR329" s="249"/>
      <c r="AS329" s="249"/>
      <c r="AT329" s="249"/>
      <c r="AU329" s="249"/>
      <c r="AV329" s="249"/>
      <c r="AW329" s="249"/>
      <c r="AX329" s="249"/>
      <c r="AY329" s="249"/>
      <c r="AZ329" s="249"/>
      <c r="BA329" s="249"/>
      <c r="BB329" s="249"/>
      <c r="BC329" s="249"/>
      <c r="BD329" s="249"/>
      <c r="BE329" s="249"/>
      <c r="BF329" s="249"/>
      <c r="BG329" s="249"/>
      <c r="BH329" s="249"/>
      <c r="BI329" s="249"/>
      <c r="BJ329" s="249"/>
      <c r="BK329" s="249"/>
      <c r="BL329" s="249"/>
      <c r="BM329" s="249"/>
      <c r="BN329" s="249"/>
      <c r="BO329" s="249"/>
      <c r="BP329" s="249"/>
      <c r="BQ329" s="249"/>
    </row>
    <row r="330" s="251" customFormat="1" hidden="1" customHeight="1" spans="1:69">
      <c r="A330" s="356"/>
      <c r="B330" s="356"/>
      <c r="C330" s="359"/>
      <c r="D330" s="356"/>
      <c r="E330" s="356"/>
      <c r="F330" s="356"/>
      <c r="G330" s="356"/>
      <c r="H330" s="356"/>
      <c r="I330" s="356"/>
      <c r="J330" s="356"/>
      <c r="K330" s="356"/>
      <c r="L330" s="356"/>
      <c r="M330" s="356"/>
      <c r="N330" s="356"/>
      <c r="O330" s="356"/>
      <c r="P330" s="356"/>
      <c r="Q330" s="356"/>
      <c r="R330" s="365"/>
      <c r="S330" s="356"/>
      <c r="T330" s="356"/>
      <c r="U330" s="356"/>
      <c r="V330" s="356"/>
      <c r="W330" s="356"/>
      <c r="X330" s="356"/>
      <c r="Y330" s="356"/>
      <c r="Z330" s="365"/>
      <c r="AA330" s="356"/>
      <c r="AB330" s="356"/>
      <c r="AC330" s="356"/>
      <c r="AD330" s="356"/>
      <c r="AE330" s="356"/>
      <c r="AF330" s="356"/>
      <c r="AG330" s="356"/>
      <c r="AH330" s="249"/>
      <c r="AI330" s="249"/>
      <c r="AJ330" s="249"/>
      <c r="AK330" s="249"/>
      <c r="AL330" s="249"/>
      <c r="AM330" s="249"/>
      <c r="AN330" s="249"/>
      <c r="AO330" s="249"/>
      <c r="AP330" s="249"/>
      <c r="AQ330" s="249"/>
      <c r="AR330" s="249"/>
      <c r="AS330" s="249"/>
      <c r="AT330" s="249"/>
      <c r="AU330" s="249"/>
      <c r="AV330" s="249"/>
      <c r="AW330" s="249"/>
      <c r="AX330" s="249"/>
      <c r="AY330" s="249"/>
      <c r="AZ330" s="249"/>
      <c r="BA330" s="249"/>
      <c r="BB330" s="249"/>
      <c r="BC330" s="249"/>
      <c r="BD330" s="249"/>
      <c r="BE330" s="249"/>
      <c r="BF330" s="249"/>
      <c r="BG330" s="249"/>
      <c r="BH330" s="249"/>
      <c r="BI330" s="249"/>
      <c r="BJ330" s="249"/>
      <c r="BK330" s="249"/>
      <c r="BL330" s="249"/>
      <c r="BM330" s="249"/>
      <c r="BN330" s="249"/>
      <c r="BO330" s="249"/>
      <c r="BP330" s="249"/>
      <c r="BQ330" s="249"/>
    </row>
    <row r="331" s="251" customFormat="1" hidden="1" customHeight="1" spans="1:69">
      <c r="A331" s="356"/>
      <c r="B331" s="356"/>
      <c r="C331" s="359"/>
      <c r="D331" s="356"/>
      <c r="E331" s="356"/>
      <c r="F331" s="356"/>
      <c r="G331" s="356"/>
      <c r="H331" s="356"/>
      <c r="I331" s="356"/>
      <c r="J331" s="356"/>
      <c r="K331" s="356"/>
      <c r="L331" s="356"/>
      <c r="M331" s="356"/>
      <c r="N331" s="356"/>
      <c r="O331" s="356"/>
      <c r="P331" s="356"/>
      <c r="Q331" s="356"/>
      <c r="R331" s="365"/>
      <c r="S331" s="356"/>
      <c r="T331" s="356"/>
      <c r="U331" s="356"/>
      <c r="V331" s="356"/>
      <c r="W331" s="356"/>
      <c r="X331" s="356"/>
      <c r="Y331" s="356"/>
      <c r="Z331" s="365"/>
      <c r="AA331" s="356"/>
      <c r="AB331" s="356"/>
      <c r="AC331" s="356"/>
      <c r="AD331" s="356"/>
      <c r="AE331" s="356"/>
      <c r="AF331" s="356"/>
      <c r="AG331" s="356"/>
      <c r="AH331" s="249"/>
      <c r="AI331" s="249"/>
      <c r="AJ331" s="249"/>
      <c r="AK331" s="249"/>
      <c r="AL331" s="249"/>
      <c r="AM331" s="249"/>
      <c r="AN331" s="249"/>
      <c r="AO331" s="249"/>
      <c r="AP331" s="249"/>
      <c r="AQ331" s="249"/>
      <c r="AR331" s="249"/>
      <c r="AS331" s="249"/>
      <c r="AT331" s="249"/>
      <c r="AU331" s="249"/>
      <c r="AV331" s="249"/>
      <c r="AW331" s="249"/>
      <c r="AX331" s="249"/>
      <c r="AY331" s="249"/>
      <c r="AZ331" s="249"/>
      <c r="BA331" s="249"/>
      <c r="BB331" s="249"/>
      <c r="BC331" s="249"/>
      <c r="BD331" s="249"/>
      <c r="BE331" s="249"/>
      <c r="BF331" s="249"/>
      <c r="BG331" s="249"/>
      <c r="BH331" s="249"/>
      <c r="BI331" s="249"/>
      <c r="BJ331" s="249"/>
      <c r="BK331" s="249"/>
      <c r="BL331" s="249"/>
      <c r="BM331" s="249"/>
      <c r="BN331" s="249"/>
      <c r="BO331" s="249"/>
      <c r="BP331" s="249"/>
      <c r="BQ331" s="249"/>
    </row>
    <row r="332" s="251" customFormat="1" hidden="1" customHeight="1" spans="1:69">
      <c r="A332" s="356"/>
      <c r="B332" s="356"/>
      <c r="C332" s="359"/>
      <c r="D332" s="356"/>
      <c r="E332" s="356"/>
      <c r="F332" s="356"/>
      <c r="G332" s="356"/>
      <c r="H332" s="356"/>
      <c r="I332" s="356"/>
      <c r="J332" s="356"/>
      <c r="K332" s="356"/>
      <c r="L332" s="356"/>
      <c r="M332" s="356"/>
      <c r="N332" s="356"/>
      <c r="O332" s="356"/>
      <c r="P332" s="356"/>
      <c r="Q332" s="356"/>
      <c r="R332" s="365"/>
      <c r="S332" s="356"/>
      <c r="T332" s="356"/>
      <c r="U332" s="356"/>
      <c r="V332" s="356"/>
      <c r="W332" s="356"/>
      <c r="X332" s="356"/>
      <c r="Y332" s="356"/>
      <c r="Z332" s="365"/>
      <c r="AA332" s="356"/>
      <c r="AB332" s="356"/>
      <c r="AC332" s="356"/>
      <c r="AD332" s="356"/>
      <c r="AE332" s="356"/>
      <c r="AF332" s="356"/>
      <c r="AG332" s="356"/>
      <c r="AH332" s="249"/>
      <c r="AI332" s="249"/>
      <c r="AJ332" s="249"/>
      <c r="AK332" s="249"/>
      <c r="AL332" s="249"/>
      <c r="AM332" s="249"/>
      <c r="AN332" s="249"/>
      <c r="AO332" s="249"/>
      <c r="AP332" s="249"/>
      <c r="AQ332" s="249"/>
      <c r="AR332" s="249"/>
      <c r="AS332" s="249"/>
      <c r="AT332" s="249"/>
      <c r="AU332" s="249"/>
      <c r="AV332" s="249"/>
      <c r="AW332" s="249"/>
      <c r="AX332" s="249"/>
      <c r="AY332" s="249"/>
      <c r="AZ332" s="249"/>
      <c r="BA332" s="249"/>
      <c r="BB332" s="249"/>
      <c r="BC332" s="249"/>
      <c r="BD332" s="249"/>
      <c r="BE332" s="249"/>
      <c r="BF332" s="249"/>
      <c r="BG332" s="249"/>
      <c r="BH332" s="249"/>
      <c r="BI332" s="249"/>
      <c r="BJ332" s="249"/>
      <c r="BK332" s="249"/>
      <c r="BL332" s="249"/>
      <c r="BM332" s="249"/>
      <c r="BN332" s="249"/>
      <c r="BO332" s="249"/>
      <c r="BP332" s="249"/>
      <c r="BQ332" s="249"/>
    </row>
    <row r="333" s="251" customFormat="1" hidden="1" customHeight="1" spans="1:69">
      <c r="A333" s="356"/>
      <c r="B333" s="356"/>
      <c r="C333" s="359"/>
      <c r="D333" s="356"/>
      <c r="E333" s="356"/>
      <c r="F333" s="356"/>
      <c r="G333" s="356"/>
      <c r="H333" s="356"/>
      <c r="I333" s="356"/>
      <c r="J333" s="356"/>
      <c r="K333" s="356"/>
      <c r="L333" s="356"/>
      <c r="M333" s="356"/>
      <c r="N333" s="356"/>
      <c r="O333" s="356"/>
      <c r="P333" s="356"/>
      <c r="Q333" s="356"/>
      <c r="R333" s="365"/>
      <c r="S333" s="356"/>
      <c r="T333" s="356"/>
      <c r="U333" s="356"/>
      <c r="V333" s="356"/>
      <c r="W333" s="356"/>
      <c r="X333" s="356"/>
      <c r="Y333" s="356"/>
      <c r="Z333" s="365"/>
      <c r="AA333" s="356"/>
      <c r="AB333" s="356"/>
      <c r="AC333" s="356"/>
      <c r="AD333" s="356"/>
      <c r="AE333" s="356"/>
      <c r="AF333" s="356"/>
      <c r="AG333" s="356"/>
      <c r="AH333" s="249"/>
      <c r="AI333" s="249"/>
      <c r="AJ333" s="249"/>
      <c r="AK333" s="249"/>
      <c r="AL333" s="249"/>
      <c r="AM333" s="249"/>
      <c r="AN333" s="249"/>
      <c r="AO333" s="249"/>
      <c r="AP333" s="249"/>
      <c r="AQ333" s="249"/>
      <c r="AR333" s="249"/>
      <c r="AS333" s="249"/>
      <c r="AT333" s="249"/>
      <c r="AU333" s="249"/>
      <c r="AV333" s="249"/>
      <c r="AW333" s="249"/>
      <c r="AX333" s="249"/>
      <c r="AY333" s="249"/>
      <c r="AZ333" s="249"/>
      <c r="BA333" s="249"/>
      <c r="BB333" s="249"/>
      <c r="BC333" s="249"/>
      <c r="BD333" s="249"/>
      <c r="BE333" s="249"/>
      <c r="BF333" s="249"/>
      <c r="BG333" s="249"/>
      <c r="BH333" s="249"/>
      <c r="BI333" s="249"/>
      <c r="BJ333" s="249"/>
      <c r="BK333" s="249"/>
      <c r="BL333" s="249"/>
      <c r="BM333" s="249"/>
      <c r="BN333" s="249"/>
      <c r="BO333" s="249"/>
      <c r="BP333" s="249"/>
      <c r="BQ333" s="249"/>
    </row>
    <row r="334" s="251" customFormat="1" hidden="1" customHeight="1" spans="1:69">
      <c r="A334" s="356"/>
      <c r="B334" s="356"/>
      <c r="C334" s="359"/>
      <c r="D334" s="356"/>
      <c r="E334" s="356"/>
      <c r="F334" s="356"/>
      <c r="G334" s="356"/>
      <c r="H334" s="356"/>
      <c r="I334" s="356"/>
      <c r="J334" s="356"/>
      <c r="K334" s="356"/>
      <c r="L334" s="356"/>
      <c r="M334" s="356"/>
      <c r="N334" s="356"/>
      <c r="O334" s="356"/>
      <c r="P334" s="356"/>
      <c r="Q334" s="356"/>
      <c r="R334" s="365"/>
      <c r="S334" s="356"/>
      <c r="T334" s="356"/>
      <c r="U334" s="356"/>
      <c r="V334" s="356"/>
      <c r="W334" s="356"/>
      <c r="X334" s="356"/>
      <c r="Y334" s="356"/>
      <c r="Z334" s="365"/>
      <c r="AA334" s="356"/>
      <c r="AB334" s="356"/>
      <c r="AC334" s="356"/>
      <c r="AD334" s="356"/>
      <c r="AE334" s="356"/>
      <c r="AF334" s="356"/>
      <c r="AG334" s="356"/>
      <c r="AH334" s="249"/>
      <c r="AI334" s="249"/>
      <c r="AJ334" s="249"/>
      <c r="AK334" s="249"/>
      <c r="AL334" s="249"/>
      <c r="AM334" s="249"/>
      <c r="AN334" s="249"/>
      <c r="AO334" s="249"/>
      <c r="AP334" s="249"/>
      <c r="AQ334" s="249"/>
      <c r="AR334" s="249"/>
      <c r="AS334" s="249"/>
      <c r="AT334" s="249"/>
      <c r="AU334" s="249"/>
      <c r="AV334" s="249"/>
      <c r="AW334" s="249"/>
      <c r="AX334" s="249"/>
      <c r="AY334" s="249"/>
      <c r="AZ334" s="249"/>
      <c r="BA334" s="249"/>
      <c r="BB334" s="249"/>
      <c r="BC334" s="249"/>
      <c r="BD334" s="249"/>
      <c r="BE334" s="249"/>
      <c r="BF334" s="249"/>
      <c r="BG334" s="249"/>
      <c r="BH334" s="249"/>
      <c r="BI334" s="249"/>
      <c r="BJ334" s="249"/>
      <c r="BK334" s="249"/>
      <c r="BL334" s="249"/>
      <c r="BM334" s="249"/>
      <c r="BN334" s="249"/>
      <c r="BO334" s="249"/>
      <c r="BP334" s="249"/>
      <c r="BQ334" s="249"/>
    </row>
    <row r="335" s="251" customFormat="1" hidden="1" customHeight="1" spans="1:69">
      <c r="A335" s="356"/>
      <c r="B335" s="356"/>
      <c r="C335" s="359"/>
      <c r="D335" s="356"/>
      <c r="E335" s="356"/>
      <c r="F335" s="356"/>
      <c r="G335" s="356"/>
      <c r="H335" s="356"/>
      <c r="I335" s="356"/>
      <c r="J335" s="356"/>
      <c r="K335" s="356"/>
      <c r="L335" s="356"/>
      <c r="M335" s="356"/>
      <c r="N335" s="356"/>
      <c r="O335" s="356"/>
      <c r="P335" s="356"/>
      <c r="Q335" s="356"/>
      <c r="R335" s="365"/>
      <c r="S335" s="356"/>
      <c r="T335" s="356"/>
      <c r="U335" s="356"/>
      <c r="V335" s="356"/>
      <c r="W335" s="356"/>
      <c r="X335" s="356"/>
      <c r="Y335" s="356"/>
      <c r="Z335" s="365"/>
      <c r="AA335" s="356"/>
      <c r="AB335" s="356"/>
      <c r="AC335" s="356"/>
      <c r="AD335" s="356"/>
      <c r="AE335" s="356"/>
      <c r="AF335" s="356"/>
      <c r="AG335" s="356"/>
      <c r="AH335" s="249"/>
      <c r="AI335" s="249"/>
      <c r="AJ335" s="249"/>
      <c r="AK335" s="249"/>
      <c r="AL335" s="249"/>
      <c r="AM335" s="249"/>
      <c r="AN335" s="249"/>
      <c r="AO335" s="249"/>
      <c r="AP335" s="249"/>
      <c r="AQ335" s="249"/>
      <c r="AR335" s="249"/>
      <c r="AS335" s="249"/>
      <c r="AT335" s="249"/>
      <c r="AU335" s="249"/>
      <c r="AV335" s="249"/>
      <c r="AW335" s="249"/>
      <c r="AX335" s="249"/>
      <c r="AY335" s="249"/>
      <c r="AZ335" s="249"/>
      <c r="BA335" s="249"/>
      <c r="BB335" s="249"/>
      <c r="BC335" s="249"/>
      <c r="BD335" s="249"/>
      <c r="BE335" s="249"/>
      <c r="BF335" s="249"/>
      <c r="BG335" s="249"/>
      <c r="BH335" s="249"/>
      <c r="BI335" s="249"/>
      <c r="BJ335" s="249"/>
      <c r="BK335" s="249"/>
      <c r="BL335" s="249"/>
      <c r="BM335" s="249"/>
      <c r="BN335" s="249"/>
      <c r="BO335" s="249"/>
      <c r="BP335" s="249"/>
      <c r="BQ335" s="249"/>
    </row>
    <row r="336" s="251" customFormat="1" hidden="1" customHeight="1" spans="1:69">
      <c r="A336" s="356"/>
      <c r="B336" s="356"/>
      <c r="C336" s="359"/>
      <c r="D336" s="356"/>
      <c r="E336" s="356"/>
      <c r="F336" s="356"/>
      <c r="G336" s="356"/>
      <c r="H336" s="356"/>
      <c r="I336" s="356"/>
      <c r="J336" s="356"/>
      <c r="K336" s="356"/>
      <c r="L336" s="356"/>
      <c r="M336" s="356"/>
      <c r="N336" s="356"/>
      <c r="O336" s="356"/>
      <c r="P336" s="356"/>
      <c r="Q336" s="356"/>
      <c r="R336" s="365"/>
      <c r="S336" s="356"/>
      <c r="T336" s="356"/>
      <c r="U336" s="356"/>
      <c r="V336" s="356"/>
      <c r="W336" s="356"/>
      <c r="X336" s="356"/>
      <c r="Y336" s="356"/>
      <c r="Z336" s="365"/>
      <c r="AA336" s="356"/>
      <c r="AB336" s="356"/>
      <c r="AC336" s="356"/>
      <c r="AD336" s="356"/>
      <c r="AE336" s="356"/>
      <c r="AF336" s="356"/>
      <c r="AG336" s="356"/>
      <c r="AH336" s="249"/>
      <c r="AI336" s="249"/>
      <c r="AJ336" s="249"/>
      <c r="AK336" s="249"/>
      <c r="AL336" s="249"/>
      <c r="AM336" s="249"/>
      <c r="AN336" s="249"/>
      <c r="AO336" s="249"/>
      <c r="AP336" s="249"/>
      <c r="AQ336" s="249"/>
      <c r="AR336" s="249"/>
      <c r="AS336" s="249"/>
      <c r="AT336" s="249"/>
      <c r="AU336" s="249"/>
      <c r="AV336" s="249"/>
      <c r="AW336" s="249"/>
      <c r="AX336" s="249"/>
      <c r="AY336" s="249"/>
      <c r="AZ336" s="249"/>
      <c r="BA336" s="249"/>
      <c r="BB336" s="249"/>
      <c r="BC336" s="249"/>
      <c r="BD336" s="249"/>
      <c r="BE336" s="249"/>
      <c r="BF336" s="249"/>
      <c r="BG336" s="249"/>
      <c r="BH336" s="249"/>
      <c r="BI336" s="249"/>
      <c r="BJ336" s="249"/>
      <c r="BK336" s="249"/>
      <c r="BL336" s="249"/>
      <c r="BM336" s="249"/>
      <c r="BN336" s="249"/>
      <c r="BO336" s="249"/>
      <c r="BP336" s="249"/>
      <c r="BQ336" s="249"/>
    </row>
    <row r="337" s="251" customFormat="1" hidden="1" customHeight="1" spans="1:69">
      <c r="A337" s="356"/>
      <c r="B337" s="356"/>
      <c r="C337" s="359"/>
      <c r="D337" s="356"/>
      <c r="E337" s="356"/>
      <c r="F337" s="356"/>
      <c r="G337" s="356"/>
      <c r="H337" s="356"/>
      <c r="I337" s="356"/>
      <c r="J337" s="356"/>
      <c r="K337" s="356"/>
      <c r="L337" s="356"/>
      <c r="M337" s="356"/>
      <c r="N337" s="356"/>
      <c r="O337" s="356"/>
      <c r="P337" s="356"/>
      <c r="Q337" s="356"/>
      <c r="R337" s="365"/>
      <c r="S337" s="356"/>
      <c r="T337" s="356"/>
      <c r="U337" s="356"/>
      <c r="V337" s="356"/>
      <c r="W337" s="356"/>
      <c r="X337" s="356"/>
      <c r="Y337" s="356"/>
      <c r="Z337" s="365"/>
      <c r="AA337" s="356"/>
      <c r="AB337" s="356"/>
      <c r="AC337" s="356"/>
      <c r="AD337" s="356"/>
      <c r="AE337" s="356"/>
      <c r="AF337" s="356"/>
      <c r="AG337" s="356"/>
      <c r="AH337" s="249"/>
      <c r="AI337" s="249"/>
      <c r="AJ337" s="249"/>
      <c r="AK337" s="249"/>
      <c r="AL337" s="249"/>
      <c r="AM337" s="249"/>
      <c r="AN337" s="249"/>
      <c r="AO337" s="249"/>
      <c r="AP337" s="249"/>
      <c r="AQ337" s="249"/>
      <c r="AR337" s="249"/>
      <c r="AS337" s="249"/>
      <c r="AT337" s="249"/>
      <c r="AU337" s="249"/>
      <c r="AV337" s="249"/>
      <c r="AW337" s="249"/>
      <c r="AX337" s="249"/>
      <c r="AY337" s="249"/>
      <c r="AZ337" s="249"/>
      <c r="BA337" s="249"/>
      <c r="BB337" s="249"/>
      <c r="BC337" s="249"/>
      <c r="BD337" s="249"/>
      <c r="BE337" s="249"/>
      <c r="BF337" s="249"/>
      <c r="BG337" s="249"/>
      <c r="BH337" s="249"/>
      <c r="BI337" s="249"/>
      <c r="BJ337" s="249"/>
      <c r="BK337" s="249"/>
      <c r="BL337" s="249"/>
      <c r="BM337" s="249"/>
      <c r="BN337" s="249"/>
      <c r="BO337" s="249"/>
      <c r="BP337" s="249"/>
      <c r="BQ337" s="249"/>
    </row>
    <row r="338" s="246" customFormat="1" hidden="1" customHeight="1" spans="1:85">
      <c r="A338" s="252"/>
      <c r="B338" s="252"/>
      <c r="C338" s="253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4"/>
      <c r="S338" s="252"/>
      <c r="T338" s="252"/>
      <c r="U338" s="252"/>
      <c r="V338" s="252"/>
      <c r="W338" s="252"/>
      <c r="X338" s="252"/>
      <c r="Y338" s="252"/>
      <c r="Z338" s="254"/>
      <c r="AA338" s="252"/>
      <c r="AB338" s="252"/>
      <c r="AC338" s="252"/>
      <c r="AD338" s="252"/>
      <c r="AE338" s="252"/>
      <c r="AF338" s="252"/>
      <c r="AG338" s="252"/>
      <c r="AH338" s="249"/>
      <c r="AI338" s="249"/>
      <c r="AJ338" s="249"/>
      <c r="AK338" s="249"/>
      <c r="AL338" s="249"/>
      <c r="AM338" s="249"/>
      <c r="AN338" s="249"/>
      <c r="AO338" s="249"/>
      <c r="AP338" s="249"/>
      <c r="AQ338" s="249"/>
      <c r="AR338" s="249"/>
      <c r="AS338" s="249"/>
      <c r="AT338" s="249"/>
      <c r="AU338" s="249"/>
      <c r="AV338" s="249"/>
      <c r="AW338" s="249"/>
      <c r="AX338" s="249"/>
      <c r="AY338" s="249"/>
      <c r="AZ338" s="249"/>
      <c r="BA338" s="249"/>
      <c r="BB338" s="249"/>
      <c r="BC338" s="249"/>
      <c r="BD338" s="249"/>
      <c r="BE338" s="249"/>
      <c r="BF338" s="249"/>
      <c r="BG338" s="249"/>
      <c r="BH338" s="249"/>
      <c r="BI338" s="249"/>
      <c r="BJ338" s="249"/>
      <c r="BK338" s="249"/>
      <c r="BL338" s="249"/>
      <c r="BM338" s="249"/>
      <c r="BN338" s="249"/>
      <c r="BO338" s="249"/>
      <c r="BP338" s="249"/>
      <c r="BQ338" s="249"/>
      <c r="BR338" s="251"/>
      <c r="BS338" s="251"/>
      <c r="BT338" s="251"/>
      <c r="BU338" s="251"/>
      <c r="BV338" s="251"/>
      <c r="BW338" s="251"/>
      <c r="BX338" s="251"/>
      <c r="BY338" s="251"/>
      <c r="BZ338" s="251"/>
      <c r="CA338" s="251"/>
      <c r="CB338" s="251"/>
      <c r="CC338" s="251"/>
      <c r="CD338" s="251"/>
      <c r="CE338" s="251"/>
      <c r="CF338" s="251"/>
      <c r="CG338" s="251"/>
    </row>
    <row r="339" s="246" customFormat="1" hidden="1" customHeight="1" spans="1:85">
      <c r="A339" s="252"/>
      <c r="B339" s="252"/>
      <c r="C339" s="253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4"/>
      <c r="S339" s="252"/>
      <c r="T339" s="252"/>
      <c r="U339" s="252"/>
      <c r="V339" s="252"/>
      <c r="W339" s="252"/>
      <c r="X339" s="252"/>
      <c r="Y339" s="252"/>
      <c r="Z339" s="254"/>
      <c r="AA339" s="252"/>
      <c r="AB339" s="252"/>
      <c r="AC339" s="252"/>
      <c r="AD339" s="252"/>
      <c r="AE339" s="252"/>
      <c r="AF339" s="252"/>
      <c r="AG339" s="252"/>
      <c r="AH339" s="249"/>
      <c r="AI339" s="249"/>
      <c r="AJ339" s="249"/>
      <c r="AK339" s="249"/>
      <c r="AL339" s="249"/>
      <c r="AM339" s="249"/>
      <c r="AN339" s="249"/>
      <c r="AO339" s="249"/>
      <c r="AP339" s="249"/>
      <c r="AQ339" s="249"/>
      <c r="AR339" s="249"/>
      <c r="AS339" s="249"/>
      <c r="AT339" s="249"/>
      <c r="AU339" s="249"/>
      <c r="AV339" s="249"/>
      <c r="AW339" s="249"/>
      <c r="AX339" s="249"/>
      <c r="AY339" s="249"/>
      <c r="AZ339" s="249"/>
      <c r="BA339" s="249"/>
      <c r="BB339" s="249"/>
      <c r="BC339" s="249"/>
      <c r="BD339" s="249"/>
      <c r="BE339" s="249"/>
      <c r="BF339" s="249"/>
      <c r="BG339" s="249"/>
      <c r="BH339" s="249"/>
      <c r="BI339" s="249"/>
      <c r="BJ339" s="249"/>
      <c r="BK339" s="249"/>
      <c r="BL339" s="249"/>
      <c r="BM339" s="249"/>
      <c r="BN339" s="249"/>
      <c r="BO339" s="249"/>
      <c r="BP339" s="249"/>
      <c r="BQ339" s="249"/>
      <c r="BR339" s="251"/>
      <c r="BS339" s="251"/>
      <c r="BT339" s="251"/>
      <c r="BU339" s="251"/>
      <c r="BV339" s="251"/>
      <c r="BW339" s="251"/>
      <c r="BX339" s="251"/>
      <c r="BY339" s="251"/>
      <c r="BZ339" s="251"/>
      <c r="CA339" s="251"/>
      <c r="CB339" s="251"/>
      <c r="CC339" s="251"/>
      <c r="CD339" s="251"/>
      <c r="CE339" s="251"/>
      <c r="CF339" s="251"/>
      <c r="CG339" s="251"/>
    </row>
    <row r="340" s="246" customFormat="1" hidden="1" customHeight="1" spans="1:85">
      <c r="A340" s="252"/>
      <c r="B340" s="252"/>
      <c r="C340" s="253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4"/>
      <c r="S340" s="252"/>
      <c r="T340" s="252"/>
      <c r="U340" s="252"/>
      <c r="V340" s="252"/>
      <c r="W340" s="252"/>
      <c r="X340" s="252"/>
      <c r="Y340" s="252"/>
      <c r="Z340" s="254"/>
      <c r="AA340" s="252"/>
      <c r="AB340" s="252"/>
      <c r="AC340" s="252"/>
      <c r="AD340" s="252"/>
      <c r="AE340" s="252"/>
      <c r="AF340" s="252"/>
      <c r="AG340" s="252"/>
      <c r="AH340" s="249"/>
      <c r="AI340" s="249"/>
      <c r="AJ340" s="249"/>
      <c r="AK340" s="249"/>
      <c r="AL340" s="249"/>
      <c r="AM340" s="249"/>
      <c r="AN340" s="249"/>
      <c r="AO340" s="249"/>
      <c r="AP340" s="249"/>
      <c r="AQ340" s="249"/>
      <c r="AR340" s="249"/>
      <c r="AS340" s="249"/>
      <c r="AT340" s="249"/>
      <c r="AU340" s="249"/>
      <c r="AV340" s="249"/>
      <c r="AW340" s="249"/>
      <c r="AX340" s="249"/>
      <c r="AY340" s="249"/>
      <c r="AZ340" s="249"/>
      <c r="BA340" s="249"/>
      <c r="BB340" s="249"/>
      <c r="BC340" s="249"/>
      <c r="BD340" s="249"/>
      <c r="BE340" s="249"/>
      <c r="BF340" s="249"/>
      <c r="BG340" s="249"/>
      <c r="BH340" s="249"/>
      <c r="BI340" s="249"/>
      <c r="BJ340" s="249"/>
      <c r="BK340" s="249"/>
      <c r="BL340" s="249"/>
      <c r="BM340" s="249"/>
      <c r="BN340" s="249"/>
      <c r="BO340" s="249"/>
      <c r="BP340" s="249"/>
      <c r="BQ340" s="249"/>
      <c r="BR340" s="251"/>
      <c r="BS340" s="251"/>
      <c r="BT340" s="251"/>
      <c r="BU340" s="251"/>
      <c r="BV340" s="251"/>
      <c r="BW340" s="251"/>
      <c r="BX340" s="251"/>
      <c r="BY340" s="251"/>
      <c r="BZ340" s="251"/>
      <c r="CA340" s="251"/>
      <c r="CB340" s="251"/>
      <c r="CC340" s="251"/>
      <c r="CD340" s="251"/>
      <c r="CE340" s="251"/>
      <c r="CF340" s="251"/>
      <c r="CG340" s="251"/>
    </row>
    <row r="341" s="246" customFormat="1" hidden="1" customHeight="1" spans="1:85">
      <c r="A341" s="252"/>
      <c r="B341" s="252"/>
      <c r="C341" s="253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4"/>
      <c r="S341" s="252"/>
      <c r="T341" s="252"/>
      <c r="U341" s="252"/>
      <c r="V341" s="252"/>
      <c r="W341" s="252"/>
      <c r="X341" s="252"/>
      <c r="Y341" s="252"/>
      <c r="Z341" s="254"/>
      <c r="AA341" s="252"/>
      <c r="AB341" s="252"/>
      <c r="AC341" s="252"/>
      <c r="AD341" s="252"/>
      <c r="AE341" s="252"/>
      <c r="AF341" s="252"/>
      <c r="AG341" s="252"/>
      <c r="AH341" s="249"/>
      <c r="AI341" s="249"/>
      <c r="AJ341" s="249"/>
      <c r="AK341" s="249"/>
      <c r="AL341" s="249"/>
      <c r="AM341" s="249"/>
      <c r="AN341" s="249"/>
      <c r="AO341" s="249"/>
      <c r="AP341" s="249"/>
      <c r="AQ341" s="249"/>
      <c r="AR341" s="249"/>
      <c r="AS341" s="249"/>
      <c r="AT341" s="249"/>
      <c r="AU341" s="249"/>
      <c r="AV341" s="249"/>
      <c r="AW341" s="249"/>
      <c r="AX341" s="249"/>
      <c r="AY341" s="249"/>
      <c r="AZ341" s="249"/>
      <c r="BA341" s="249"/>
      <c r="BB341" s="249"/>
      <c r="BC341" s="249"/>
      <c r="BD341" s="249"/>
      <c r="BE341" s="249"/>
      <c r="BF341" s="249"/>
      <c r="BG341" s="249"/>
      <c r="BH341" s="249"/>
      <c r="BI341" s="249"/>
      <c r="BJ341" s="249"/>
      <c r="BK341" s="249"/>
      <c r="BL341" s="249"/>
      <c r="BM341" s="249"/>
      <c r="BN341" s="249"/>
      <c r="BO341" s="249"/>
      <c r="BP341" s="249"/>
      <c r="BQ341" s="249"/>
      <c r="BR341" s="251"/>
      <c r="BS341" s="251"/>
      <c r="BT341" s="251"/>
      <c r="BU341" s="251"/>
      <c r="BV341" s="251"/>
      <c r="BW341" s="251"/>
      <c r="BX341" s="251"/>
      <c r="BY341" s="251"/>
      <c r="BZ341" s="251"/>
      <c r="CA341" s="251"/>
      <c r="CB341" s="251"/>
      <c r="CC341" s="251"/>
      <c r="CD341" s="251"/>
      <c r="CE341" s="251"/>
      <c r="CF341" s="251"/>
      <c r="CG341" s="251"/>
    </row>
    <row r="342" s="246" customFormat="1" hidden="1" customHeight="1" spans="1:85">
      <c r="A342" s="252"/>
      <c r="B342" s="252"/>
      <c r="C342" s="253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4"/>
      <c r="S342" s="252"/>
      <c r="T342" s="252"/>
      <c r="U342" s="252"/>
      <c r="V342" s="252"/>
      <c r="W342" s="252"/>
      <c r="X342" s="252"/>
      <c r="Y342" s="252"/>
      <c r="Z342" s="254"/>
      <c r="AA342" s="252"/>
      <c r="AB342" s="252"/>
      <c r="AC342" s="252"/>
      <c r="AD342" s="252"/>
      <c r="AE342" s="252"/>
      <c r="AF342" s="252"/>
      <c r="AG342" s="252"/>
      <c r="AH342" s="249"/>
      <c r="AI342" s="249"/>
      <c r="AJ342" s="249"/>
      <c r="AK342" s="249"/>
      <c r="AL342" s="249"/>
      <c r="AM342" s="249"/>
      <c r="AN342" s="249"/>
      <c r="AO342" s="249"/>
      <c r="AP342" s="249"/>
      <c r="AQ342" s="249"/>
      <c r="AR342" s="249"/>
      <c r="AS342" s="249"/>
      <c r="AT342" s="249"/>
      <c r="AU342" s="249"/>
      <c r="AV342" s="249"/>
      <c r="AW342" s="249"/>
      <c r="AX342" s="249"/>
      <c r="AY342" s="249"/>
      <c r="AZ342" s="249"/>
      <c r="BA342" s="249"/>
      <c r="BB342" s="249"/>
      <c r="BC342" s="249"/>
      <c r="BD342" s="249"/>
      <c r="BE342" s="249"/>
      <c r="BF342" s="249"/>
      <c r="BG342" s="249"/>
      <c r="BH342" s="249"/>
      <c r="BI342" s="249"/>
      <c r="BJ342" s="249"/>
      <c r="BK342" s="249"/>
      <c r="BL342" s="249"/>
      <c r="BM342" s="249"/>
      <c r="BN342" s="249"/>
      <c r="BO342" s="249"/>
      <c r="BP342" s="249"/>
      <c r="BQ342" s="249"/>
      <c r="BR342" s="251"/>
      <c r="BS342" s="251"/>
      <c r="BT342" s="251"/>
      <c r="BU342" s="251"/>
      <c r="BV342" s="251"/>
      <c r="BW342" s="251"/>
      <c r="BX342" s="251"/>
      <c r="BY342" s="251"/>
      <c r="BZ342" s="251"/>
      <c r="CA342" s="251"/>
      <c r="CB342" s="251"/>
      <c r="CC342" s="251"/>
      <c r="CD342" s="251"/>
      <c r="CE342" s="251"/>
      <c r="CF342" s="251"/>
      <c r="CG342" s="251"/>
    </row>
    <row r="343" s="246" customFormat="1" hidden="1" customHeight="1" spans="1:85">
      <c r="A343" s="252"/>
      <c r="B343" s="252"/>
      <c r="C343" s="253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4"/>
      <c r="S343" s="252"/>
      <c r="T343" s="252"/>
      <c r="U343" s="252"/>
      <c r="V343" s="252"/>
      <c r="W343" s="252"/>
      <c r="X343" s="252"/>
      <c r="Y343" s="252"/>
      <c r="Z343" s="254"/>
      <c r="AA343" s="252"/>
      <c r="AB343" s="252"/>
      <c r="AC343" s="252"/>
      <c r="AD343" s="252"/>
      <c r="AE343" s="252"/>
      <c r="AF343" s="252"/>
      <c r="AG343" s="252"/>
      <c r="AH343" s="249"/>
      <c r="AI343" s="249"/>
      <c r="AJ343" s="249"/>
      <c r="AK343" s="249"/>
      <c r="AL343" s="249"/>
      <c r="AM343" s="249"/>
      <c r="AN343" s="249"/>
      <c r="AO343" s="249"/>
      <c r="AP343" s="249"/>
      <c r="AQ343" s="249"/>
      <c r="AR343" s="249"/>
      <c r="AS343" s="249"/>
      <c r="AT343" s="249"/>
      <c r="AU343" s="249"/>
      <c r="AV343" s="249"/>
      <c r="AW343" s="249"/>
      <c r="AX343" s="249"/>
      <c r="AY343" s="249"/>
      <c r="AZ343" s="249"/>
      <c r="BA343" s="249"/>
      <c r="BB343" s="249"/>
      <c r="BC343" s="249"/>
      <c r="BD343" s="249"/>
      <c r="BE343" s="249"/>
      <c r="BF343" s="249"/>
      <c r="BG343" s="249"/>
      <c r="BH343" s="249"/>
      <c r="BI343" s="249"/>
      <c r="BJ343" s="249"/>
      <c r="BK343" s="249"/>
      <c r="BL343" s="249"/>
      <c r="BM343" s="249"/>
      <c r="BN343" s="249"/>
      <c r="BO343" s="249"/>
      <c r="BP343" s="249"/>
      <c r="BQ343" s="249"/>
      <c r="BR343" s="251"/>
      <c r="BS343" s="251"/>
      <c r="BT343" s="251"/>
      <c r="BU343" s="251"/>
      <c r="BV343" s="251"/>
      <c r="BW343" s="251"/>
      <c r="BX343" s="251"/>
      <c r="BY343" s="251"/>
      <c r="BZ343" s="251"/>
      <c r="CA343" s="251"/>
      <c r="CB343" s="251"/>
      <c r="CC343" s="251"/>
      <c r="CD343" s="251"/>
      <c r="CE343" s="251"/>
      <c r="CF343" s="251"/>
      <c r="CG343" s="251"/>
    </row>
    <row r="344" s="246" customFormat="1" hidden="1" customHeight="1" spans="1:85">
      <c r="A344" s="252"/>
      <c r="B344" s="252"/>
      <c r="C344" s="253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4"/>
      <c r="S344" s="252"/>
      <c r="T344" s="252"/>
      <c r="U344" s="252"/>
      <c r="V344" s="252"/>
      <c r="W344" s="252"/>
      <c r="X344" s="252"/>
      <c r="Y344" s="252"/>
      <c r="Z344" s="254"/>
      <c r="AA344" s="252"/>
      <c r="AB344" s="252"/>
      <c r="AC344" s="252"/>
      <c r="AD344" s="252"/>
      <c r="AE344" s="252"/>
      <c r="AF344" s="252"/>
      <c r="AG344" s="252"/>
      <c r="AH344" s="249"/>
      <c r="AI344" s="249"/>
      <c r="AJ344" s="249"/>
      <c r="AK344" s="249"/>
      <c r="AL344" s="249"/>
      <c r="AM344" s="249"/>
      <c r="AN344" s="249"/>
      <c r="AO344" s="249"/>
      <c r="AP344" s="249"/>
      <c r="AQ344" s="249"/>
      <c r="AR344" s="249"/>
      <c r="AS344" s="249"/>
      <c r="AT344" s="249"/>
      <c r="AU344" s="249"/>
      <c r="AV344" s="249"/>
      <c r="AW344" s="249"/>
      <c r="AX344" s="249"/>
      <c r="AY344" s="249"/>
      <c r="AZ344" s="249"/>
      <c r="BA344" s="249"/>
      <c r="BB344" s="249"/>
      <c r="BC344" s="249"/>
      <c r="BD344" s="249"/>
      <c r="BE344" s="249"/>
      <c r="BF344" s="249"/>
      <c r="BG344" s="249"/>
      <c r="BH344" s="249"/>
      <c r="BI344" s="249"/>
      <c r="BJ344" s="249"/>
      <c r="BK344" s="249"/>
      <c r="BL344" s="249"/>
      <c r="BM344" s="249"/>
      <c r="BN344" s="249"/>
      <c r="BO344" s="249"/>
      <c r="BP344" s="249"/>
      <c r="BQ344" s="249"/>
      <c r="BR344" s="251"/>
      <c r="BS344" s="251"/>
      <c r="BT344" s="251"/>
      <c r="BU344" s="251"/>
      <c r="BV344" s="251"/>
      <c r="BW344" s="251"/>
      <c r="BX344" s="251"/>
      <c r="BY344" s="251"/>
      <c r="BZ344" s="251"/>
      <c r="CA344" s="251"/>
      <c r="CB344" s="251"/>
      <c r="CC344" s="251"/>
      <c r="CD344" s="251"/>
      <c r="CE344" s="251"/>
      <c r="CF344" s="251"/>
      <c r="CG344" s="251"/>
    </row>
    <row r="345" s="246" customFormat="1" hidden="1" customHeight="1" spans="1:85">
      <c r="A345" s="252"/>
      <c r="B345" s="252"/>
      <c r="C345" s="253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4"/>
      <c r="S345" s="252"/>
      <c r="T345" s="252"/>
      <c r="U345" s="252"/>
      <c r="V345" s="252"/>
      <c r="W345" s="252"/>
      <c r="X345" s="252"/>
      <c r="Y345" s="252"/>
      <c r="Z345" s="254"/>
      <c r="AA345" s="252"/>
      <c r="AB345" s="252"/>
      <c r="AC345" s="252"/>
      <c r="AD345" s="252"/>
      <c r="AE345" s="252"/>
      <c r="AF345" s="252"/>
      <c r="AG345" s="252"/>
      <c r="AH345" s="249"/>
      <c r="AI345" s="249"/>
      <c r="AJ345" s="249"/>
      <c r="AK345" s="249"/>
      <c r="AL345" s="249"/>
      <c r="AM345" s="249"/>
      <c r="AN345" s="249"/>
      <c r="AO345" s="249"/>
      <c r="AP345" s="249"/>
      <c r="AQ345" s="249"/>
      <c r="AR345" s="249"/>
      <c r="AS345" s="249"/>
      <c r="AT345" s="249"/>
      <c r="AU345" s="249"/>
      <c r="AV345" s="249"/>
      <c r="AW345" s="249"/>
      <c r="AX345" s="249"/>
      <c r="AY345" s="249"/>
      <c r="AZ345" s="249"/>
      <c r="BA345" s="249"/>
      <c r="BB345" s="249"/>
      <c r="BC345" s="249"/>
      <c r="BD345" s="249"/>
      <c r="BE345" s="249"/>
      <c r="BF345" s="249"/>
      <c r="BG345" s="249"/>
      <c r="BH345" s="249"/>
      <c r="BI345" s="249"/>
      <c r="BJ345" s="249"/>
      <c r="BK345" s="249"/>
      <c r="BL345" s="249"/>
      <c r="BM345" s="249"/>
      <c r="BN345" s="249"/>
      <c r="BO345" s="249"/>
      <c r="BP345" s="249"/>
      <c r="BQ345" s="249"/>
      <c r="BR345" s="251"/>
      <c r="BS345" s="251"/>
      <c r="BT345" s="251"/>
      <c r="BU345" s="251"/>
      <c r="BV345" s="251"/>
      <c r="BW345" s="251"/>
      <c r="BX345" s="251"/>
      <c r="BY345" s="251"/>
      <c r="BZ345" s="251"/>
      <c r="CA345" s="251"/>
      <c r="CB345" s="251"/>
      <c r="CC345" s="251"/>
      <c r="CD345" s="251"/>
      <c r="CE345" s="251"/>
      <c r="CF345" s="251"/>
      <c r="CG345" s="251"/>
    </row>
    <row r="346" s="246" customFormat="1" hidden="1" customHeight="1" spans="1:85">
      <c r="A346" s="252"/>
      <c r="B346" s="252"/>
      <c r="C346" s="253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4"/>
      <c r="S346" s="252"/>
      <c r="T346" s="252"/>
      <c r="U346" s="252"/>
      <c r="V346" s="252"/>
      <c r="W346" s="252"/>
      <c r="X346" s="252"/>
      <c r="Y346" s="252"/>
      <c r="Z346" s="254"/>
      <c r="AA346" s="252"/>
      <c r="AB346" s="252"/>
      <c r="AC346" s="252"/>
      <c r="AD346" s="252"/>
      <c r="AE346" s="252"/>
      <c r="AF346" s="252"/>
      <c r="AG346" s="252"/>
      <c r="AH346" s="249"/>
      <c r="AI346" s="249"/>
      <c r="AJ346" s="249"/>
      <c r="AK346" s="249"/>
      <c r="AL346" s="249"/>
      <c r="AM346" s="249"/>
      <c r="AN346" s="249"/>
      <c r="AO346" s="249"/>
      <c r="AP346" s="249"/>
      <c r="AQ346" s="249"/>
      <c r="AR346" s="249"/>
      <c r="AS346" s="249"/>
      <c r="AT346" s="249"/>
      <c r="AU346" s="249"/>
      <c r="AV346" s="249"/>
      <c r="AW346" s="249"/>
      <c r="AX346" s="249"/>
      <c r="AY346" s="249"/>
      <c r="AZ346" s="249"/>
      <c r="BA346" s="249"/>
      <c r="BB346" s="249"/>
      <c r="BC346" s="249"/>
      <c r="BD346" s="249"/>
      <c r="BE346" s="249"/>
      <c r="BF346" s="249"/>
      <c r="BG346" s="249"/>
      <c r="BH346" s="249"/>
      <c r="BI346" s="249"/>
      <c r="BJ346" s="249"/>
      <c r="BK346" s="249"/>
      <c r="BL346" s="249"/>
      <c r="BM346" s="249"/>
      <c r="BN346" s="249"/>
      <c r="BO346" s="249"/>
      <c r="BP346" s="249"/>
      <c r="BQ346" s="249"/>
      <c r="BR346" s="251"/>
      <c r="BS346" s="251"/>
      <c r="BT346" s="251"/>
      <c r="BU346" s="251"/>
      <c r="BV346" s="251"/>
      <c r="BW346" s="251"/>
      <c r="BX346" s="251"/>
      <c r="BY346" s="251"/>
      <c r="BZ346" s="251"/>
      <c r="CA346" s="251"/>
      <c r="CB346" s="251"/>
      <c r="CC346" s="251"/>
      <c r="CD346" s="251"/>
      <c r="CE346" s="251"/>
      <c r="CF346" s="251"/>
      <c r="CG346" s="251"/>
    </row>
    <row r="347" s="246" customFormat="1" hidden="1" customHeight="1" spans="1:85">
      <c r="A347" s="252"/>
      <c r="B347" s="252"/>
      <c r="C347" s="253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4"/>
      <c r="S347" s="252"/>
      <c r="T347" s="252"/>
      <c r="U347" s="252"/>
      <c r="V347" s="252"/>
      <c r="W347" s="252"/>
      <c r="X347" s="252"/>
      <c r="Y347" s="252"/>
      <c r="Z347" s="254"/>
      <c r="AA347" s="252"/>
      <c r="AB347" s="252"/>
      <c r="AC347" s="252"/>
      <c r="AD347" s="252"/>
      <c r="AE347" s="252"/>
      <c r="AF347" s="252"/>
      <c r="AG347" s="252"/>
      <c r="AH347" s="249"/>
      <c r="AI347" s="249"/>
      <c r="AJ347" s="249"/>
      <c r="AK347" s="249"/>
      <c r="AL347" s="249"/>
      <c r="AM347" s="249"/>
      <c r="AN347" s="249"/>
      <c r="AO347" s="249"/>
      <c r="AP347" s="249"/>
      <c r="AQ347" s="249"/>
      <c r="AR347" s="249"/>
      <c r="AS347" s="249"/>
      <c r="AT347" s="249"/>
      <c r="AU347" s="249"/>
      <c r="AV347" s="249"/>
      <c r="AW347" s="249"/>
      <c r="AX347" s="249"/>
      <c r="AY347" s="249"/>
      <c r="AZ347" s="249"/>
      <c r="BA347" s="249"/>
      <c r="BB347" s="249"/>
      <c r="BC347" s="249"/>
      <c r="BD347" s="249"/>
      <c r="BE347" s="249"/>
      <c r="BF347" s="249"/>
      <c r="BG347" s="249"/>
      <c r="BH347" s="249"/>
      <c r="BI347" s="249"/>
      <c r="BJ347" s="249"/>
      <c r="BK347" s="249"/>
      <c r="BL347" s="249"/>
      <c r="BM347" s="249"/>
      <c r="BN347" s="249"/>
      <c r="BO347" s="249"/>
      <c r="BP347" s="249"/>
      <c r="BQ347" s="249"/>
      <c r="BR347" s="251"/>
      <c r="BS347" s="251"/>
      <c r="BT347" s="251"/>
      <c r="BU347" s="251"/>
      <c r="BV347" s="251"/>
      <c r="BW347" s="251"/>
      <c r="BX347" s="251"/>
      <c r="BY347" s="251"/>
      <c r="BZ347" s="251"/>
      <c r="CA347" s="251"/>
      <c r="CB347" s="251"/>
      <c r="CC347" s="251"/>
      <c r="CD347" s="251"/>
      <c r="CE347" s="251"/>
      <c r="CF347" s="251"/>
      <c r="CG347" s="251"/>
    </row>
  </sheetData>
  <sheetProtection password="CE28" sheet="1" formatCells="0" formatColumns="0" objects="1" scenarios="1"/>
  <customSheetViews>
    <customSheetView guid="{0E659955-9737-492F-945A-95AC3E0C4088}" showPageBreaks="1" showGridLines="0" showRowCol="0" printArea="1" hiddenRows="1" hiddenColumns="1">
      <selection activeCell="X27" sqref="X27:Z27"/>
      <pageMargins left="0.28" right="0" top="0" bottom="0" header="0" footer="0"/>
      <printOptions verticalCentered="1"/>
      <pageSetup paperSize="9" scale="88" orientation="portrait" blackAndWhite="1"/>
      <headerFooter alignWithMargins="0"/>
    </customSheetView>
    <customSheetView guid="{6B449CA7-43A5-4BFF-BFE3-4A3E3D45323D}" showPageBreaks="1" showGridLines="0" showRowCol="0" printArea="1" hiddenRows="1" hiddenColumns="1">
      <selection activeCell="F4" sqref="F4"/>
      <pageMargins left="0.28" right="0" top="0" bottom="0" header="0" footer="0"/>
      <printOptions verticalCentered="1"/>
      <pageSetup paperSize="9" scale="95" orientation="portrait" blackAndWhite="1"/>
      <headerFooter alignWithMargins="0"/>
    </customSheetView>
  </customSheetViews>
  <mergeCells count="164">
    <mergeCell ref="A1:J1"/>
    <mergeCell ref="K1:L1"/>
    <mergeCell ref="N1:AB1"/>
    <mergeCell ref="AC1:AE1"/>
    <mergeCell ref="C2:AE2"/>
    <mergeCell ref="C3:L3"/>
    <mergeCell ref="V3:AE3"/>
    <mergeCell ref="C4:E4"/>
    <mergeCell ref="R4:U4"/>
    <mergeCell ref="C6:E6"/>
    <mergeCell ref="R6:U6"/>
    <mergeCell ref="C8:H8"/>
    <mergeCell ref="I8:W8"/>
    <mergeCell ref="X8:Y8"/>
    <mergeCell ref="Z8:AE8"/>
    <mergeCell ref="C9:H9"/>
    <mergeCell ref="I9:U9"/>
    <mergeCell ref="V9:Y9"/>
    <mergeCell ref="Z9:AE9"/>
    <mergeCell ref="C10:H10"/>
    <mergeCell ref="I10:O10"/>
    <mergeCell ref="P10:Q10"/>
    <mergeCell ref="R10:U10"/>
    <mergeCell ref="V10:Y10"/>
    <mergeCell ref="Z10:AE10"/>
    <mergeCell ref="D13:Q13"/>
    <mergeCell ref="AA13:AE13"/>
    <mergeCell ref="D14:E14"/>
    <mergeCell ref="G14:Q14"/>
    <mergeCell ref="S14:V14"/>
    <mergeCell ref="G15:Q15"/>
    <mergeCell ref="S15:V15"/>
    <mergeCell ref="G16:Q16"/>
    <mergeCell ref="S16:V16"/>
    <mergeCell ref="G17:Q17"/>
    <mergeCell ref="S17:V17"/>
    <mergeCell ref="G18:Q18"/>
    <mergeCell ref="S18:V18"/>
    <mergeCell ref="W18:Y18"/>
    <mergeCell ref="AA18:AE18"/>
    <mergeCell ref="D19:P19"/>
    <mergeCell ref="AA19:AE19"/>
    <mergeCell ref="D20:P20"/>
    <mergeCell ref="E21:J21"/>
    <mergeCell ref="L21:N21"/>
    <mergeCell ref="Q21:V21"/>
    <mergeCell ref="X21:Z21"/>
    <mergeCell ref="E22:J22"/>
    <mergeCell ref="L22:N22"/>
    <mergeCell ref="Q22:V22"/>
    <mergeCell ref="X22:Z22"/>
    <mergeCell ref="E23:J23"/>
    <mergeCell ref="L23:N23"/>
    <mergeCell ref="Q23:V23"/>
    <mergeCell ref="X23:Z23"/>
    <mergeCell ref="E24:J24"/>
    <mergeCell ref="L24:N24"/>
    <mergeCell ref="Q24:V24"/>
    <mergeCell ref="X24:Z24"/>
    <mergeCell ref="E25:J25"/>
    <mergeCell ref="L25:N25"/>
    <mergeCell ref="Q25:V25"/>
    <mergeCell ref="X25:Z25"/>
    <mergeCell ref="E26:J26"/>
    <mergeCell ref="L26:N26"/>
    <mergeCell ref="Q26:V26"/>
    <mergeCell ref="X26:Z26"/>
    <mergeCell ref="E27:J27"/>
    <mergeCell ref="L27:N27"/>
    <mergeCell ref="Q27:V27"/>
    <mergeCell ref="X27:Z27"/>
    <mergeCell ref="C29:N29"/>
    <mergeCell ref="Q29:V29"/>
    <mergeCell ref="D30:P30"/>
    <mergeCell ref="E31:Q31"/>
    <mergeCell ref="S31:V31"/>
    <mergeCell ref="E32:Q32"/>
    <mergeCell ref="S32:V32"/>
    <mergeCell ref="E33:Q33"/>
    <mergeCell ref="S33:V33"/>
    <mergeCell ref="E34:Q34"/>
    <mergeCell ref="S34:V34"/>
    <mergeCell ref="E35:Q35"/>
    <mergeCell ref="S35:V35"/>
    <mergeCell ref="AB35:AE35"/>
    <mergeCell ref="E36:Q36"/>
    <mergeCell ref="S36:V36"/>
    <mergeCell ref="E37:Q37"/>
    <mergeCell ref="S37:V37"/>
    <mergeCell ref="E38:Q38"/>
    <mergeCell ref="S38:V38"/>
    <mergeCell ref="E39:Q39"/>
    <mergeCell ref="S39:V39"/>
    <mergeCell ref="W39:AA39"/>
    <mergeCell ref="AB39:AE39"/>
    <mergeCell ref="D41:J41"/>
    <mergeCell ref="Q41:X41"/>
    <mergeCell ref="Z41:AE41"/>
    <mergeCell ref="D42:P42"/>
    <mergeCell ref="J43:L43"/>
    <mergeCell ref="S43:V43"/>
    <mergeCell ref="S44:V44"/>
    <mergeCell ref="S45:V45"/>
    <mergeCell ref="K46:P46"/>
    <mergeCell ref="S46:V46"/>
    <mergeCell ref="C48:X48"/>
    <mergeCell ref="AA48:AE48"/>
    <mergeCell ref="D49:Y49"/>
    <mergeCell ref="D50:Y50"/>
    <mergeCell ref="AA50:AE50"/>
    <mergeCell ref="D51:Y51"/>
    <mergeCell ref="AA51:AE51"/>
    <mergeCell ref="D52:Y52"/>
    <mergeCell ref="AA52:AE52"/>
    <mergeCell ref="D53:Y53"/>
    <mergeCell ref="AA53:AE53"/>
    <mergeCell ref="D54:Y54"/>
    <mergeCell ref="AA54:AE54"/>
    <mergeCell ref="D55:Y55"/>
    <mergeCell ref="AA55:AE55"/>
    <mergeCell ref="D56:Y56"/>
    <mergeCell ref="AA56:AE56"/>
    <mergeCell ref="D57:Y57"/>
    <mergeCell ref="AA57:AE57"/>
    <mergeCell ref="D58:Y58"/>
    <mergeCell ref="AA58:AE58"/>
    <mergeCell ref="D59:Y59"/>
    <mergeCell ref="AA59:AE59"/>
    <mergeCell ref="C60:AE60"/>
    <mergeCell ref="S70:V70"/>
    <mergeCell ref="G72:H72"/>
    <mergeCell ref="L72:M72"/>
    <mergeCell ref="O72:Q72"/>
    <mergeCell ref="J73:M73"/>
    <mergeCell ref="O73:Q73"/>
    <mergeCell ref="R73:T73"/>
    <mergeCell ref="U73:V73"/>
    <mergeCell ref="R74:T74"/>
    <mergeCell ref="R76:T76"/>
    <mergeCell ref="U76:V76"/>
    <mergeCell ref="C77:F77"/>
    <mergeCell ref="R78:T78"/>
    <mergeCell ref="Y78:AB78"/>
    <mergeCell ref="Y79:AB79"/>
    <mergeCell ref="C80:D80"/>
    <mergeCell ref="S80:V80"/>
    <mergeCell ref="X81:Y81"/>
    <mergeCell ref="S82:V82"/>
    <mergeCell ref="S83:V83"/>
    <mergeCell ref="C84:E84"/>
    <mergeCell ref="S84:V84"/>
    <mergeCell ref="C85:E85"/>
    <mergeCell ref="S85:V85"/>
    <mergeCell ref="C86:E86"/>
    <mergeCell ref="S86:V86"/>
    <mergeCell ref="C87:E87"/>
    <mergeCell ref="S87:V87"/>
    <mergeCell ref="S88:V88"/>
    <mergeCell ref="C89:E89"/>
    <mergeCell ref="S89:V89"/>
    <mergeCell ref="C90:E90"/>
    <mergeCell ref="C92:D92"/>
    <mergeCell ref="C93:D93"/>
    <mergeCell ref="C94:D94"/>
  </mergeCells>
  <dataValidations count="2">
    <dataValidation type="list" allowBlank="1" showInputMessage="1" showErrorMessage="1" sqref="K1">
      <formula1>"હા,ના"</formula1>
    </dataValidation>
    <dataValidation type="list" allowBlank="1" showInputMessage="1" showErrorMessage="1" sqref="AC1:AE1">
      <formula1>$AM$2:$AM$3</formula1>
    </dataValidation>
  </dataValidations>
  <printOptions verticalCentered="1"/>
  <pageMargins left="0.28" right="0" top="0" bottom="0" header="0" footer="0"/>
  <pageSetup paperSize="9" scale="88" orientation="portrait" blackAndWhite="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987"/>
  <sheetViews>
    <sheetView tabSelected="1" view="pageLayout" zoomScaleNormal="100" workbookViewId="0">
      <selection activeCell="G1" sqref="G1"/>
    </sheetView>
  </sheetViews>
  <sheetFormatPr defaultColWidth="0" defaultRowHeight="15" customHeight="1" zeroHeight="1"/>
  <cols>
    <col min="1" max="1" width="3" style="152" customWidth="1"/>
    <col min="2" max="2" width="1" style="149" customWidth="1"/>
    <col min="3" max="3" width="8.45454545454546" style="149" customWidth="1"/>
    <col min="4" max="4" width="2.54545454545455" style="149" customWidth="1"/>
    <col min="5" max="5" width="10.4545454545455" style="149" customWidth="1"/>
    <col min="6" max="6" width="8.45454545454546" style="149" customWidth="1"/>
    <col min="7" max="7" width="10" style="149" customWidth="1"/>
    <col min="8" max="8" width="10.8181818181818" style="149" customWidth="1"/>
    <col min="9" max="9" width="9" style="149" customWidth="1"/>
    <col min="10" max="10" width="9.72727272727273" style="149" customWidth="1"/>
    <col min="11" max="11" width="10.5454545454545" style="149" customWidth="1"/>
    <col min="12" max="12" width="9.81818181818182" style="149" customWidth="1"/>
    <col min="13" max="13" width="11" style="149" customWidth="1"/>
    <col min="14" max="14" width="9" style="149" customWidth="1"/>
    <col min="15" max="15" width="1" style="149" customWidth="1"/>
    <col min="16" max="16" width="3" style="152" customWidth="1"/>
    <col min="17" max="29" width="8" style="153" hidden="1" customWidth="1"/>
    <col min="30" max="42" width="0" style="153" hidden="1" customWidth="1"/>
    <col min="43" max="256" width="0" style="149" hidden="1" customWidth="1"/>
    <col min="257" max="16384" width="0" style="154" hidden="1"/>
  </cols>
  <sheetData>
    <row r="1" s="147" customFormat="1" ht="19.5" customHeight="1" spans="1:16384">
      <c r="A1" s="155" t="s">
        <v>133</v>
      </c>
      <c r="B1" s="155"/>
      <c r="C1" s="155"/>
      <c r="D1" s="155"/>
      <c r="E1" s="155"/>
      <c r="F1" s="155"/>
      <c r="G1" s="156" t="s">
        <v>134</v>
      </c>
      <c r="H1" s="157" t="str">
        <f>X6</f>
        <v>અંકે રૂપિયા એકાવન  હજાર છસોતેર પુરા</v>
      </c>
      <c r="I1" s="157"/>
      <c r="J1" s="157"/>
      <c r="K1" s="157"/>
      <c r="L1" s="157"/>
      <c r="M1" s="157"/>
      <c r="N1" s="157"/>
      <c r="O1" s="212"/>
      <c r="P1" s="213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XFD1" s="147" t="s">
        <v>135</v>
      </c>
    </row>
    <row r="2" ht="10.5" customHeight="1" spans="2:15">
      <c r="B2" s="158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214"/>
    </row>
    <row r="3" s="148" customFormat="1" ht="23.25" customHeight="1" spans="1:42">
      <c r="A3" s="160"/>
      <c r="B3" s="161"/>
      <c r="C3" s="162" t="s">
        <v>136</v>
      </c>
      <c r="D3" s="162"/>
      <c r="E3" s="162"/>
      <c r="F3" s="163" t="str">
        <f>IF('નવા સ્લેબ મુજબ (NEW SLAB)'!I8="","",'નવા સ્લેબ મુજબ (NEW SLAB)'!I8)</f>
        <v>PARMAR SUBHASHCHANDRA RAMESHBHAI </v>
      </c>
      <c r="G3" s="163"/>
      <c r="H3" s="163"/>
      <c r="I3" s="163"/>
      <c r="J3" s="162" t="s">
        <v>137</v>
      </c>
      <c r="K3" s="162"/>
      <c r="L3" s="163" t="str">
        <f>IF('નવા સ્લેબ મુજબ (NEW SLAB)'!I9="","",'નવા સ્લેબ મુજબ (NEW SLAB)'!I9)</f>
        <v>JUNADADAPOR P.S</v>
      </c>
      <c r="M3" s="163"/>
      <c r="N3" s="163"/>
      <c r="O3" s="215"/>
      <c r="P3" s="16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O3" s="240"/>
      <c r="AP3" s="240"/>
    </row>
    <row r="4" ht="6.75" customHeight="1" spans="2:15">
      <c r="B4" s="164"/>
      <c r="C4" s="165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216"/>
    </row>
    <row r="5" ht="55" spans="2:15">
      <c r="B5" s="164"/>
      <c r="C5" s="167" t="s">
        <v>138</v>
      </c>
      <c r="D5" s="168"/>
      <c r="E5" s="167" t="s">
        <v>139</v>
      </c>
      <c r="F5" s="167" t="s">
        <v>140</v>
      </c>
      <c r="G5" s="167" t="s">
        <v>141</v>
      </c>
      <c r="H5" s="167" t="s">
        <v>142</v>
      </c>
      <c r="I5" s="167" t="s">
        <v>143</v>
      </c>
      <c r="J5" s="167" t="s">
        <v>144</v>
      </c>
      <c r="K5" s="167" t="s">
        <v>145</v>
      </c>
      <c r="L5" s="167" t="s">
        <v>146</v>
      </c>
      <c r="M5" s="167" t="s">
        <v>147</v>
      </c>
      <c r="N5" s="217" t="s">
        <v>148</v>
      </c>
      <c r="O5" s="218"/>
    </row>
    <row r="6" s="149" customFormat="1" ht="22.5" customHeight="1" spans="1:42">
      <c r="A6" s="169"/>
      <c r="B6" s="170"/>
      <c r="C6" s="171" t="s">
        <v>149</v>
      </c>
      <c r="D6" s="172"/>
      <c r="E6" s="173">
        <v>84212</v>
      </c>
      <c r="F6" s="173">
        <v>200</v>
      </c>
      <c r="G6" s="173">
        <v>20000</v>
      </c>
      <c r="H6" s="173"/>
      <c r="I6" s="173">
        <v>800</v>
      </c>
      <c r="J6" s="173">
        <v>3500</v>
      </c>
      <c r="K6" s="173">
        <v>1021</v>
      </c>
      <c r="L6" s="173"/>
      <c r="M6" s="173"/>
      <c r="N6" s="173"/>
      <c r="O6" s="219"/>
      <c r="P6" s="169"/>
      <c r="Q6" s="153"/>
      <c r="R6" s="153" t="s">
        <v>150</v>
      </c>
      <c r="S6" s="240" t="str">
        <f>Sheet1!A12</f>
        <v>અંકે રૂપિયા બોતેર  હજાર બસોચોત્રીસ પુરા</v>
      </c>
      <c r="T6" s="153"/>
      <c r="U6" s="153"/>
      <c r="V6" s="153"/>
      <c r="W6" s="153"/>
      <c r="X6" s="153" t="str">
        <f>IF(G1="new",S6,S7)</f>
        <v>અંકે રૂપિયા એકાવન  હજાર છસોતેર પુરા</v>
      </c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</row>
    <row r="7" s="149" customFormat="1" ht="22.5" customHeight="1" spans="1:42">
      <c r="A7" s="169"/>
      <c r="B7" s="170"/>
      <c r="C7" s="174" t="s">
        <v>151</v>
      </c>
      <c r="D7" s="175"/>
      <c r="E7" s="173">
        <v>84212</v>
      </c>
      <c r="F7" s="173">
        <v>200</v>
      </c>
      <c r="G7" s="173">
        <v>20000</v>
      </c>
      <c r="H7" s="173"/>
      <c r="I7" s="173">
        <v>800</v>
      </c>
      <c r="J7" s="173">
        <v>3500</v>
      </c>
      <c r="K7" s="173">
        <v>1021</v>
      </c>
      <c r="L7" s="173"/>
      <c r="M7" s="173"/>
      <c r="N7" s="173"/>
      <c r="O7" s="219"/>
      <c r="P7" s="169"/>
      <c r="Q7" s="153"/>
      <c r="R7" s="153" t="s">
        <v>134</v>
      </c>
      <c r="S7" s="153" t="str">
        <f>Sheet1!A25</f>
        <v>અંકે રૂપિયા એકાવન  હજાર છસોતેર પુરા</v>
      </c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</row>
    <row r="8" s="149" customFormat="1" ht="22.5" customHeight="1" spans="1:42">
      <c r="A8" s="169"/>
      <c r="B8" s="170"/>
      <c r="C8" s="174" t="s">
        <v>152</v>
      </c>
      <c r="D8" s="175"/>
      <c r="E8" s="173">
        <v>84212</v>
      </c>
      <c r="F8" s="173">
        <v>200</v>
      </c>
      <c r="G8" s="173">
        <v>20000</v>
      </c>
      <c r="H8" s="173"/>
      <c r="I8" s="173">
        <v>800</v>
      </c>
      <c r="J8" s="173">
        <v>3500</v>
      </c>
      <c r="K8" s="173">
        <v>1021</v>
      </c>
      <c r="L8" s="173"/>
      <c r="M8" s="173"/>
      <c r="N8" s="173"/>
      <c r="O8" s="219"/>
      <c r="P8" s="169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</row>
    <row r="9" s="149" customFormat="1" ht="22.5" customHeight="1" spans="1:42">
      <c r="A9" s="169"/>
      <c r="B9" s="170"/>
      <c r="C9" s="174" t="s">
        <v>153</v>
      </c>
      <c r="D9" s="175"/>
      <c r="E9" s="173">
        <v>88900</v>
      </c>
      <c r="F9" s="173">
        <v>200</v>
      </c>
      <c r="G9" s="173">
        <v>20000</v>
      </c>
      <c r="H9" s="173"/>
      <c r="I9" s="173">
        <v>800</v>
      </c>
      <c r="J9" s="173">
        <v>3500</v>
      </c>
      <c r="K9" s="173">
        <v>1021</v>
      </c>
      <c r="L9" s="173"/>
      <c r="M9" s="173"/>
      <c r="N9" s="173"/>
      <c r="O9" s="219"/>
      <c r="P9" s="169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</row>
    <row r="10" s="149" customFormat="1" ht="22.5" customHeight="1" spans="1:42">
      <c r="A10" s="169"/>
      <c r="B10" s="170"/>
      <c r="C10" s="174" t="s">
        <v>154</v>
      </c>
      <c r="D10" s="175"/>
      <c r="E10" s="173">
        <v>91750</v>
      </c>
      <c r="F10" s="173">
        <v>200</v>
      </c>
      <c r="G10" s="173">
        <v>20000</v>
      </c>
      <c r="H10" s="173"/>
      <c r="I10" s="173">
        <v>800</v>
      </c>
      <c r="J10" s="173">
        <v>3500</v>
      </c>
      <c r="K10" s="173">
        <v>1021</v>
      </c>
      <c r="L10" s="173"/>
      <c r="M10" s="173"/>
      <c r="N10" s="173"/>
      <c r="O10" s="219"/>
      <c r="P10" s="169"/>
      <c r="Q10" s="153"/>
      <c r="R10" s="153"/>
      <c r="S10" s="241">
        <f>SUM(J6:J16)</f>
        <v>38500</v>
      </c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</row>
    <row r="11" s="149" customFormat="1" ht="22.5" customHeight="1" spans="1:42">
      <c r="A11" s="169"/>
      <c r="B11" s="170"/>
      <c r="C11" s="174" t="s">
        <v>155</v>
      </c>
      <c r="D11" s="175"/>
      <c r="E11" s="173">
        <v>91750</v>
      </c>
      <c r="F11" s="173">
        <v>200</v>
      </c>
      <c r="G11" s="173">
        <v>20000</v>
      </c>
      <c r="H11" s="173"/>
      <c r="I11" s="173">
        <v>800</v>
      </c>
      <c r="J11" s="173">
        <v>3500</v>
      </c>
      <c r="K11" s="173">
        <v>1021</v>
      </c>
      <c r="L11" s="173"/>
      <c r="M11" s="173"/>
      <c r="N11" s="173"/>
      <c r="O11" s="219"/>
      <c r="P11" s="169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</row>
    <row r="12" s="149" customFormat="1" ht="22.5" customHeight="1" spans="1:42">
      <c r="A12" s="169"/>
      <c r="B12" s="170"/>
      <c r="C12" s="174" t="s">
        <v>156</v>
      </c>
      <c r="D12" s="175"/>
      <c r="E12" s="173">
        <v>91750</v>
      </c>
      <c r="F12" s="173">
        <v>200</v>
      </c>
      <c r="G12" s="173">
        <v>20000</v>
      </c>
      <c r="H12" s="173"/>
      <c r="I12" s="173">
        <v>800</v>
      </c>
      <c r="J12" s="173">
        <v>3500</v>
      </c>
      <c r="K12" s="173">
        <v>1021</v>
      </c>
      <c r="L12" s="173"/>
      <c r="M12" s="173"/>
      <c r="N12" s="173"/>
      <c r="O12" s="219"/>
      <c r="P12" s="169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</row>
    <row r="13" s="149" customFormat="1" ht="22.5" customHeight="1" spans="1:42">
      <c r="A13" s="169"/>
      <c r="B13" s="170"/>
      <c r="C13" s="174" t="s">
        <v>157</v>
      </c>
      <c r="D13" s="175"/>
      <c r="E13" s="173">
        <v>91750</v>
      </c>
      <c r="F13" s="173">
        <v>200</v>
      </c>
      <c r="G13" s="173">
        <v>20000</v>
      </c>
      <c r="H13" s="173"/>
      <c r="I13" s="173">
        <v>800</v>
      </c>
      <c r="J13" s="173">
        <v>3500</v>
      </c>
      <c r="K13" s="173">
        <v>1021</v>
      </c>
      <c r="L13" s="173"/>
      <c r="M13" s="173"/>
      <c r="N13" s="173"/>
      <c r="O13" s="219"/>
      <c r="P13" s="169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</row>
    <row r="14" s="149" customFormat="1" ht="22.5" customHeight="1" spans="1:42">
      <c r="A14" s="169"/>
      <c r="B14" s="170"/>
      <c r="C14" s="174" t="s">
        <v>158</v>
      </c>
      <c r="D14" s="175"/>
      <c r="E14" s="173">
        <v>91750</v>
      </c>
      <c r="F14" s="173">
        <v>200</v>
      </c>
      <c r="G14" s="173">
        <v>20000</v>
      </c>
      <c r="H14" s="173"/>
      <c r="I14" s="173">
        <v>800</v>
      </c>
      <c r="J14" s="173">
        <v>3500</v>
      </c>
      <c r="K14" s="173">
        <v>1021</v>
      </c>
      <c r="L14" s="173"/>
      <c r="M14" s="173"/>
      <c r="N14" s="173"/>
      <c r="O14" s="219"/>
      <c r="P14" s="169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</row>
    <row r="15" s="149" customFormat="1" ht="22.5" customHeight="1" spans="1:42">
      <c r="A15" s="169"/>
      <c r="B15" s="170"/>
      <c r="C15" s="174" t="s">
        <v>159</v>
      </c>
      <c r="D15" s="175"/>
      <c r="E15" s="173">
        <v>91750</v>
      </c>
      <c r="F15" s="173">
        <v>200</v>
      </c>
      <c r="G15" s="173">
        <v>20000</v>
      </c>
      <c r="H15" s="173"/>
      <c r="I15" s="173">
        <v>800</v>
      </c>
      <c r="J15" s="173">
        <v>3500</v>
      </c>
      <c r="K15" s="173">
        <v>1021</v>
      </c>
      <c r="L15" s="173"/>
      <c r="M15" s="173"/>
      <c r="N15" s="173"/>
      <c r="O15" s="219"/>
      <c r="P15" s="169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</row>
    <row r="16" s="149" customFormat="1" ht="22.5" customHeight="1" spans="1:42">
      <c r="A16" s="169"/>
      <c r="B16" s="170"/>
      <c r="C16" s="174" t="s">
        <v>160</v>
      </c>
      <c r="D16" s="175"/>
      <c r="E16" s="173">
        <v>91750</v>
      </c>
      <c r="F16" s="173">
        <v>200</v>
      </c>
      <c r="G16" s="173">
        <v>20000</v>
      </c>
      <c r="H16" s="173"/>
      <c r="I16" s="173">
        <v>800</v>
      </c>
      <c r="J16" s="173">
        <v>3500</v>
      </c>
      <c r="K16" s="173">
        <v>1021</v>
      </c>
      <c r="L16" s="173"/>
      <c r="M16" s="173"/>
      <c r="N16" s="173"/>
      <c r="O16" s="219"/>
      <c r="P16" s="169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</row>
    <row r="17" s="149" customFormat="1" ht="22.5" customHeight="1" spans="1:42">
      <c r="A17" s="169"/>
      <c r="B17" s="170"/>
      <c r="C17" s="174" t="s">
        <v>161</v>
      </c>
      <c r="D17" s="175"/>
      <c r="E17" s="173">
        <v>91750</v>
      </c>
      <c r="F17" s="173">
        <v>200</v>
      </c>
      <c r="G17" s="173">
        <v>20000</v>
      </c>
      <c r="H17" s="173"/>
      <c r="I17" s="173">
        <v>800</v>
      </c>
      <c r="J17" s="173">
        <v>13113</v>
      </c>
      <c r="K17" s="173">
        <v>1021</v>
      </c>
      <c r="L17" s="173">
        <v>200000</v>
      </c>
      <c r="M17" s="173">
        <v>30000</v>
      </c>
      <c r="N17" s="173"/>
      <c r="O17" s="219"/>
      <c r="P17" s="220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</row>
    <row r="18" s="150" customFormat="1" ht="25.5" customHeight="1" spans="1:42">
      <c r="A18" s="176"/>
      <c r="B18" s="177"/>
      <c r="C18" s="178" t="s">
        <v>162</v>
      </c>
      <c r="D18" s="179"/>
      <c r="E18" s="180">
        <f t="shared" ref="E18:N18" si="0">SUM(E6:E17)</f>
        <v>1075536</v>
      </c>
      <c r="F18" s="180">
        <f t="shared" si="0"/>
        <v>2400</v>
      </c>
      <c r="G18" s="180">
        <f t="shared" si="0"/>
        <v>240000</v>
      </c>
      <c r="H18" s="180">
        <f t="shared" si="0"/>
        <v>0</v>
      </c>
      <c r="I18" s="180">
        <f t="shared" si="0"/>
        <v>9600</v>
      </c>
      <c r="J18" s="180">
        <f t="shared" si="0"/>
        <v>51613</v>
      </c>
      <c r="K18" s="180">
        <f t="shared" si="0"/>
        <v>12252</v>
      </c>
      <c r="L18" s="180">
        <f t="shared" si="0"/>
        <v>200000</v>
      </c>
      <c r="M18" s="180">
        <f t="shared" si="0"/>
        <v>30000</v>
      </c>
      <c r="N18" s="180">
        <f t="shared" si="0"/>
        <v>0</v>
      </c>
      <c r="O18" s="221"/>
      <c r="P18" s="176"/>
      <c r="Q18" s="242"/>
      <c r="R18" s="242"/>
      <c r="S18" s="242"/>
      <c r="T18" s="242"/>
      <c r="U18" s="242"/>
      <c r="V18" s="242"/>
      <c r="W18" s="242"/>
      <c r="X18" s="242"/>
      <c r="Y18" s="242"/>
      <c r="Z18" s="242"/>
      <c r="AA18" s="242"/>
      <c r="AB18" s="242"/>
      <c r="AC18" s="240"/>
      <c r="AD18" s="240"/>
      <c r="AE18" s="240"/>
      <c r="AF18" s="240"/>
      <c r="AG18" s="240"/>
      <c r="AH18" s="240"/>
      <c r="AI18" s="240"/>
      <c r="AJ18" s="240"/>
      <c r="AK18" s="240"/>
      <c r="AL18" s="240"/>
      <c r="AM18" s="240"/>
      <c r="AN18" s="240"/>
      <c r="AO18" s="240"/>
      <c r="AP18" s="240"/>
    </row>
    <row r="19" ht="9" customHeight="1" spans="2:15">
      <c r="B19" s="164"/>
      <c r="C19" s="181"/>
      <c r="D19" s="182"/>
      <c r="O19" s="216"/>
    </row>
    <row r="20" ht="22.5" customHeight="1" spans="2:15">
      <c r="B20" s="164"/>
      <c r="C20" s="183" t="s">
        <v>163</v>
      </c>
      <c r="D20" s="184" t="s">
        <v>164</v>
      </c>
      <c r="E20" s="185"/>
      <c r="F20" s="186" t="s">
        <v>165</v>
      </c>
      <c r="G20" s="187"/>
      <c r="H20" s="188"/>
      <c r="I20" s="188"/>
      <c r="J20" s="188"/>
      <c r="K20" s="188"/>
      <c r="L20" s="188"/>
      <c r="M20" s="188"/>
      <c r="N20" s="188"/>
      <c r="O20" s="222"/>
    </row>
    <row r="21" ht="22.5" customHeight="1" spans="2:15">
      <c r="B21" s="164"/>
      <c r="C21" s="183" t="s">
        <v>166</v>
      </c>
      <c r="D21" s="184" t="s">
        <v>164</v>
      </c>
      <c r="E21" s="185"/>
      <c r="F21" s="186" t="s">
        <v>165</v>
      </c>
      <c r="G21" s="187"/>
      <c r="H21" s="188"/>
      <c r="I21" s="188"/>
      <c r="J21" s="188"/>
      <c r="K21" s="188"/>
      <c r="L21" s="188"/>
      <c r="M21" s="188"/>
      <c r="N21" s="188"/>
      <c r="O21" s="222"/>
    </row>
    <row r="22" ht="22.5" customHeight="1" spans="2:15">
      <c r="B22" s="164"/>
      <c r="C22" s="183" t="s">
        <v>167</v>
      </c>
      <c r="D22" s="184" t="s">
        <v>164</v>
      </c>
      <c r="E22" s="185">
        <v>14064</v>
      </c>
      <c r="F22" s="186" t="s">
        <v>168</v>
      </c>
      <c r="G22" s="187"/>
      <c r="H22" s="188"/>
      <c r="I22" s="188"/>
      <c r="J22" s="188"/>
      <c r="K22" s="188"/>
      <c r="L22" s="188"/>
      <c r="M22" s="188"/>
      <c r="N22" s="188"/>
      <c r="O22" s="222"/>
    </row>
    <row r="23" ht="22.5" customHeight="1" spans="2:15">
      <c r="B23" s="164"/>
      <c r="C23" s="183" t="s">
        <v>169</v>
      </c>
      <c r="D23" s="184" t="s">
        <v>164</v>
      </c>
      <c r="E23" s="185">
        <v>23440</v>
      </c>
      <c r="F23" s="186" t="s">
        <v>45</v>
      </c>
      <c r="G23" s="187"/>
      <c r="H23" s="188"/>
      <c r="I23" s="188"/>
      <c r="J23" s="188"/>
      <c r="K23" s="188"/>
      <c r="L23" s="188"/>
      <c r="M23" s="188"/>
      <c r="N23" s="188"/>
      <c r="O23" s="222"/>
    </row>
    <row r="24" ht="18.75" customHeight="1" spans="2:15">
      <c r="B24" s="164"/>
      <c r="C24" s="189"/>
      <c r="D24" s="190"/>
      <c r="E24" s="191"/>
      <c r="F24" s="192"/>
      <c r="G24" s="192"/>
      <c r="H24" s="192"/>
      <c r="I24" s="223"/>
      <c r="J24" s="224" t="s">
        <v>170</v>
      </c>
      <c r="K24" s="224"/>
      <c r="L24" s="224"/>
      <c r="M24" s="224"/>
      <c r="N24" s="224"/>
      <c r="O24" s="225"/>
    </row>
    <row r="25" ht="57.75" customHeight="1" spans="2:15">
      <c r="B25" s="164"/>
      <c r="C25" s="181"/>
      <c r="D25" s="193" t="s">
        <v>164</v>
      </c>
      <c r="E25" s="194">
        <f>SUM(E18+E20+E21+E22+E23)</f>
        <v>1113040</v>
      </c>
      <c r="F25" s="195"/>
      <c r="G25" s="196" t="s">
        <v>171</v>
      </c>
      <c r="H25" s="196"/>
      <c r="I25" s="226"/>
      <c r="J25" s="227" t="s">
        <v>172</v>
      </c>
      <c r="K25" s="228"/>
      <c r="L25" s="228"/>
      <c r="M25" s="228"/>
      <c r="N25" s="228"/>
      <c r="O25" s="229"/>
    </row>
    <row r="26" ht="27" customHeight="1" spans="2:15">
      <c r="B26" s="164"/>
      <c r="C26" s="181"/>
      <c r="D26" s="197"/>
      <c r="E26" s="198"/>
      <c r="F26" s="198"/>
      <c r="G26" s="199"/>
      <c r="H26" s="199"/>
      <c r="I26" s="199"/>
      <c r="J26" s="183" t="s">
        <v>173</v>
      </c>
      <c r="K26" s="230"/>
      <c r="L26" s="230"/>
      <c r="M26" s="231"/>
      <c r="N26" s="231"/>
      <c r="O26" s="232"/>
    </row>
    <row r="27" s="149" customFormat="1" ht="14" spans="1:42">
      <c r="A27" s="169"/>
      <c r="B27" s="170"/>
      <c r="C27" s="200"/>
      <c r="D27" s="201"/>
      <c r="E27" s="202"/>
      <c r="F27" s="202"/>
      <c r="G27" s="202"/>
      <c r="H27" s="202"/>
      <c r="I27" s="202"/>
      <c r="J27" s="202"/>
      <c r="K27" s="186" t="s">
        <v>174</v>
      </c>
      <c r="L27" s="228"/>
      <c r="M27" s="228"/>
      <c r="N27" s="228"/>
      <c r="O27" s="233"/>
      <c r="P27" s="169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</row>
    <row r="28" s="149" customFormat="1" ht="18" customHeight="1" spans="1:42">
      <c r="A28" s="203"/>
      <c r="B28" s="204"/>
      <c r="C28" s="205" t="s">
        <v>175</v>
      </c>
      <c r="D28" s="205"/>
      <c r="E28" s="205"/>
      <c r="F28" s="205"/>
      <c r="G28" s="206" t="s">
        <v>176</v>
      </c>
      <c r="H28" s="206"/>
      <c r="I28" s="234"/>
      <c r="J28" s="234"/>
      <c r="K28" s="234"/>
      <c r="L28" s="234"/>
      <c r="M28" s="234"/>
      <c r="N28" s="234"/>
      <c r="O28" s="235"/>
      <c r="P28" s="20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  <c r="AK28" s="243"/>
      <c r="AL28" s="243"/>
      <c r="AM28" s="243"/>
      <c r="AN28" s="243"/>
      <c r="AO28" s="243"/>
      <c r="AP28" s="243"/>
    </row>
    <row r="29" ht="26.25" customHeight="1" spans="2:15">
      <c r="B29" s="164"/>
      <c r="J29" s="183"/>
      <c r="K29" s="236"/>
      <c r="L29" s="236"/>
      <c r="M29" s="236"/>
      <c r="N29" s="236"/>
      <c r="O29" s="216"/>
    </row>
    <row r="30" s="151" customFormat="1" ht="18" customHeight="1" spans="1:42">
      <c r="A30" s="207"/>
      <c r="B30" s="208"/>
      <c r="C30" s="209" t="s">
        <v>177</v>
      </c>
      <c r="D30" s="210"/>
      <c r="E30" s="210"/>
      <c r="F30" s="209"/>
      <c r="G30" s="211"/>
      <c r="H30" s="211"/>
      <c r="I30" s="237"/>
      <c r="J30" s="237"/>
      <c r="K30" s="209"/>
      <c r="L30" s="209"/>
      <c r="M30" s="209"/>
      <c r="N30" s="209"/>
      <c r="O30" s="238"/>
      <c r="P30" s="207"/>
      <c r="Q30" s="244"/>
      <c r="R30" s="244"/>
      <c r="S30" s="244"/>
      <c r="T30" s="244"/>
      <c r="U30" s="244"/>
      <c r="V30" s="244"/>
      <c r="W30" s="244"/>
      <c r="X30" s="244"/>
      <c r="Y30" s="244"/>
      <c r="Z30" s="244"/>
      <c r="AA30" s="244"/>
      <c r="AB30" s="244"/>
      <c r="AC30" s="244"/>
      <c r="AD30" s="244"/>
      <c r="AE30" s="244"/>
      <c r="AF30" s="244"/>
      <c r="AG30" s="244"/>
      <c r="AH30" s="244"/>
      <c r="AI30" s="244"/>
      <c r="AJ30" s="244"/>
      <c r="AK30" s="244"/>
      <c r="AL30" s="244"/>
      <c r="AM30" s="244"/>
      <c r="AN30" s="244"/>
      <c r="AO30" s="244"/>
      <c r="AP30" s="244"/>
    </row>
    <row r="31" ht="25.5" hidden="1" customHeight="1" spans="3:3">
      <c r="C31" s="149"/>
    </row>
    <row r="32" ht="25.5" hidden="1" customHeight="1"/>
    <row r="33" ht="25.5" hidden="1" customHeight="1"/>
    <row r="34" ht="25.5" hidden="1" customHeight="1"/>
    <row r="35" ht="25.5" hidden="1" customHeight="1"/>
    <row r="36" ht="25.5" hidden="1" customHeight="1"/>
    <row r="37" ht="25.5" hidden="1" customHeight="1"/>
    <row r="38" ht="25.5" hidden="1" customHeight="1"/>
    <row r="39" ht="25.5" hidden="1" customHeight="1"/>
    <row r="40" ht="25.5" hidden="1" customHeight="1"/>
    <row r="41" ht="25.5" hidden="1" customHeight="1"/>
    <row r="42" ht="25.5" hidden="1" customHeight="1"/>
    <row r="43" ht="25.5" hidden="1" customHeight="1"/>
    <row r="44" ht="25.5" hidden="1" customHeight="1"/>
    <row r="45" ht="25.5" hidden="1" customHeight="1"/>
    <row r="46" ht="25.5" hidden="1" customHeight="1"/>
    <row r="47" ht="25.5" hidden="1" customHeight="1"/>
    <row r="48" ht="25.5" hidden="1" customHeight="1"/>
    <row r="49" ht="25.5" hidden="1" customHeight="1"/>
    <row r="50" ht="25.5" hidden="1" customHeight="1"/>
    <row r="51" ht="25.5" hidden="1" customHeight="1"/>
    <row r="52" ht="25.5" hidden="1" customHeight="1"/>
    <row r="53" ht="25.5" hidden="1" customHeight="1"/>
    <row r="54" ht="25.5" hidden="1" customHeight="1"/>
    <row r="55" ht="25.5" hidden="1" customHeight="1"/>
    <row r="56" ht="25.5" hidden="1" customHeight="1"/>
    <row r="57" ht="25.5" hidden="1" customHeight="1"/>
    <row r="58" ht="25.5" hidden="1" customHeight="1"/>
    <row r="59" ht="25.5" hidden="1" customHeight="1"/>
    <row r="60" ht="25.5" hidden="1" customHeight="1"/>
    <row r="61" ht="25.5" hidden="1" customHeight="1"/>
    <row r="62" ht="25.5" hidden="1" customHeight="1"/>
    <row r="63" ht="25.5" hidden="1" customHeight="1"/>
    <row r="64" ht="25.5" hidden="1" customHeight="1"/>
    <row r="65" ht="25.5" hidden="1" customHeight="1"/>
    <row r="66" ht="25.5" hidden="1" customHeight="1"/>
    <row r="67" ht="25.5" hidden="1" customHeight="1"/>
    <row r="68" ht="25.5" hidden="1" customHeight="1"/>
    <row r="69" ht="25.5" hidden="1" customHeight="1"/>
    <row r="70" ht="25.5" hidden="1" customHeight="1"/>
    <row r="71" ht="25.5" hidden="1" customHeight="1"/>
    <row r="72" ht="25.5" hidden="1" customHeight="1"/>
    <row r="73" ht="25.5" hidden="1" customHeight="1"/>
    <row r="74" ht="25.5" hidden="1" customHeight="1"/>
    <row r="75" ht="25.5" hidden="1" customHeight="1"/>
    <row r="76" ht="25.5" hidden="1" customHeight="1"/>
    <row r="77" ht="25.5" hidden="1" customHeight="1"/>
    <row r="78" ht="25.5" hidden="1" customHeight="1"/>
    <row r="79" ht="25.5" hidden="1" customHeight="1"/>
    <row r="80" ht="25.5" hidden="1" customHeight="1"/>
    <row r="81" ht="25.5" hidden="1" customHeight="1"/>
    <row r="82" ht="25.5" hidden="1" customHeight="1"/>
    <row r="83" ht="25.5" hidden="1" customHeight="1"/>
    <row r="84" ht="25.5" hidden="1" customHeight="1"/>
    <row r="85" ht="25.5" hidden="1" customHeight="1"/>
    <row r="86" ht="25.5" hidden="1" customHeight="1"/>
    <row r="87" ht="25.5" hidden="1" customHeight="1"/>
    <row r="88" ht="25.5" hidden="1" customHeight="1"/>
    <row r="89" ht="25.5" hidden="1" customHeight="1"/>
    <row r="90" ht="25.5" hidden="1" customHeight="1"/>
    <row r="91" ht="25.5" hidden="1" customHeight="1"/>
    <row r="92" ht="25.5" hidden="1" customHeight="1"/>
    <row r="93" ht="25.5" hidden="1" customHeight="1"/>
    <row r="94" ht="25.5" hidden="1" customHeight="1"/>
    <row r="95" ht="25.5" hidden="1" customHeight="1"/>
    <row r="96" ht="25.5" hidden="1" customHeight="1"/>
    <row r="97" ht="25.5" hidden="1" customHeight="1"/>
    <row r="98" ht="25.5" hidden="1" customHeight="1"/>
    <row r="99" ht="25.5" hidden="1" customHeight="1"/>
    <row r="100" ht="25.5" hidden="1" customHeight="1"/>
    <row r="101" ht="25.5" hidden="1" customHeight="1"/>
    <row r="102" ht="25.5" hidden="1" customHeight="1"/>
    <row r="103" ht="25.5" hidden="1" customHeight="1"/>
    <row r="104" ht="25.5" hidden="1" customHeight="1"/>
    <row r="105" ht="25.5" hidden="1" customHeight="1"/>
    <row r="106" ht="25.5" hidden="1" customHeight="1"/>
    <row r="107" ht="25.5" hidden="1" customHeight="1"/>
    <row r="108" ht="25.5" hidden="1" customHeight="1"/>
    <row r="109" ht="25.5" hidden="1" customHeight="1"/>
    <row r="110" ht="25.5" hidden="1" customHeight="1"/>
    <row r="111" ht="25.5" hidden="1" customHeight="1"/>
    <row r="112" ht="25.5" hidden="1" customHeight="1"/>
    <row r="113" ht="25.5" hidden="1" customHeight="1"/>
    <row r="114" ht="25.5" hidden="1" customHeight="1"/>
    <row r="115" ht="25.5" hidden="1" customHeight="1"/>
    <row r="116" ht="25.5" hidden="1" customHeight="1"/>
    <row r="117" ht="25.5" hidden="1" customHeight="1"/>
    <row r="118" ht="25.5" hidden="1" customHeight="1"/>
    <row r="119" ht="25.5" hidden="1" customHeight="1"/>
    <row r="120" ht="25.5" hidden="1" customHeight="1"/>
    <row r="121" ht="25.5" hidden="1" customHeight="1"/>
    <row r="122" ht="25.5" hidden="1" customHeight="1"/>
    <row r="123" ht="25.5" hidden="1" customHeight="1"/>
    <row r="124" ht="25.5" hidden="1" customHeight="1"/>
    <row r="125" ht="25.5" hidden="1" customHeight="1"/>
    <row r="126" ht="25.5" hidden="1" customHeight="1"/>
    <row r="127" ht="25.5" hidden="1" customHeight="1"/>
    <row r="128" ht="25.5" hidden="1" customHeight="1"/>
    <row r="129" ht="25.5" hidden="1" customHeight="1"/>
    <row r="130" ht="25.5" hidden="1" customHeight="1"/>
    <row r="131" ht="25.5" hidden="1" customHeight="1"/>
    <row r="132" ht="25.5" hidden="1" customHeight="1"/>
    <row r="133" ht="25.5" hidden="1" customHeight="1"/>
    <row r="134" ht="25.5" hidden="1" customHeight="1"/>
    <row r="135" ht="25.5" hidden="1" customHeight="1"/>
    <row r="136" ht="25.5" hidden="1" customHeight="1"/>
    <row r="137" ht="25.5" hidden="1" customHeight="1"/>
    <row r="138" ht="25.5" hidden="1" customHeight="1"/>
    <row r="139" ht="25.5" hidden="1" customHeight="1"/>
    <row r="140" ht="25.5" hidden="1" customHeight="1"/>
    <row r="141" ht="25.5" hidden="1" customHeight="1"/>
    <row r="142" ht="25.5" hidden="1" customHeight="1"/>
    <row r="143" ht="25.5" hidden="1" customHeight="1"/>
    <row r="144" ht="25.5" hidden="1" customHeight="1"/>
    <row r="145" ht="25.5" hidden="1" customHeight="1"/>
    <row r="146" ht="25.5" hidden="1" customHeight="1"/>
    <row r="147" ht="25.5" hidden="1" customHeight="1"/>
    <row r="148" ht="25.5" hidden="1" customHeight="1"/>
    <row r="149" ht="25.5" hidden="1" customHeight="1"/>
    <row r="150" ht="25.5" hidden="1" customHeight="1"/>
    <row r="151" ht="25.5" hidden="1" customHeight="1"/>
    <row r="152" ht="25.5" hidden="1" customHeight="1"/>
    <row r="153" ht="25.5" hidden="1" customHeight="1"/>
    <row r="154" ht="25.5" hidden="1" customHeight="1"/>
    <row r="155" ht="25.5" hidden="1" customHeight="1"/>
    <row r="156" ht="25.5" hidden="1" customHeight="1"/>
    <row r="157" ht="25.5" hidden="1" customHeight="1"/>
    <row r="158" ht="25.5" hidden="1" customHeight="1"/>
    <row r="159" ht="25.5" hidden="1" customHeight="1"/>
    <row r="160" ht="25.5" hidden="1" customHeight="1"/>
    <row r="161" ht="25.5" hidden="1" customHeight="1"/>
    <row r="162" ht="25.5" hidden="1" customHeight="1"/>
    <row r="163" ht="25.5" hidden="1" customHeight="1"/>
    <row r="164" ht="25.5" hidden="1" customHeight="1"/>
    <row r="165" ht="25.5" hidden="1" customHeight="1"/>
    <row r="166" ht="25.5" hidden="1" customHeight="1"/>
    <row r="167" ht="25.5" hidden="1" customHeight="1"/>
    <row r="168" ht="25.5" hidden="1" customHeight="1"/>
    <row r="169" ht="25.5" hidden="1" customHeight="1"/>
    <row r="170" ht="25.5" hidden="1" customHeight="1"/>
    <row r="171" ht="25.5" hidden="1" customHeight="1"/>
    <row r="172" ht="25.5" hidden="1" customHeight="1"/>
    <row r="173" ht="25.5" hidden="1" customHeight="1"/>
    <row r="174" ht="25.5" hidden="1" customHeight="1"/>
    <row r="175" ht="25.5" hidden="1" customHeight="1"/>
    <row r="176" ht="25.5" hidden="1" customHeight="1"/>
    <row r="177" ht="25.5" hidden="1" customHeight="1"/>
    <row r="178" ht="25.5" hidden="1" customHeight="1"/>
    <row r="179" ht="25.5" hidden="1" customHeight="1"/>
    <row r="180" ht="25.5" hidden="1" customHeight="1"/>
    <row r="181" ht="25.5" hidden="1" customHeight="1"/>
    <row r="182" ht="25.5" hidden="1" customHeight="1"/>
    <row r="183" ht="25.5" hidden="1" customHeight="1"/>
    <row r="184" ht="25.5" hidden="1" customHeight="1"/>
    <row r="185" ht="25.5" hidden="1" customHeight="1"/>
    <row r="186" ht="25.5" hidden="1" customHeight="1"/>
    <row r="187" ht="25.5" hidden="1" customHeight="1"/>
    <row r="188" ht="25.5" hidden="1" customHeight="1"/>
    <row r="189" ht="25.5" hidden="1" customHeight="1"/>
    <row r="190" ht="25.5" hidden="1" customHeight="1"/>
    <row r="191" ht="25.5" hidden="1" customHeight="1"/>
    <row r="192" ht="25.5" hidden="1" customHeight="1"/>
    <row r="193" ht="25.5" hidden="1" customHeight="1"/>
    <row r="194" ht="25.5" hidden="1" customHeight="1"/>
    <row r="195" ht="25.5" hidden="1" customHeight="1"/>
    <row r="196" ht="25.5" hidden="1" customHeight="1"/>
    <row r="197" ht="25.5" hidden="1" customHeight="1"/>
    <row r="198" ht="25.5" hidden="1" customHeight="1"/>
    <row r="199" ht="25.5" hidden="1" customHeight="1"/>
    <row r="200" ht="25.5" hidden="1" customHeight="1"/>
    <row r="201" ht="25.5" hidden="1" customHeight="1"/>
    <row r="202" ht="25.5" hidden="1" customHeight="1"/>
    <row r="203" ht="25.5" hidden="1" customHeight="1"/>
    <row r="204" ht="25.5" hidden="1" customHeight="1"/>
    <row r="205" ht="25.5" hidden="1" customHeight="1"/>
    <row r="206" ht="25.5" hidden="1" customHeight="1"/>
    <row r="207" ht="25.5" hidden="1" customHeight="1"/>
    <row r="208" ht="25.5" hidden="1" customHeight="1"/>
    <row r="209" ht="25.5" hidden="1" customHeight="1"/>
    <row r="210" ht="25.5" hidden="1" customHeight="1"/>
    <row r="211" ht="25.5" hidden="1" customHeight="1"/>
    <row r="212" ht="25.5" hidden="1" customHeight="1"/>
    <row r="213" ht="25.5" hidden="1" customHeight="1"/>
    <row r="214" ht="25.5" hidden="1" customHeight="1"/>
    <row r="215" ht="25.5" hidden="1" customHeight="1"/>
    <row r="216" ht="25.5" hidden="1" customHeight="1"/>
    <row r="217" ht="25.5" hidden="1" customHeight="1"/>
    <row r="218" ht="25.5" hidden="1" customHeight="1"/>
    <row r="219" ht="25.5" hidden="1" customHeight="1"/>
    <row r="220" ht="25.5" hidden="1" customHeight="1"/>
    <row r="221" ht="25.5" hidden="1" customHeight="1"/>
    <row r="222" ht="25.5" hidden="1" customHeight="1"/>
    <row r="223" ht="25.5" hidden="1" customHeight="1"/>
    <row r="224" ht="25.5" hidden="1" customHeight="1"/>
    <row r="225" ht="25.5" hidden="1" customHeight="1"/>
    <row r="226" ht="25.5" hidden="1" customHeight="1"/>
    <row r="227" ht="25.5" hidden="1" customHeight="1"/>
    <row r="228" ht="25.5" hidden="1" customHeight="1"/>
    <row r="229" ht="25.5" hidden="1" customHeight="1"/>
    <row r="230" ht="25.5" hidden="1" customHeight="1"/>
    <row r="231" ht="25.5" hidden="1" customHeight="1"/>
    <row r="232" ht="25.5" hidden="1" customHeight="1"/>
    <row r="233" ht="25.5" hidden="1" customHeight="1"/>
    <row r="234" ht="25.5" hidden="1" customHeight="1"/>
    <row r="235" ht="25.5" hidden="1" customHeight="1"/>
    <row r="236" ht="25.5" hidden="1" customHeight="1"/>
    <row r="237" ht="25.5" hidden="1" customHeight="1"/>
    <row r="238" ht="25.5" hidden="1" customHeight="1"/>
    <row r="239" ht="25.5" hidden="1" customHeight="1"/>
    <row r="240" ht="25.5" hidden="1" customHeight="1"/>
    <row r="241" ht="25.5" hidden="1" customHeight="1"/>
    <row r="242" ht="25.5" hidden="1" customHeight="1"/>
    <row r="243" ht="25.5" hidden="1" customHeight="1"/>
    <row r="244" ht="25.5" hidden="1" customHeight="1"/>
    <row r="245" ht="25.5" hidden="1" customHeight="1"/>
    <row r="246" ht="25.5" hidden="1" customHeight="1"/>
    <row r="247" ht="25.5" hidden="1" customHeight="1"/>
    <row r="248" ht="25.5" hidden="1" customHeight="1"/>
    <row r="249" ht="25.5" hidden="1" customHeight="1"/>
    <row r="250" ht="25.5" hidden="1" customHeight="1"/>
    <row r="251" ht="25.5" hidden="1" customHeight="1"/>
    <row r="252" ht="25.5" hidden="1" customHeight="1"/>
    <row r="253" ht="25.5" hidden="1" customHeight="1"/>
    <row r="254" ht="25.5" hidden="1" customHeight="1"/>
    <row r="255" ht="25.5" hidden="1" customHeight="1"/>
    <row r="256" ht="25.5" hidden="1" customHeight="1"/>
    <row r="257" ht="25.5" hidden="1" customHeight="1"/>
    <row r="258" ht="25.5" hidden="1" customHeight="1"/>
    <row r="259" ht="25.5" hidden="1" customHeight="1"/>
    <row r="260" ht="25.5" hidden="1" customHeight="1"/>
    <row r="261" ht="25.5" hidden="1" customHeight="1"/>
    <row r="262" ht="25.5" hidden="1" customHeight="1"/>
    <row r="263" ht="25.5" hidden="1" customHeight="1"/>
    <row r="264" ht="25.5" hidden="1" customHeight="1"/>
    <row r="265" ht="25.5" hidden="1" customHeight="1"/>
    <row r="266" ht="25.5" hidden="1" customHeight="1"/>
    <row r="267" ht="25.5" hidden="1" customHeight="1"/>
    <row r="268" ht="25.5" hidden="1" customHeight="1"/>
    <row r="269" ht="25.5" hidden="1" customHeight="1"/>
    <row r="270" ht="25.5" hidden="1" customHeight="1"/>
    <row r="271" ht="25.5" hidden="1" customHeight="1"/>
    <row r="272" ht="25.5" hidden="1" customHeight="1"/>
    <row r="273" ht="25.5" hidden="1" customHeight="1"/>
    <row r="274" ht="25.5" hidden="1" customHeight="1"/>
    <row r="275" ht="25.5" hidden="1" customHeight="1"/>
    <row r="276" ht="25.5" hidden="1" customHeight="1"/>
    <row r="277" ht="25.5" hidden="1" customHeight="1"/>
    <row r="278" ht="25.5" hidden="1" customHeight="1"/>
    <row r="279" ht="25.5" hidden="1" customHeight="1"/>
    <row r="280" ht="25.5" hidden="1" customHeight="1"/>
    <row r="281" ht="25.5" hidden="1" customHeight="1"/>
    <row r="282" ht="25.5" hidden="1" customHeight="1"/>
    <row r="283" ht="25.5" hidden="1" customHeight="1"/>
    <row r="284" ht="25.5" hidden="1" customHeight="1"/>
    <row r="285" ht="25.5" hidden="1" customHeight="1"/>
    <row r="286" ht="25.5" hidden="1" customHeight="1"/>
    <row r="287" ht="25.5" hidden="1" customHeight="1"/>
    <row r="288" ht="25.5" hidden="1" customHeight="1"/>
    <row r="289" ht="25.5" hidden="1" customHeight="1"/>
    <row r="290" ht="25.5" hidden="1" customHeight="1"/>
    <row r="291" ht="25.5" hidden="1" customHeight="1"/>
    <row r="292" ht="25.5" hidden="1" customHeight="1"/>
    <row r="293" ht="25.5" hidden="1" customHeight="1"/>
    <row r="294" ht="25.5" hidden="1" customHeight="1"/>
    <row r="295" ht="25.5" hidden="1" customHeight="1"/>
    <row r="296" ht="25.5" hidden="1" customHeight="1"/>
    <row r="297" ht="25.5" hidden="1" customHeight="1"/>
    <row r="298" ht="25.5" hidden="1" customHeight="1"/>
    <row r="299" ht="25.5" hidden="1" customHeight="1"/>
    <row r="300" ht="25.5" hidden="1" customHeight="1"/>
    <row r="301" ht="25.5" hidden="1" customHeight="1"/>
    <row r="302" ht="25.5" hidden="1" customHeight="1"/>
    <row r="303" ht="25.5" hidden="1" customHeight="1"/>
    <row r="304" ht="25.5" hidden="1" customHeight="1"/>
    <row r="305" ht="25.5" hidden="1" customHeight="1"/>
    <row r="306" ht="25.5" hidden="1" customHeight="1"/>
    <row r="307" ht="25.5" hidden="1" customHeight="1"/>
    <row r="308" ht="25.5" hidden="1" customHeight="1"/>
    <row r="309" ht="25.5" hidden="1" customHeight="1"/>
    <row r="310" ht="25.5" hidden="1" customHeight="1"/>
    <row r="311" ht="25.5" hidden="1" customHeight="1"/>
    <row r="312" ht="25.5" hidden="1" customHeight="1"/>
    <row r="313" ht="25.5" hidden="1" customHeight="1"/>
    <row r="314" ht="25.5" hidden="1" customHeight="1"/>
    <row r="315" ht="25.5" hidden="1" customHeight="1"/>
    <row r="316" ht="25.5" hidden="1" customHeight="1"/>
    <row r="317" ht="25.5" hidden="1" customHeight="1"/>
    <row r="318" ht="25.5" hidden="1" customHeight="1"/>
    <row r="319" ht="25.5" hidden="1" customHeight="1"/>
    <row r="320" ht="25.5" hidden="1" customHeight="1"/>
    <row r="321" ht="25.5" hidden="1" customHeight="1"/>
    <row r="322" ht="25.5" hidden="1" customHeight="1"/>
    <row r="323" ht="25.5" hidden="1" customHeight="1"/>
    <row r="324" ht="25.5" hidden="1" customHeight="1"/>
    <row r="325" ht="25.5" hidden="1" customHeight="1"/>
    <row r="326" ht="25.5" hidden="1" customHeight="1"/>
    <row r="327" ht="25.5" hidden="1" customHeight="1"/>
    <row r="328" ht="25.5" hidden="1" customHeight="1"/>
    <row r="329" ht="25.5" hidden="1" customHeight="1"/>
    <row r="330" ht="25.5" hidden="1" customHeight="1"/>
    <row r="331" ht="25.5" hidden="1" customHeight="1"/>
    <row r="332" ht="25.5" hidden="1" customHeight="1"/>
    <row r="333" ht="25.5" hidden="1" customHeight="1"/>
    <row r="334" ht="25.5" hidden="1" customHeight="1"/>
    <row r="335" ht="25.5" hidden="1" customHeight="1"/>
    <row r="336" ht="25.5" hidden="1" customHeight="1"/>
    <row r="337" ht="25.5" hidden="1" customHeight="1"/>
    <row r="338" ht="25.5" hidden="1" customHeight="1"/>
    <row r="339" ht="25.5" hidden="1" customHeight="1"/>
    <row r="340" ht="25.5" hidden="1" customHeight="1"/>
    <row r="341" ht="25.5" hidden="1" customHeight="1"/>
    <row r="342" ht="25.5" hidden="1" customHeight="1"/>
    <row r="343" ht="25.5" hidden="1" customHeight="1"/>
    <row r="344" ht="25.5" hidden="1" customHeight="1"/>
    <row r="345" ht="25.5" hidden="1" customHeight="1"/>
    <row r="346" ht="25.5" hidden="1" customHeight="1"/>
    <row r="347" ht="25.5" hidden="1" customHeight="1"/>
    <row r="348" ht="25.5" hidden="1" customHeight="1"/>
    <row r="349" ht="25.5" hidden="1" customHeight="1"/>
    <row r="350" ht="25.5" hidden="1" customHeight="1"/>
    <row r="351" ht="25.5" hidden="1" customHeight="1"/>
    <row r="352" ht="25.5" hidden="1" customHeight="1"/>
    <row r="353" ht="25.5" hidden="1" customHeight="1"/>
    <row r="354" ht="25.5" hidden="1" customHeight="1"/>
    <row r="355" ht="25.5" hidden="1" customHeight="1"/>
    <row r="356" ht="25.5" hidden="1" customHeight="1"/>
    <row r="357" ht="25.5" hidden="1" customHeight="1"/>
    <row r="358" ht="25.5" hidden="1" customHeight="1"/>
    <row r="359" ht="25.5" hidden="1" customHeight="1"/>
    <row r="360" ht="25.5" hidden="1" customHeight="1"/>
    <row r="361" ht="25.5" hidden="1" customHeight="1"/>
    <row r="362" ht="25.5" hidden="1" customHeight="1"/>
    <row r="363" ht="25.5" hidden="1" customHeight="1"/>
    <row r="364" ht="25.5" hidden="1" customHeight="1"/>
    <row r="365" ht="25.5" hidden="1" customHeight="1"/>
    <row r="366" ht="25.5" hidden="1" customHeight="1"/>
    <row r="367" ht="25.5" hidden="1" customHeight="1"/>
    <row r="368" ht="25.5" hidden="1" customHeight="1"/>
    <row r="369" ht="25.5" hidden="1" customHeight="1"/>
    <row r="370" ht="25.5" hidden="1" customHeight="1"/>
    <row r="371" ht="25.5" hidden="1" customHeight="1"/>
    <row r="372" ht="25.5" hidden="1" customHeight="1"/>
    <row r="373" ht="25.5" hidden="1" customHeight="1"/>
    <row r="374" ht="25.5" hidden="1" customHeight="1"/>
    <row r="375" ht="25.5" hidden="1" customHeight="1"/>
    <row r="376" ht="25.5" hidden="1" customHeight="1"/>
    <row r="377" ht="25.5" hidden="1" customHeight="1"/>
    <row r="378" ht="25.5" hidden="1" customHeight="1"/>
    <row r="379" ht="25.5" hidden="1" customHeight="1"/>
    <row r="380" ht="25.5" hidden="1" customHeight="1"/>
    <row r="381" ht="25.5" hidden="1" customHeight="1"/>
    <row r="382" ht="25.5" hidden="1" customHeight="1"/>
    <row r="383" ht="25.5" hidden="1" customHeight="1"/>
    <row r="384" ht="25.5" hidden="1" customHeight="1"/>
    <row r="385" ht="25.5" hidden="1" customHeight="1"/>
    <row r="386" ht="25.5" hidden="1" customHeight="1"/>
    <row r="387" ht="25.5" hidden="1" customHeight="1"/>
    <row r="388" ht="25.5" hidden="1" customHeight="1"/>
    <row r="389" ht="25.5" hidden="1" customHeight="1"/>
    <row r="390" ht="25.5" hidden="1" customHeight="1"/>
    <row r="391" ht="25.5" hidden="1" customHeight="1"/>
    <row r="392" ht="25.5" hidden="1" customHeight="1"/>
    <row r="393" ht="25.5" hidden="1" customHeight="1"/>
    <row r="394" ht="25.5" hidden="1" customHeight="1"/>
    <row r="395" ht="25.5" hidden="1" customHeight="1"/>
    <row r="396" ht="25.5" hidden="1" customHeight="1"/>
    <row r="397" ht="25.5" hidden="1" customHeight="1"/>
    <row r="398" ht="25.5" hidden="1" customHeight="1"/>
    <row r="399" ht="25.5" hidden="1" customHeight="1"/>
    <row r="400" ht="25.5" hidden="1" customHeight="1"/>
    <row r="401" ht="25.5" hidden="1" customHeight="1"/>
    <row r="402" ht="25.5" hidden="1" customHeight="1"/>
    <row r="403" ht="25.5" hidden="1" customHeight="1"/>
    <row r="404" ht="25.5" hidden="1" customHeight="1"/>
    <row r="405" ht="25.5" hidden="1" customHeight="1"/>
    <row r="406" ht="25.5" hidden="1" customHeight="1"/>
    <row r="407" ht="25.5" hidden="1" customHeight="1"/>
    <row r="408" ht="25.5" hidden="1" customHeight="1"/>
    <row r="409" ht="25.5" hidden="1" customHeight="1"/>
    <row r="410" ht="25.5" hidden="1" customHeight="1"/>
    <row r="411" ht="25.5" hidden="1" customHeight="1"/>
    <row r="412" ht="25.5" hidden="1" customHeight="1"/>
    <row r="413" ht="25.5" hidden="1" customHeight="1"/>
    <row r="414" ht="25.5" hidden="1" customHeight="1"/>
    <row r="415" ht="25.5" hidden="1" customHeight="1"/>
    <row r="416" ht="25.5" hidden="1" customHeight="1"/>
    <row r="417" ht="25.5" hidden="1" customHeight="1"/>
    <row r="418" ht="25.5" hidden="1" customHeight="1"/>
    <row r="419" ht="25.5" hidden="1" customHeight="1"/>
    <row r="420" ht="25.5" hidden="1" customHeight="1"/>
    <row r="421" ht="25.5" hidden="1" customHeight="1"/>
    <row r="422" ht="25.5" hidden="1" customHeight="1"/>
    <row r="423" ht="25.5" hidden="1" customHeight="1"/>
    <row r="424" ht="25.5" hidden="1" customHeight="1"/>
    <row r="425" ht="25.5" hidden="1" customHeight="1"/>
    <row r="426" ht="25.5" hidden="1" customHeight="1"/>
    <row r="427" ht="25.5" hidden="1" customHeight="1"/>
    <row r="428" ht="25.5" hidden="1" customHeight="1"/>
    <row r="429" ht="25.5" hidden="1" customHeight="1"/>
    <row r="430" ht="25.5" hidden="1" customHeight="1"/>
    <row r="431" ht="25.5" hidden="1" customHeight="1"/>
    <row r="432" ht="25.5" hidden="1" customHeight="1"/>
    <row r="433" ht="25.5" hidden="1" customHeight="1"/>
    <row r="434" ht="25.5" hidden="1" customHeight="1"/>
    <row r="435" ht="25.5" hidden="1" customHeight="1"/>
    <row r="436" ht="25.5" hidden="1" customHeight="1"/>
    <row r="437" ht="25.5" hidden="1" customHeight="1"/>
    <row r="438" ht="25.5" hidden="1" customHeight="1"/>
    <row r="439" ht="25.5" hidden="1" customHeight="1"/>
    <row r="440" ht="25.5" hidden="1" customHeight="1"/>
    <row r="441" ht="25.5" hidden="1" customHeight="1"/>
    <row r="442" ht="25.5" hidden="1" customHeight="1"/>
    <row r="443" ht="25.5" hidden="1" customHeight="1"/>
    <row r="444" ht="25.5" hidden="1" customHeight="1"/>
    <row r="445" ht="25.5" hidden="1" customHeight="1"/>
    <row r="446" ht="25.5" hidden="1" customHeight="1"/>
    <row r="447" ht="25.5" hidden="1" customHeight="1"/>
    <row r="448" ht="25.5" hidden="1" customHeight="1"/>
    <row r="449" ht="25.5" hidden="1" customHeight="1"/>
    <row r="450" ht="25.5" hidden="1" customHeight="1"/>
    <row r="451" ht="25.5" hidden="1" customHeight="1"/>
    <row r="452" ht="25.5" hidden="1" customHeight="1"/>
    <row r="453" ht="25.5" hidden="1" customHeight="1"/>
    <row r="454" ht="25.5" hidden="1" customHeight="1"/>
    <row r="455" ht="25.5" hidden="1" customHeight="1"/>
    <row r="456" ht="25.5" hidden="1" customHeight="1"/>
    <row r="457" ht="25.5" hidden="1" customHeight="1"/>
    <row r="458" ht="25.5" hidden="1" customHeight="1"/>
    <row r="459" ht="25.5" hidden="1" customHeight="1"/>
    <row r="460" ht="25.5" hidden="1" customHeight="1"/>
    <row r="461" ht="25.5" hidden="1" customHeight="1"/>
    <row r="462" ht="25.5" hidden="1" customHeight="1"/>
    <row r="463" ht="25.5" hidden="1" customHeight="1"/>
    <row r="464" ht="25.5" hidden="1" customHeight="1"/>
    <row r="465" ht="25.5" hidden="1" customHeight="1"/>
    <row r="466" ht="25.5" hidden="1" customHeight="1"/>
    <row r="467" ht="25.5" hidden="1" customHeight="1"/>
    <row r="468" ht="25.5" hidden="1" customHeight="1"/>
    <row r="469" ht="25.5" hidden="1" customHeight="1"/>
    <row r="470" ht="25.5" hidden="1" customHeight="1"/>
    <row r="471" ht="25.5" hidden="1" customHeight="1"/>
    <row r="472" ht="25.5" hidden="1" customHeight="1"/>
    <row r="473" ht="25.5" hidden="1" customHeight="1"/>
    <row r="474" ht="25.5" hidden="1" customHeight="1"/>
    <row r="475" ht="25.5" hidden="1" customHeight="1"/>
    <row r="476" ht="25.5" hidden="1" customHeight="1"/>
    <row r="477" ht="25.5" hidden="1" customHeight="1"/>
    <row r="478" ht="25.5" hidden="1" customHeight="1"/>
    <row r="479" ht="25.5" hidden="1" customHeight="1"/>
    <row r="480" ht="25.5" hidden="1" customHeight="1"/>
    <row r="481" ht="25.5" hidden="1" customHeight="1"/>
    <row r="482" ht="25.5" hidden="1" customHeight="1"/>
    <row r="483" ht="25.5" hidden="1" customHeight="1"/>
    <row r="484" ht="25.5" hidden="1" customHeight="1"/>
    <row r="485" ht="25.5" hidden="1" customHeight="1"/>
    <row r="486" ht="25.5" hidden="1" customHeight="1"/>
    <row r="487" ht="25.5" hidden="1" customHeight="1"/>
    <row r="488" ht="25.5" hidden="1" customHeight="1"/>
    <row r="489" ht="25.5" hidden="1" customHeight="1"/>
    <row r="490" ht="25.5" hidden="1" customHeight="1"/>
    <row r="491" ht="25.5" hidden="1" customHeight="1"/>
    <row r="492" ht="25.5" hidden="1" customHeight="1"/>
    <row r="493" ht="25.5" hidden="1" customHeight="1"/>
    <row r="494" ht="25.5" hidden="1" customHeight="1"/>
    <row r="495" ht="25.5" hidden="1" customHeight="1"/>
    <row r="496" ht="25.5" hidden="1" customHeight="1"/>
    <row r="497" ht="25.5" hidden="1" customHeight="1"/>
    <row r="498" ht="25.5" hidden="1" customHeight="1"/>
    <row r="499" ht="25.5" hidden="1" customHeight="1"/>
    <row r="500" ht="25.5" hidden="1" customHeight="1"/>
    <row r="501" ht="25.5" hidden="1" customHeight="1"/>
    <row r="502" ht="25.5" hidden="1" customHeight="1"/>
    <row r="503" ht="25.5" hidden="1" customHeight="1"/>
    <row r="504" ht="25.5" hidden="1" customHeight="1"/>
    <row r="505" ht="25.5" hidden="1" customHeight="1"/>
    <row r="506" ht="25.5" hidden="1" customHeight="1"/>
    <row r="507" ht="25.5" hidden="1" customHeight="1"/>
    <row r="508" ht="25.5" hidden="1" customHeight="1"/>
    <row r="509" ht="25.5" hidden="1" customHeight="1"/>
    <row r="510" ht="25.5" hidden="1" customHeight="1"/>
    <row r="511" ht="25.5" hidden="1" customHeight="1"/>
    <row r="512" ht="25.5" hidden="1" customHeight="1"/>
    <row r="513" ht="25.5" hidden="1" customHeight="1"/>
    <row r="514" ht="25.5" hidden="1" customHeight="1"/>
    <row r="515" ht="25.5" hidden="1" customHeight="1"/>
    <row r="516" ht="25.5" hidden="1" customHeight="1"/>
    <row r="517" ht="25.5" hidden="1" customHeight="1"/>
    <row r="518" ht="25.5" hidden="1" customHeight="1"/>
    <row r="519" ht="25.5" hidden="1" customHeight="1"/>
    <row r="520" ht="25.5" hidden="1" customHeight="1"/>
    <row r="521" ht="25.5" hidden="1" customHeight="1"/>
    <row r="522" ht="25.5" hidden="1" customHeight="1"/>
    <row r="523" ht="25.5" hidden="1" customHeight="1"/>
    <row r="524" ht="25.5" hidden="1" customHeight="1"/>
    <row r="525" ht="25.5" hidden="1" customHeight="1"/>
    <row r="526" ht="25.5" hidden="1" customHeight="1"/>
    <row r="527" ht="25.5" hidden="1" customHeight="1"/>
    <row r="528" ht="25.5" hidden="1" customHeight="1"/>
    <row r="529" ht="25.5" hidden="1" customHeight="1"/>
    <row r="530" ht="25.5" hidden="1" customHeight="1"/>
    <row r="531" ht="25.5" hidden="1" customHeight="1"/>
    <row r="532" ht="25.5" hidden="1" customHeight="1"/>
    <row r="533" ht="25.5" hidden="1" customHeight="1"/>
    <row r="534" ht="25.5" hidden="1" customHeight="1"/>
    <row r="535" ht="25.5" hidden="1" customHeight="1"/>
    <row r="536" ht="25.5" hidden="1" customHeight="1"/>
    <row r="537" ht="25.5" hidden="1" customHeight="1"/>
    <row r="538" ht="25.5" hidden="1" customHeight="1"/>
    <row r="539" ht="25.5" hidden="1" customHeight="1"/>
    <row r="540" ht="25.5" hidden="1" customHeight="1"/>
    <row r="541" ht="25.5" hidden="1" customHeight="1"/>
    <row r="542" ht="25.5" hidden="1" customHeight="1"/>
    <row r="543" ht="25.5" hidden="1" customHeight="1"/>
    <row r="544" ht="25.5" hidden="1" customHeight="1"/>
    <row r="545" ht="25.5" hidden="1" customHeight="1"/>
    <row r="546" ht="25.5" hidden="1" customHeight="1"/>
    <row r="547" ht="25.5" hidden="1" customHeight="1"/>
    <row r="548" ht="25.5" hidden="1" customHeight="1"/>
    <row r="549" ht="25.5" hidden="1" customHeight="1"/>
    <row r="550" ht="25.5" hidden="1" customHeight="1"/>
    <row r="551" ht="25.5" hidden="1" customHeight="1"/>
    <row r="552" ht="25.5" hidden="1" customHeight="1"/>
    <row r="553" ht="25.5" hidden="1" customHeight="1"/>
    <row r="554" ht="25.5" hidden="1" customHeight="1"/>
    <row r="555" ht="25.5" hidden="1" customHeight="1"/>
    <row r="556" ht="25.5" hidden="1" customHeight="1"/>
    <row r="557" ht="25.5" hidden="1" customHeight="1"/>
    <row r="558" ht="25.5" hidden="1" customHeight="1"/>
    <row r="559" ht="25.5" hidden="1" customHeight="1"/>
    <row r="560" ht="25.5" hidden="1" customHeight="1"/>
    <row r="561" ht="25.5" hidden="1" customHeight="1"/>
    <row r="562" ht="25.5" hidden="1" customHeight="1"/>
    <row r="563" ht="25.5" hidden="1" customHeight="1"/>
    <row r="564" ht="25.5" hidden="1" customHeight="1"/>
    <row r="565" ht="25.5" hidden="1" customHeight="1"/>
    <row r="566" ht="25.5" hidden="1" customHeight="1"/>
    <row r="567" ht="25.5" hidden="1" customHeight="1"/>
    <row r="568" ht="25.5" hidden="1" customHeight="1"/>
    <row r="569" ht="25.5" hidden="1" customHeight="1"/>
    <row r="570" ht="25.5" hidden="1" customHeight="1"/>
    <row r="571" ht="25.5" hidden="1" customHeight="1"/>
    <row r="572" ht="25.5" hidden="1" customHeight="1"/>
    <row r="573" ht="25.5" hidden="1" customHeight="1"/>
    <row r="574" ht="25.5" hidden="1" customHeight="1"/>
    <row r="575" ht="25.5" hidden="1" customHeight="1"/>
    <row r="576" ht="25.5" hidden="1" customHeight="1"/>
    <row r="577" ht="25.5" hidden="1" customHeight="1"/>
    <row r="578" ht="25.5" hidden="1" customHeight="1"/>
    <row r="579" ht="25.5" hidden="1" customHeight="1"/>
    <row r="580" ht="25.5" hidden="1" customHeight="1"/>
    <row r="581" ht="25.5" hidden="1" customHeight="1"/>
    <row r="582" ht="25.5" hidden="1" customHeight="1"/>
    <row r="583" ht="25.5" hidden="1" customHeight="1"/>
    <row r="584" ht="25.5" hidden="1" customHeight="1"/>
    <row r="585" ht="25.5" hidden="1" customHeight="1"/>
    <row r="586" ht="25.5" hidden="1" customHeight="1"/>
    <row r="587" ht="25.5" hidden="1" customHeight="1"/>
    <row r="588" ht="25.5" hidden="1" customHeight="1"/>
    <row r="589" ht="25.5" hidden="1" customHeight="1"/>
    <row r="590" ht="25.5" hidden="1" customHeight="1"/>
    <row r="591" ht="25.5" hidden="1" customHeight="1"/>
    <row r="592" ht="25.5" hidden="1" customHeight="1"/>
    <row r="593" ht="25.5" hidden="1" customHeight="1"/>
    <row r="594" ht="25.5" hidden="1" customHeight="1"/>
    <row r="595" ht="25.5" hidden="1" customHeight="1"/>
    <row r="596" ht="25.5" hidden="1" customHeight="1"/>
    <row r="597" ht="25.5" hidden="1" customHeight="1"/>
    <row r="598" ht="25.5" hidden="1" customHeight="1"/>
    <row r="599" ht="25.5" hidden="1" customHeight="1"/>
    <row r="600" ht="25.5" hidden="1" customHeight="1"/>
    <row r="601" ht="25.5" hidden="1" customHeight="1"/>
    <row r="602" ht="25.5" hidden="1" customHeight="1"/>
    <row r="603" ht="25.5" hidden="1" customHeight="1"/>
    <row r="604" ht="25.5" hidden="1" customHeight="1"/>
    <row r="605" ht="25.5" hidden="1" customHeight="1"/>
    <row r="606" ht="25.5" hidden="1" customHeight="1"/>
    <row r="607" ht="25.5" hidden="1" customHeight="1"/>
    <row r="608" ht="25.5" hidden="1" customHeight="1"/>
    <row r="609" ht="25.5" hidden="1" customHeight="1"/>
    <row r="610" ht="25.5" hidden="1" customHeight="1"/>
    <row r="611" ht="25.5" hidden="1" customHeight="1"/>
    <row r="612" ht="25.5" hidden="1" customHeight="1"/>
    <row r="613" ht="25.5" hidden="1" customHeight="1"/>
    <row r="614" ht="25.5" hidden="1" customHeight="1"/>
    <row r="615" ht="25.5" hidden="1" customHeight="1"/>
    <row r="616" ht="25.5" hidden="1" customHeight="1"/>
    <row r="617" ht="25.5" hidden="1" customHeight="1"/>
    <row r="618" ht="25.5" hidden="1" customHeight="1"/>
    <row r="619" ht="25.5" hidden="1" customHeight="1"/>
    <row r="620" ht="25.5" hidden="1" customHeight="1"/>
    <row r="621" ht="25.5" hidden="1" customHeight="1"/>
    <row r="622" ht="25.5" hidden="1" customHeight="1"/>
    <row r="623" ht="25.5" hidden="1" customHeight="1"/>
    <row r="624" ht="25.5" hidden="1" customHeight="1"/>
    <row r="625" ht="25.5" hidden="1" customHeight="1"/>
    <row r="626" ht="25.5" hidden="1" customHeight="1"/>
    <row r="627" ht="25.5" hidden="1" customHeight="1"/>
    <row r="628" ht="25.5" hidden="1" customHeight="1"/>
    <row r="629" ht="25.5" hidden="1" customHeight="1"/>
    <row r="630" ht="25.5" hidden="1" customHeight="1"/>
    <row r="631" ht="25.5" hidden="1" customHeight="1"/>
    <row r="632" ht="25.5" hidden="1" customHeight="1"/>
    <row r="633" ht="25.5" hidden="1" customHeight="1"/>
    <row r="634" ht="25.5" hidden="1" customHeight="1"/>
    <row r="635" ht="25.5" hidden="1" customHeight="1"/>
    <row r="636" ht="25.5" hidden="1" customHeight="1"/>
    <row r="637" ht="25.5" hidden="1" customHeight="1"/>
    <row r="638" ht="25.5" hidden="1" customHeight="1"/>
    <row r="639" ht="25.5" hidden="1" customHeight="1"/>
    <row r="640" ht="25.5" hidden="1" customHeight="1"/>
    <row r="641" ht="25.5" hidden="1" customHeight="1"/>
    <row r="642" ht="25.5" hidden="1" customHeight="1"/>
    <row r="643" ht="25.5" hidden="1" customHeight="1"/>
    <row r="644" ht="25.5" hidden="1" customHeight="1"/>
    <row r="645" ht="25.5" hidden="1" customHeight="1"/>
    <row r="646" ht="25.5" hidden="1" customHeight="1"/>
    <row r="647" ht="25.5" hidden="1" customHeight="1"/>
    <row r="648" ht="25.5" hidden="1" customHeight="1"/>
    <row r="649" ht="25.5" hidden="1" customHeight="1"/>
    <row r="650" ht="25.5" hidden="1" customHeight="1"/>
    <row r="651" ht="25.5" hidden="1" customHeight="1"/>
    <row r="652" ht="25.5" hidden="1" customHeight="1"/>
    <row r="653" ht="25.5" hidden="1" customHeight="1"/>
    <row r="654" ht="25.5" hidden="1" customHeight="1"/>
    <row r="655" ht="25.5" hidden="1" customHeight="1"/>
    <row r="656" ht="25.5" hidden="1" customHeight="1"/>
    <row r="657" ht="25.5" hidden="1" customHeight="1"/>
    <row r="658" ht="25.5" hidden="1" customHeight="1"/>
    <row r="659" ht="25.5" hidden="1" customHeight="1"/>
    <row r="660" ht="25.5" hidden="1" customHeight="1"/>
    <row r="661" ht="25.5" hidden="1" customHeight="1"/>
    <row r="662" ht="25.5" hidden="1" customHeight="1"/>
    <row r="663" ht="25.5" hidden="1" customHeight="1"/>
    <row r="664" ht="25.5" hidden="1" customHeight="1"/>
    <row r="665" ht="25.5" hidden="1" customHeight="1"/>
    <row r="666" ht="25.5" hidden="1" customHeight="1"/>
    <row r="667" ht="25.5" hidden="1" customHeight="1"/>
    <row r="668" ht="25.5" hidden="1" customHeight="1"/>
    <row r="669" ht="25.5" hidden="1" customHeight="1"/>
    <row r="670" ht="25.5" hidden="1" customHeight="1"/>
    <row r="671" ht="25.5" hidden="1" customHeight="1"/>
    <row r="672" ht="25.5" hidden="1" customHeight="1"/>
    <row r="673" ht="25.5" hidden="1" customHeight="1"/>
    <row r="674" ht="25.5" hidden="1" customHeight="1"/>
    <row r="675" ht="25.5" hidden="1" customHeight="1"/>
    <row r="676" ht="25.5" hidden="1" customHeight="1"/>
    <row r="677" ht="25.5" hidden="1" customHeight="1"/>
    <row r="678" ht="25.5" hidden="1" customHeight="1"/>
    <row r="679" ht="25.5" hidden="1" customHeight="1"/>
    <row r="680" ht="25.5" hidden="1" customHeight="1"/>
    <row r="681" ht="25.5" hidden="1" customHeight="1"/>
    <row r="682" ht="25.5" hidden="1" customHeight="1"/>
    <row r="683" ht="25.5" hidden="1" customHeight="1"/>
    <row r="684" ht="25.5" hidden="1" customHeight="1"/>
    <row r="685" ht="25.5" hidden="1" customHeight="1"/>
    <row r="686" ht="25.5" hidden="1" customHeight="1"/>
    <row r="687" ht="25.5" hidden="1" customHeight="1"/>
    <row r="688" ht="25.5" hidden="1" customHeight="1"/>
    <row r="689" ht="25.5" hidden="1" customHeight="1"/>
    <row r="690" ht="25.5" hidden="1" customHeight="1"/>
    <row r="691" ht="25.5" hidden="1" customHeight="1"/>
    <row r="692" ht="25.5" hidden="1" customHeight="1"/>
    <row r="693" ht="25.5" hidden="1" customHeight="1"/>
    <row r="694" ht="25.5" hidden="1" customHeight="1"/>
    <row r="695" ht="25.5" hidden="1" customHeight="1"/>
    <row r="696" ht="25.5" hidden="1" customHeight="1"/>
    <row r="697" ht="25.5" hidden="1" customHeight="1"/>
    <row r="698" ht="25.5" hidden="1" customHeight="1"/>
    <row r="699" ht="25.5" hidden="1" customHeight="1"/>
    <row r="700" ht="25.5" hidden="1" customHeight="1"/>
    <row r="701" ht="25.5" hidden="1" customHeight="1"/>
    <row r="702" ht="25.5" hidden="1" customHeight="1"/>
    <row r="703" ht="25.5" hidden="1" customHeight="1"/>
    <row r="704" ht="25.5" hidden="1" customHeight="1"/>
    <row r="705" ht="25.5" hidden="1" customHeight="1"/>
    <row r="706" ht="25.5" hidden="1" customHeight="1"/>
    <row r="707" ht="25.5" hidden="1" customHeight="1"/>
    <row r="708" ht="25.5" hidden="1" customHeight="1"/>
    <row r="709" ht="25.5" hidden="1" customHeight="1"/>
    <row r="710" ht="25.5" hidden="1" customHeight="1"/>
    <row r="711" ht="25.5" hidden="1" customHeight="1"/>
    <row r="712" ht="25.5" hidden="1" customHeight="1"/>
    <row r="713" ht="25.5" hidden="1" customHeight="1"/>
    <row r="714" ht="25.5" hidden="1" customHeight="1"/>
    <row r="715" ht="25.5" hidden="1" customHeight="1"/>
    <row r="716" ht="25.5" hidden="1" customHeight="1"/>
    <row r="717" ht="25.5" hidden="1" customHeight="1"/>
    <row r="718" ht="25.5" hidden="1" customHeight="1"/>
    <row r="719" ht="25.5" hidden="1" customHeight="1"/>
    <row r="720" ht="25.5" hidden="1" customHeight="1"/>
    <row r="721" ht="25.5" hidden="1" customHeight="1"/>
    <row r="722" ht="25.5" hidden="1" customHeight="1"/>
    <row r="723" ht="25.5" hidden="1" customHeight="1"/>
    <row r="724" ht="25.5" hidden="1" customHeight="1"/>
    <row r="725" ht="25.5" hidden="1" customHeight="1"/>
    <row r="726" ht="25.5" hidden="1" customHeight="1"/>
    <row r="727" ht="25.5" hidden="1" customHeight="1"/>
    <row r="728" ht="25.5" hidden="1" customHeight="1"/>
    <row r="729" ht="25.5" hidden="1" customHeight="1"/>
    <row r="730" ht="25.5" hidden="1" customHeight="1"/>
    <row r="731" ht="25.5" hidden="1" customHeight="1"/>
    <row r="732" ht="25.5" hidden="1" customHeight="1"/>
    <row r="733" ht="25.5" hidden="1" customHeight="1"/>
    <row r="734" ht="25.5" hidden="1" customHeight="1"/>
    <row r="735" ht="25.5" hidden="1" customHeight="1"/>
    <row r="736" ht="25.5" hidden="1" customHeight="1"/>
    <row r="737" ht="25.5" hidden="1" customHeight="1"/>
    <row r="738" ht="25.5" hidden="1" customHeight="1"/>
    <row r="739" ht="25.5" hidden="1" customHeight="1"/>
    <row r="740" ht="25.5" hidden="1" customHeight="1"/>
    <row r="741" ht="25.5" hidden="1" customHeight="1"/>
    <row r="742" ht="25.5" hidden="1" customHeight="1"/>
    <row r="743" ht="25.5" hidden="1" customHeight="1"/>
    <row r="744" ht="25.5" hidden="1" customHeight="1"/>
    <row r="745" ht="25.5" hidden="1" customHeight="1"/>
    <row r="746" ht="25.5" hidden="1" customHeight="1"/>
    <row r="747" ht="25.5" hidden="1" customHeight="1"/>
    <row r="748" ht="25.5" hidden="1" customHeight="1"/>
    <row r="749" ht="25.5" hidden="1" customHeight="1"/>
    <row r="750" ht="25.5" hidden="1" customHeight="1"/>
    <row r="751" ht="25.5" hidden="1" customHeight="1"/>
    <row r="752" ht="25.5" hidden="1" customHeight="1"/>
    <row r="753" ht="25.5" hidden="1" customHeight="1"/>
    <row r="754" ht="25.5" hidden="1" customHeight="1"/>
    <row r="755" ht="25.5" hidden="1" customHeight="1"/>
    <row r="756" ht="25.5" hidden="1" customHeight="1"/>
    <row r="757" ht="25.5" hidden="1" customHeight="1"/>
    <row r="758" ht="25.5" hidden="1" customHeight="1"/>
    <row r="759" ht="25.5" hidden="1" customHeight="1"/>
    <row r="760" ht="25.5" hidden="1" customHeight="1"/>
    <row r="761" ht="25.5" hidden="1" customHeight="1"/>
    <row r="762" ht="25.5" hidden="1" customHeight="1"/>
    <row r="763" ht="25.5" hidden="1" customHeight="1"/>
    <row r="764" ht="25.5" hidden="1" customHeight="1"/>
    <row r="765" ht="25.5" hidden="1" customHeight="1"/>
    <row r="766" ht="25.5" hidden="1" customHeight="1"/>
    <row r="767" ht="25.5" hidden="1" customHeight="1"/>
    <row r="768" ht="25.5" hidden="1" customHeight="1"/>
    <row r="769" ht="25.5" hidden="1" customHeight="1"/>
    <row r="770" ht="25.5" hidden="1" customHeight="1"/>
    <row r="771" ht="25.5" hidden="1" customHeight="1"/>
    <row r="772" ht="25.5" hidden="1" customHeight="1"/>
    <row r="773" ht="25.5" hidden="1" customHeight="1"/>
    <row r="774" ht="25.5" hidden="1" customHeight="1"/>
    <row r="775" ht="25.5" hidden="1" customHeight="1"/>
    <row r="776" ht="25.5" hidden="1" customHeight="1"/>
    <row r="777" ht="25.5" hidden="1" customHeight="1"/>
    <row r="778" ht="25.5" hidden="1" customHeight="1"/>
    <row r="779" ht="25.5" hidden="1" customHeight="1"/>
    <row r="780" ht="25.5" hidden="1" customHeight="1"/>
    <row r="781" ht="25.5" hidden="1" customHeight="1"/>
    <row r="782" ht="25.5" hidden="1" customHeight="1"/>
    <row r="783" ht="25.5" hidden="1" customHeight="1"/>
    <row r="784" ht="25.5" hidden="1" customHeight="1"/>
    <row r="785" ht="25.5" hidden="1" customHeight="1"/>
    <row r="786" ht="25.5" hidden="1" customHeight="1"/>
    <row r="787" ht="25.5" hidden="1" customHeight="1"/>
    <row r="788" ht="25.5" hidden="1" customHeight="1"/>
    <row r="789" ht="25.5" hidden="1" customHeight="1"/>
    <row r="790" ht="25.5" hidden="1" customHeight="1"/>
    <row r="791" ht="25.5" hidden="1" customHeight="1"/>
    <row r="792" ht="25.5" hidden="1" customHeight="1"/>
    <row r="793" ht="25.5" hidden="1" customHeight="1"/>
    <row r="794" ht="25.5" hidden="1" customHeight="1"/>
    <row r="795" ht="25.5" hidden="1" customHeight="1"/>
    <row r="796" ht="25.5" hidden="1" customHeight="1"/>
    <row r="797" ht="25.5" hidden="1" customHeight="1"/>
    <row r="798" ht="25.5" hidden="1" customHeight="1"/>
    <row r="799" ht="25.5" hidden="1" customHeight="1"/>
    <row r="800" ht="25.5" hidden="1" customHeight="1"/>
    <row r="801" ht="25.5" hidden="1" customHeight="1"/>
    <row r="802" ht="25.5" hidden="1" customHeight="1"/>
    <row r="803" ht="25.5" hidden="1" customHeight="1"/>
    <row r="804" ht="25.5" hidden="1" customHeight="1"/>
    <row r="805" ht="25.5" hidden="1" customHeight="1"/>
    <row r="806" ht="25.5" hidden="1" customHeight="1"/>
    <row r="807" ht="25.5" hidden="1" customHeight="1"/>
    <row r="808" ht="25.5" hidden="1" customHeight="1"/>
    <row r="809" ht="25.5" hidden="1" customHeight="1"/>
    <row r="810" ht="25.5" hidden="1" customHeight="1"/>
    <row r="811" ht="25.5" hidden="1" customHeight="1"/>
    <row r="812" ht="25.5" hidden="1" customHeight="1"/>
    <row r="813" ht="25.5" hidden="1" customHeight="1"/>
    <row r="814" ht="25.5" hidden="1" customHeight="1"/>
    <row r="815" ht="25.5" hidden="1" customHeight="1"/>
    <row r="816" ht="25.5" hidden="1" customHeight="1"/>
    <row r="817" ht="25.5" hidden="1" customHeight="1"/>
    <row r="818" ht="25.5" hidden="1" customHeight="1"/>
    <row r="819" ht="25.5" hidden="1" customHeight="1"/>
    <row r="820" ht="25.5" hidden="1" customHeight="1"/>
    <row r="821" ht="25.5" hidden="1" customHeight="1"/>
    <row r="822" ht="25.5" hidden="1" customHeight="1"/>
    <row r="823" ht="25.5" hidden="1" customHeight="1"/>
    <row r="824" ht="25.5" hidden="1" customHeight="1"/>
    <row r="825" ht="25.5" hidden="1" customHeight="1"/>
    <row r="826" ht="25.5" hidden="1" customHeight="1"/>
    <row r="827" ht="25.5" hidden="1" customHeight="1"/>
    <row r="828" ht="25.5" hidden="1" customHeight="1"/>
    <row r="829" ht="25.5" hidden="1" customHeight="1"/>
    <row r="830" ht="25.5" hidden="1" customHeight="1"/>
    <row r="831" ht="25.5" hidden="1" customHeight="1"/>
    <row r="832" ht="25.5" hidden="1" customHeight="1"/>
    <row r="833" ht="25.5" hidden="1" customHeight="1"/>
    <row r="834" ht="25.5" hidden="1" customHeight="1"/>
    <row r="835" ht="25.5" hidden="1" customHeight="1"/>
    <row r="836" ht="25.5" hidden="1" customHeight="1"/>
    <row r="837" ht="25.5" hidden="1" customHeight="1"/>
    <row r="838" ht="25.5" hidden="1" customHeight="1"/>
    <row r="839" ht="25.5" hidden="1" customHeight="1"/>
    <row r="840" ht="25.5" hidden="1" customHeight="1"/>
    <row r="841" ht="25.5" hidden="1" customHeight="1"/>
    <row r="842" ht="25.5" hidden="1" customHeight="1"/>
    <row r="843" ht="25.5" hidden="1" customHeight="1"/>
    <row r="844" ht="25.5" hidden="1" customHeight="1"/>
    <row r="845" ht="25.5" hidden="1" customHeight="1"/>
    <row r="846" ht="25.5" hidden="1" customHeight="1"/>
    <row r="847" ht="25.5" hidden="1" customHeight="1"/>
    <row r="848" ht="25.5" hidden="1" customHeight="1"/>
    <row r="849" ht="25.5" hidden="1" customHeight="1"/>
    <row r="850" ht="25.5" hidden="1" customHeight="1"/>
    <row r="851" ht="25.5" hidden="1" customHeight="1"/>
    <row r="852" ht="25.5" hidden="1" customHeight="1"/>
    <row r="853" ht="25.5" hidden="1" customHeight="1"/>
    <row r="854" ht="25.5" hidden="1" customHeight="1"/>
    <row r="855" ht="25.5" hidden="1" customHeight="1"/>
    <row r="856" ht="25.5" hidden="1" customHeight="1"/>
    <row r="857" ht="25.5" hidden="1" customHeight="1"/>
    <row r="858" ht="25.5" hidden="1" customHeight="1"/>
    <row r="859" ht="25.5" hidden="1" customHeight="1"/>
    <row r="860" ht="25.5" hidden="1" customHeight="1"/>
    <row r="861" ht="25.5" hidden="1" customHeight="1"/>
    <row r="862" ht="25.5" hidden="1" customHeight="1"/>
    <row r="863" ht="25.5" hidden="1" customHeight="1"/>
    <row r="864" ht="25.5" hidden="1" customHeight="1"/>
    <row r="865" ht="25.5" hidden="1" customHeight="1"/>
    <row r="866" ht="25.5" hidden="1" customHeight="1"/>
    <row r="867" ht="25.5" hidden="1" customHeight="1"/>
    <row r="868" ht="25.5" hidden="1" customHeight="1"/>
    <row r="869" ht="25.5" hidden="1" customHeight="1"/>
    <row r="870" ht="25.5" hidden="1" customHeight="1"/>
    <row r="871" ht="25.5" hidden="1" customHeight="1"/>
    <row r="872" ht="25.5" hidden="1" customHeight="1"/>
    <row r="873" ht="25.5" hidden="1" customHeight="1"/>
    <row r="874" ht="25.5" hidden="1" customHeight="1"/>
    <row r="875" ht="25.5" hidden="1" customHeight="1"/>
    <row r="876" ht="25.5" hidden="1" customHeight="1"/>
    <row r="877" ht="25.5" hidden="1" customHeight="1"/>
    <row r="878" ht="25.5" hidden="1" customHeight="1"/>
    <row r="879" ht="25.5" hidden="1" customHeight="1"/>
    <row r="880" ht="25.5" hidden="1" customHeight="1"/>
    <row r="881" ht="25.5" hidden="1" customHeight="1"/>
    <row r="882" ht="25.5" hidden="1" customHeight="1"/>
    <row r="883" ht="25.5" hidden="1" customHeight="1"/>
    <row r="884" ht="25.5" hidden="1" customHeight="1"/>
    <row r="885" ht="25.5" hidden="1" customHeight="1"/>
    <row r="886" ht="25.5" hidden="1" customHeight="1"/>
    <row r="887" ht="25.5" hidden="1" customHeight="1"/>
    <row r="888" ht="25.5" hidden="1" customHeight="1"/>
    <row r="889" ht="25.5" hidden="1" customHeight="1"/>
    <row r="890" ht="25.5" hidden="1" customHeight="1"/>
    <row r="891" ht="25.5" hidden="1" customHeight="1"/>
    <row r="892" ht="25.5" hidden="1" customHeight="1"/>
    <row r="893" ht="25.5" hidden="1" customHeight="1"/>
    <row r="894" ht="25.5" hidden="1" customHeight="1"/>
    <row r="895" ht="25.5" hidden="1" customHeight="1"/>
    <row r="896" ht="25.5" hidden="1" customHeight="1"/>
    <row r="897" ht="25.5" hidden="1" customHeight="1"/>
    <row r="898" ht="25.5" hidden="1" customHeight="1"/>
    <row r="899" ht="25.5" hidden="1" customHeight="1"/>
    <row r="900" ht="25.5" hidden="1" customHeight="1"/>
    <row r="901" ht="25.5" hidden="1" customHeight="1"/>
    <row r="902" ht="25.5" hidden="1" customHeight="1"/>
    <row r="903" ht="25.5" hidden="1" customHeight="1"/>
    <row r="904" ht="25.5" hidden="1" customHeight="1"/>
    <row r="905" ht="25.5" hidden="1" customHeight="1"/>
    <row r="906" ht="25.5" hidden="1" customHeight="1"/>
    <row r="907" ht="25.5" hidden="1" customHeight="1"/>
    <row r="908" ht="25.5" hidden="1" customHeight="1"/>
    <row r="909" ht="25.5" hidden="1" customHeight="1"/>
    <row r="910" ht="25.5" hidden="1" customHeight="1"/>
    <row r="911" ht="25.5" hidden="1" customHeight="1"/>
    <row r="912" ht="25.5" hidden="1" customHeight="1"/>
    <row r="913" ht="25.5" hidden="1" customHeight="1"/>
    <row r="914" ht="25.5" hidden="1" customHeight="1"/>
    <row r="915" ht="25.5" hidden="1" customHeight="1"/>
    <row r="916" ht="25.5" hidden="1" customHeight="1"/>
    <row r="917" ht="25.5" hidden="1" customHeight="1"/>
    <row r="918" ht="25.5" hidden="1" customHeight="1"/>
    <row r="919" ht="25.5" hidden="1" customHeight="1"/>
    <row r="920" ht="25.5" hidden="1" customHeight="1"/>
    <row r="921" ht="25.5" hidden="1" customHeight="1"/>
    <row r="922" ht="25.5" hidden="1" customHeight="1"/>
    <row r="923" ht="25.5" hidden="1" customHeight="1"/>
    <row r="924" ht="25.5" hidden="1" customHeight="1"/>
    <row r="925" ht="25.5" hidden="1" customHeight="1"/>
    <row r="926" ht="25.5" hidden="1" customHeight="1"/>
    <row r="927" ht="25.5" hidden="1" customHeight="1"/>
    <row r="928" ht="25.5" hidden="1" customHeight="1"/>
    <row r="929" ht="25.5" hidden="1" customHeight="1"/>
    <row r="930" ht="25.5" hidden="1" customHeight="1"/>
    <row r="931" ht="25.5" hidden="1" customHeight="1"/>
    <row r="932" ht="25.5" hidden="1" customHeight="1"/>
    <row r="933" ht="25.5" hidden="1" customHeight="1"/>
    <row r="934" ht="25.5" hidden="1" customHeight="1"/>
    <row r="935" ht="25.5" hidden="1" customHeight="1"/>
    <row r="936" ht="25.5" hidden="1" customHeight="1"/>
    <row r="937" ht="25.5" hidden="1" customHeight="1"/>
    <row r="938" ht="25.5" hidden="1" customHeight="1"/>
    <row r="939" ht="25.5" hidden="1" customHeight="1"/>
    <row r="940" ht="25.5" hidden="1" customHeight="1"/>
    <row r="941" ht="25.5" hidden="1" customHeight="1"/>
    <row r="942" ht="25.5" hidden="1" customHeight="1"/>
    <row r="943" ht="25.5" hidden="1" customHeight="1"/>
    <row r="944" ht="25.5" hidden="1" customHeight="1"/>
    <row r="945" ht="25.5" hidden="1" customHeight="1"/>
    <row r="946" ht="25.5" hidden="1" customHeight="1"/>
    <row r="947" ht="25.5" hidden="1" customHeight="1"/>
    <row r="948" ht="25.5" hidden="1" customHeight="1"/>
    <row r="949" ht="25.5" hidden="1" customHeight="1"/>
    <row r="950" ht="25.5" hidden="1" customHeight="1"/>
    <row r="951" ht="25.5" hidden="1" customHeight="1"/>
    <row r="952" ht="25.5" hidden="1" customHeight="1"/>
    <row r="953" ht="25.5" hidden="1" customHeight="1"/>
    <row r="954" ht="25.5" hidden="1" customHeight="1"/>
    <row r="955" ht="25.5" hidden="1" customHeight="1"/>
    <row r="956" ht="25.5" hidden="1" customHeight="1"/>
    <row r="957" ht="25.5" hidden="1" customHeight="1"/>
    <row r="958" ht="25.5" hidden="1" customHeight="1"/>
    <row r="959" ht="25.5" hidden="1" customHeight="1"/>
    <row r="960" ht="25.5" hidden="1" customHeight="1"/>
    <row r="961" ht="25.5" hidden="1" customHeight="1"/>
    <row r="962" ht="25.5" hidden="1" customHeight="1"/>
    <row r="963" ht="25.5" hidden="1" customHeight="1"/>
    <row r="964" ht="25.5" hidden="1" customHeight="1"/>
    <row r="965" ht="25.5" hidden="1" customHeight="1"/>
    <row r="966" ht="25.5" hidden="1" customHeight="1"/>
    <row r="967" ht="25.5" hidden="1" customHeight="1"/>
    <row r="968" ht="25.5" hidden="1" customHeight="1"/>
    <row r="969" ht="25.5" hidden="1" customHeight="1"/>
    <row r="970" ht="25.5" hidden="1" customHeight="1"/>
    <row r="971" ht="25.5" hidden="1" customHeight="1"/>
    <row r="972" ht="25.5" hidden="1" customHeight="1"/>
    <row r="973" ht="25.5" hidden="1" customHeight="1"/>
    <row r="974" ht="25.5" hidden="1" customHeight="1"/>
    <row r="975" ht="25.5" hidden="1" customHeight="1"/>
    <row r="976" ht="25.5" hidden="1" customHeight="1"/>
    <row r="977" ht="25.5" hidden="1" customHeight="1"/>
    <row r="978" ht="25.5" hidden="1" customHeight="1"/>
    <row r="979" ht="25.5" hidden="1" customHeight="1"/>
    <row r="980" ht="25.5" hidden="1" customHeight="1"/>
    <row r="981" ht="25.5" hidden="1" customHeight="1"/>
    <row r="982" ht="25.5" hidden="1" customHeight="1"/>
    <row r="983" ht="25.5" hidden="1" customHeight="1"/>
    <row r="984" ht="25.5" hidden="1" customHeight="1"/>
    <row r="985" ht="25.5" hidden="1" customHeight="1"/>
    <row r="986" ht="25.5" hidden="1" customHeight="1"/>
    <row r="987" ht="25.5" hidden="1" customHeight="1"/>
  </sheetData>
  <sheetProtection password="CE28" sheet="1" formatCells="0" formatColumns="0" objects="1" scenarios="1"/>
  <customSheetViews>
    <customSheetView guid="{0E659955-9737-492F-945A-95AC3E0C4088}" showPageBreaks="1" printArea="1" hiddenRows="1" hiddenColumns="1" view="pageLayout">
      <selection activeCell="G1" sqref="G1"/>
      <pageMargins left="0" right="0.25" top="0" bottom="0" header="0" footer="0"/>
      <printOptions horizontalCentered="1" verticalCentered="1"/>
      <pageSetup paperSize="9" scale="86" orientation="portrait" blackAndWhite="1"/>
      <headerFooter alignWithMargins="0"/>
    </customSheetView>
    <customSheetView guid="{6B449CA7-43A5-4BFF-BFE3-4A3E3D45323D}" showGridLines="0" showRowCol="0" hiddenRows="1" hiddenColumns="1">
      <selection activeCell="E6" sqref="E6"/>
      <pageMargins left="0" right="0.25" top="0" bottom="0" header="0" footer="0"/>
      <printOptions horizontalCentered="1" verticalCentered="1"/>
      <pageSetup paperSize="9" scale="90" orientation="portrait" blackAndWhite="1"/>
      <headerFooter alignWithMargins="0">
        <oddFooter>&amp;Lsuleman&amp;R97253 90192</oddFooter>
      </headerFooter>
    </customSheetView>
  </customSheetViews>
  <mergeCells count="38">
    <mergeCell ref="A1:F1"/>
    <mergeCell ref="H1:N1"/>
    <mergeCell ref="C2:N2"/>
    <mergeCell ref="C3:E3"/>
    <mergeCell ref="F3:I3"/>
    <mergeCell ref="J3:K3"/>
    <mergeCell ref="L3:N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F20:G20"/>
    <mergeCell ref="H20:N20"/>
    <mergeCell ref="F21:G21"/>
    <mergeCell ref="H21:N21"/>
    <mergeCell ref="F22:G22"/>
    <mergeCell ref="H22:N22"/>
    <mergeCell ref="F23:G23"/>
    <mergeCell ref="H23:N23"/>
    <mergeCell ref="J24:N24"/>
    <mergeCell ref="E25:F25"/>
    <mergeCell ref="G25:I25"/>
    <mergeCell ref="J25:N25"/>
    <mergeCell ref="K27:N27"/>
    <mergeCell ref="C28:F28"/>
    <mergeCell ref="G28:H28"/>
    <mergeCell ref="I28:N28"/>
    <mergeCell ref="C30:N30"/>
  </mergeCells>
  <conditionalFormatting sqref="E6:N17">
    <cfRule type="containsBlanks" dxfId="0" priority="1">
      <formula>LEN(TRIM(E6))=0</formula>
    </cfRule>
  </conditionalFormatting>
  <dataValidations count="1">
    <dataValidation type="list" allowBlank="1" showInputMessage="1" showErrorMessage="1" sqref="G1">
      <formula1>"new,old"</formula1>
    </dataValidation>
  </dataValidations>
  <printOptions horizontalCentered="1" verticalCentered="1"/>
  <pageMargins left="0" right="0.25" top="0" bottom="0" header="0" footer="0"/>
  <pageSetup paperSize="9" scale="86" orientation="portrait" blackAndWhite="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R341"/>
  <sheetViews>
    <sheetView topLeftCell="A48" workbookViewId="0">
      <selection activeCell="AG1" sqref="AG1:AG62"/>
    </sheetView>
  </sheetViews>
  <sheetFormatPr defaultColWidth="0" defaultRowHeight="16.5" customHeight="1" zeroHeight="1"/>
  <cols>
    <col min="1" max="1" width="3.54545454545455" style="25" customWidth="1"/>
    <col min="2" max="2" width="1.45454545454545" style="25" customWidth="1"/>
    <col min="3" max="3" width="3.45454545454545" style="26" customWidth="1"/>
    <col min="4" max="4" width="3.54545454545455" style="25" customWidth="1"/>
    <col min="5" max="5" width="3.72727272727273" style="25" customWidth="1"/>
    <col min="6" max="17" width="3.54545454545455" style="25" customWidth="1"/>
    <col min="18" max="18" width="3.54545454545455" style="27" customWidth="1"/>
    <col min="19" max="25" width="3.54545454545455" style="25" customWidth="1"/>
    <col min="26" max="26" width="3.54545454545455" style="27" customWidth="1"/>
    <col min="27" max="31" width="3.54545454545455" style="25" customWidth="1"/>
    <col min="32" max="32" width="1.45454545454545" style="25" customWidth="1"/>
    <col min="33" max="33" width="3.54545454545455" style="25" customWidth="1"/>
    <col min="34" max="37" width="3.54545454545455" style="28" hidden="1" customWidth="1"/>
    <col min="38" max="38" width="16.1818181818182" style="28" hidden="1" customWidth="1"/>
    <col min="39" max="42" width="12.5454545454545" style="28" hidden="1" customWidth="1"/>
    <col min="43" max="43" width="13.1818181818182" style="28" hidden="1" customWidth="1"/>
    <col min="44" max="57" width="9.18181818181818" style="28" hidden="1" customWidth="1"/>
    <col min="58" max="122" width="9.18181818181818" style="8" hidden="1" customWidth="1"/>
    <col min="123" max="256" width="9.18181818181818" style="29" hidden="1" customWidth="1"/>
    <col min="257" max="16384" width="9.18181818181818" style="29" hidden="1"/>
  </cols>
  <sheetData>
    <row r="1" s="19" customFormat="1" ht="24" customHeight="1" spans="1:122">
      <c r="A1" s="30" t="s">
        <v>178</v>
      </c>
      <c r="B1" s="30"/>
      <c r="C1" s="30"/>
      <c r="D1" s="30"/>
      <c r="E1" s="30"/>
      <c r="F1" s="30"/>
      <c r="G1" s="30"/>
      <c r="H1" s="30"/>
      <c r="I1" s="30"/>
      <c r="J1" s="30"/>
      <c r="K1" s="62" t="s">
        <v>179</v>
      </c>
      <c r="L1" s="63"/>
      <c r="M1" s="64" t="s">
        <v>1</v>
      </c>
      <c r="N1" s="64"/>
      <c r="O1" s="65" t="s">
        <v>2</v>
      </c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3" t="s">
        <v>3</v>
      </c>
      <c r="AD1" s="63"/>
      <c r="AE1" s="63"/>
      <c r="AF1" s="88"/>
      <c r="AG1" s="31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  <c r="BU1" s="125"/>
      <c r="BV1" s="125"/>
      <c r="BW1" s="125"/>
      <c r="BX1" s="125"/>
      <c r="BY1" s="125"/>
      <c r="BZ1" s="125"/>
      <c r="CA1" s="125"/>
      <c r="CB1" s="125"/>
      <c r="CC1" s="125"/>
      <c r="CD1" s="125"/>
      <c r="CE1" s="125"/>
      <c r="CF1" s="125"/>
      <c r="CG1" s="125"/>
      <c r="CH1" s="125"/>
      <c r="CI1" s="125"/>
      <c r="CJ1" s="125"/>
      <c r="CK1" s="125"/>
      <c r="CL1" s="125"/>
      <c r="CM1" s="125"/>
      <c r="CN1" s="125"/>
      <c r="CO1" s="125"/>
      <c r="CP1" s="125"/>
      <c r="CQ1" s="125"/>
      <c r="CR1" s="125"/>
      <c r="CS1" s="125"/>
      <c r="CT1" s="125"/>
      <c r="CU1" s="125"/>
      <c r="CV1" s="125"/>
      <c r="CW1" s="125"/>
      <c r="CX1" s="125"/>
      <c r="CY1" s="125"/>
      <c r="CZ1" s="125"/>
      <c r="DA1" s="125"/>
      <c r="DB1" s="125"/>
      <c r="DC1" s="125"/>
      <c r="DD1" s="125"/>
      <c r="DE1" s="125"/>
      <c r="DF1" s="125"/>
      <c r="DG1" s="125"/>
      <c r="DH1" s="125"/>
      <c r="DI1" s="125"/>
      <c r="DJ1" s="125"/>
      <c r="DK1" s="125"/>
      <c r="DL1" s="125"/>
      <c r="DM1" s="125"/>
      <c r="DN1" s="125"/>
      <c r="DO1" s="125"/>
      <c r="DP1" s="125"/>
      <c r="DQ1" s="125"/>
      <c r="DR1" s="125"/>
    </row>
    <row r="2" ht="21" customHeight="1" spans="1:44">
      <c r="A2" s="31"/>
      <c r="B2" s="32"/>
      <c r="C2" s="33" t="s">
        <v>180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89"/>
      <c r="AG2" s="31"/>
      <c r="AM2" s="28" t="s">
        <v>5</v>
      </c>
      <c r="AN2" s="28">
        <f>AO32</f>
        <v>0</v>
      </c>
      <c r="AO2" s="28">
        <v>0</v>
      </c>
      <c r="AP2" s="28">
        <f>IF(AC1="C.P.F.",AN2,AO2)</f>
        <v>0</v>
      </c>
      <c r="AQ2" s="28">
        <f>AN32</f>
        <v>0</v>
      </c>
      <c r="AR2" s="28">
        <f>IF(AC1="C.P.F.",AQ2,AO2)</f>
        <v>0</v>
      </c>
    </row>
    <row r="3" customHeight="1" spans="1:42">
      <c r="A3" s="31"/>
      <c r="B3" s="34"/>
      <c r="C3" s="35" t="s">
        <v>181</v>
      </c>
      <c r="D3" s="35"/>
      <c r="E3" s="35"/>
      <c r="F3" s="35"/>
      <c r="G3" s="35"/>
      <c r="H3" s="35"/>
      <c r="I3" s="35"/>
      <c r="J3" s="35"/>
      <c r="K3" s="35"/>
      <c r="L3" s="35"/>
      <c r="M3" s="20"/>
      <c r="N3" s="20"/>
      <c r="O3" s="20"/>
      <c r="P3" s="20"/>
      <c r="Q3" s="20"/>
      <c r="R3" s="20"/>
      <c r="S3" s="20"/>
      <c r="T3" s="20"/>
      <c r="U3" s="20"/>
      <c r="V3" s="74" t="s">
        <v>182</v>
      </c>
      <c r="W3" s="74"/>
      <c r="X3" s="74"/>
      <c r="Y3" s="74"/>
      <c r="Z3" s="74"/>
      <c r="AA3" s="74"/>
      <c r="AB3" s="74"/>
      <c r="AC3" s="74"/>
      <c r="AD3" s="74"/>
      <c r="AE3" s="74"/>
      <c r="AF3" s="90"/>
      <c r="AG3" s="31"/>
      <c r="AM3" s="28" t="s">
        <v>3</v>
      </c>
      <c r="AN3" s="28">
        <f>'કપાટ પત્રક પેહલા ભરવુ '!G18</f>
        <v>240000</v>
      </c>
      <c r="AO3" s="28">
        <v>0</v>
      </c>
      <c r="AP3" s="28">
        <f>IF(AC1="G.P.F.",AN3,AO3)</f>
        <v>240000</v>
      </c>
    </row>
    <row r="4" s="20" customFormat="1" ht="15.75" customHeight="1" spans="1:122">
      <c r="A4" s="36"/>
      <c r="B4" s="37"/>
      <c r="C4" s="38" t="s">
        <v>8</v>
      </c>
      <c r="D4" s="38"/>
      <c r="E4" s="38"/>
      <c r="F4" s="39">
        <f>IF('જૂન સ્લેબ મુજબ (OLD SLAB)'!F4="","",'જૂન સ્લેબ મુજબ (OLD SLAB)'!F4)</f>
        <v>8</v>
      </c>
      <c r="G4" s="39">
        <f>IF('જૂન સ્લેબ મુજબ (OLD SLAB)'!G4="","",'જૂન સ્લેબ મુજબ (OLD SLAB)'!G4)</f>
        <v>2</v>
      </c>
      <c r="H4" s="39">
        <f>IF('જૂન સ્લેબ મુજબ (OLD SLAB)'!H4="","",'જૂન સ્લેબ મુજબ (OLD SLAB)'!H4)</f>
        <v>3</v>
      </c>
      <c r="I4" s="39">
        <f>IF('જૂન સ્લેબ મુજબ (OLD SLAB)'!I4="","",'જૂન સ્લેબ મુજબ (OLD SLAB)'!I4)</f>
        <v>8</v>
      </c>
      <c r="J4" s="39">
        <f>IF('જૂન સ્લેબ મુજબ (OLD SLAB)'!J4="","",'જૂન સ્લેબ મુજબ (OLD SLAB)'!J4)</f>
        <v>0</v>
      </c>
      <c r="K4" s="39">
        <f>IF('જૂન સ્લેબ મુજબ (OLD SLAB)'!K4="","",'જૂન સ્લેબ મુજબ (OLD SLAB)'!K4)</f>
        <v>7</v>
      </c>
      <c r="L4" s="39">
        <f>IF('જૂન સ્લેબ મુજબ (OLD SLAB)'!L4="","",'જૂન સ્લેબ મુજબ (OLD SLAB)'!L4)</f>
        <v>5</v>
      </c>
      <c r="M4" s="39">
        <f>IF('જૂન સ્લેબ મુજબ (OLD SLAB)'!M4="","",'જૂન સ્લેબ મુજબ (OLD SLAB)'!M4)</f>
        <v>2</v>
      </c>
      <c r="N4" s="39">
        <f>IF('જૂન સ્લેબ મુજબ (OLD SLAB)'!N4="","",'જૂન સ્લેબ મુજબ (OLD SLAB)'!N4)</f>
        <v>8</v>
      </c>
      <c r="O4" s="39">
        <f>IF('જૂન સ્લેબ મુજબ (OLD SLAB)'!O4="","",'જૂન સ્લેબ મુજબ (OLD SLAB)'!O4)</f>
        <v>8</v>
      </c>
      <c r="R4" s="49" t="s">
        <v>9</v>
      </c>
      <c r="S4" s="49"/>
      <c r="T4" s="49"/>
      <c r="U4" s="49"/>
      <c r="V4" s="39" t="str">
        <f>IF('જૂન સ્લેબ મુજબ (OLD SLAB)'!V4="","",'જૂન સ્લેબ મુજબ (OLD SLAB)'!V4)</f>
        <v>A</v>
      </c>
      <c r="W4" s="39" t="str">
        <f>IF('જૂન સ્લેબ મુજબ (OLD SLAB)'!W4="","",'જૂન સ્લેબ મુજબ (OLD SLAB)'!W4)</f>
        <v>M</v>
      </c>
      <c r="X4" s="39" t="str">
        <f>IF('જૂન સ્લેબ મુજબ (OLD SLAB)'!X4="","",'જૂન સ્લેબ મુજબ (OLD SLAB)'!X4)</f>
        <v>T</v>
      </c>
      <c r="Y4" s="39" t="str">
        <f>IF('જૂન સ્લેબ મુજબ (OLD SLAB)'!Y4="","",'જૂન સ્લેબ મુજબ (OLD SLAB)'!Y4)</f>
        <v>P</v>
      </c>
      <c r="Z4" s="39" t="str">
        <f>IF('જૂન સ્લેબ મુજબ (OLD SLAB)'!Z4="","",'જૂન સ્લેબ મુજબ (OLD SLAB)'!Z4)</f>
        <v>P</v>
      </c>
      <c r="AA4" s="39">
        <f>IF('જૂન સ્લેબ મુજબ (OLD SLAB)'!AA4="","",'જૂન સ્લેબ મુજબ (OLD SLAB)'!AA4)</f>
        <v>1</v>
      </c>
      <c r="AB4" s="39">
        <f>IF('જૂન સ્લેબ મુજબ (OLD SLAB)'!AB4="","",'જૂન સ્લેબ મુજબ (OLD SLAB)'!AB4)</f>
        <v>8</v>
      </c>
      <c r="AC4" s="39">
        <f>IF('જૂન સ્લેબ મુજબ (OLD SLAB)'!AC4="","",'જૂન સ્લેબ મુજબ (OLD SLAB)'!AC4)</f>
        <v>3</v>
      </c>
      <c r="AD4" s="39">
        <f>IF('જૂન સ્લેબ મુજબ (OLD SLAB)'!AD4="","",'જૂન સ્લેબ મુજબ (OLD SLAB)'!AD4)</f>
        <v>2</v>
      </c>
      <c r="AE4" s="39" t="str">
        <f>IF('જૂન સ્લેબ મુજબ (OLD SLAB)'!AE4="","",'જૂન સ્લેબ મુજબ (OLD SLAB)'!AE4)</f>
        <v>G</v>
      </c>
      <c r="AF4" s="91"/>
      <c r="AG4" s="36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</row>
    <row r="5" ht="2.25" customHeight="1" spans="1:33">
      <c r="A5" s="31"/>
      <c r="B5" s="40"/>
      <c r="C5" s="38"/>
      <c r="D5" s="38"/>
      <c r="E5" s="38"/>
      <c r="F5" s="29"/>
      <c r="G5" s="29"/>
      <c r="H5" s="29"/>
      <c r="I5" s="29"/>
      <c r="J5" s="20"/>
      <c r="K5" s="20"/>
      <c r="L5" s="20"/>
      <c r="M5" s="20"/>
      <c r="N5" s="20"/>
      <c r="O5" s="49"/>
      <c r="P5" s="49"/>
      <c r="Q5" s="49"/>
      <c r="R5" s="49"/>
      <c r="S5" s="49"/>
      <c r="T5" s="49"/>
      <c r="U5" s="49"/>
      <c r="V5" s="49"/>
      <c r="W5" s="29"/>
      <c r="X5" s="29"/>
      <c r="Y5" s="29"/>
      <c r="Z5" s="29"/>
      <c r="AA5" s="29"/>
      <c r="AB5" s="20"/>
      <c r="AC5" s="29"/>
      <c r="AD5" s="29"/>
      <c r="AE5" s="29"/>
      <c r="AF5" s="92"/>
      <c r="AG5" s="31"/>
    </row>
    <row r="6" s="20" customFormat="1" customHeight="1" spans="1:122">
      <c r="A6" s="36"/>
      <c r="B6" s="37"/>
      <c r="C6" s="38" t="s">
        <v>15</v>
      </c>
      <c r="D6" s="38"/>
      <c r="E6" s="38"/>
      <c r="F6" s="39">
        <f>IF('જૂન સ્લેબ મુજબ (OLD SLAB)'!F6="","",'જૂન સ્લેબ મુજબ (OLD SLAB)'!F6)</f>
        <v>2</v>
      </c>
      <c r="G6" s="39">
        <f>IF('જૂન સ્લેબ મુજબ (OLD SLAB)'!G6="","",'જૂન સ્લેબ મુજબ (OLD SLAB)'!G6)</f>
        <v>5</v>
      </c>
      <c r="H6" s="39">
        <f>IF('જૂન સ્લેબ મુજબ (OLD SLAB)'!H6="","",'જૂન સ્લેબ મુજબ (OLD SLAB)'!H6)</f>
        <v>2</v>
      </c>
      <c r="I6" s="39">
        <f>IF('જૂન સ્લેબ મુજબ (OLD SLAB)'!I6="","",'જૂન સ્લેબ મુજબ (OLD SLAB)'!I6)</f>
        <v>4</v>
      </c>
      <c r="J6" s="39">
        <f>IF('જૂન સ્લેબ મુજબ (OLD SLAB)'!J6="","",'જૂન સ્લેબ મુજબ (OLD SLAB)'!J6)</f>
        <v>3</v>
      </c>
      <c r="K6" s="39">
        <f>IF('જૂન સ્લેબ મુજબ (OLD SLAB)'!K6="","",'જૂન સ્લેબ મુજબ (OLD SLAB)'!K6)</f>
        <v>9</v>
      </c>
      <c r="L6" s="39">
        <f>IF('જૂન સ્લેબ મુજબ (OLD SLAB)'!L6="","",'જૂન સ્લેબ મુજબ (OLD SLAB)'!L6)</f>
        <v>9</v>
      </c>
      <c r="M6" s="39">
        <f>IF('જૂન સ્લેબ મુજબ (OLD SLAB)'!M6="","",'જૂન સ્લેબ મુજબ (OLD SLAB)'!M6)</f>
        <v>4</v>
      </c>
      <c r="N6" s="39">
        <f>IF('જૂન સ્લેબ મુજબ (OLD SLAB)'!N6="","",'જૂન સ્લેબ મુજબ (OLD SLAB)'!N6)</f>
        <v>5</v>
      </c>
      <c r="O6" s="39">
        <f>IF('જૂન સ્લેબ મુજબ (OLD SLAB)'!O6="","",'જૂન સ્લેબ મુજબ (OLD SLAB)'!O6)</f>
        <v>2</v>
      </c>
      <c r="P6" s="39">
        <f>IF('જૂન સ્લેબ મુજબ (OLD SLAB)'!P6="","",'જૂન સ્લેબ મુજબ (OLD SLAB)'!P6)</f>
        <v>9</v>
      </c>
      <c r="Q6" s="39">
        <f>IF('જૂન સ્લેબ મુજબ (OLD SLAB)'!Q6="","",'જૂન સ્લેબ મુજબ (OLD SLAB)'!Q6)</f>
        <v>3</v>
      </c>
      <c r="R6" s="49" t="s">
        <v>16</v>
      </c>
      <c r="S6" s="49"/>
      <c r="T6" s="49"/>
      <c r="U6" s="49"/>
      <c r="V6" s="39">
        <f>IF('જૂન સ્લેબ મુજબ (OLD SLAB)'!V6="","",'જૂન સ્લેબ મુજબ (OLD SLAB)'!V6)</f>
        <v>1</v>
      </c>
      <c r="W6" s="39">
        <f>IF('જૂન સ્લેબ મુજબ (OLD SLAB)'!W6="","",'જૂન સ્લેબ મુજબ (OLD SLAB)'!W6)</f>
        <v>5</v>
      </c>
      <c r="Y6" s="39">
        <f>IF('જૂન સ્લેબ મુજબ (OLD SLAB)'!Y6="","",'જૂન સ્લેબ મુજબ (OLD SLAB)'!Y6)</f>
        <v>1</v>
      </c>
      <c r="Z6" s="39">
        <f>IF('જૂન સ્લેબ મુજબ (OLD SLAB)'!Z6="","",'જૂન સ્લેબ મુજબ (OLD SLAB)'!Z6)</f>
        <v>0</v>
      </c>
      <c r="AB6" s="39">
        <f>IF('જૂન સ્લેબ મુજબ (OLD SLAB)'!AB6="","",'જૂન સ્લેબ મુજબ (OLD SLAB)'!AB6)</f>
        <v>1</v>
      </c>
      <c r="AC6" s="39">
        <f>IF('જૂન સ્લેબ મુજબ (OLD SLAB)'!AC6="","",'જૂન સ્લેબ મુજબ (OLD SLAB)'!AC6)</f>
        <v>9</v>
      </c>
      <c r="AD6" s="39">
        <f>IF('જૂન સ્લેબ મુજબ (OLD SLAB)'!AD6="","",'જૂન સ્લેબ મુજબ (OLD SLAB)'!AD6)</f>
        <v>7</v>
      </c>
      <c r="AE6" s="39">
        <f>IF('જૂન સ્લેબ મુજબ (OLD SLAB)'!AE6="","",'જૂન સ્લેબ મુજબ (OLD SLAB)'!AE6)</f>
        <v>5</v>
      </c>
      <c r="AF6" s="91"/>
      <c r="AG6" s="36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6"/>
      <c r="CD6" s="126"/>
      <c r="CE6" s="126"/>
      <c r="CF6" s="126"/>
      <c r="CG6" s="126"/>
      <c r="CH6" s="126"/>
      <c r="CI6" s="126"/>
      <c r="CJ6" s="126"/>
      <c r="CK6" s="126"/>
      <c r="CL6" s="126"/>
      <c r="CM6" s="126"/>
      <c r="CN6" s="126"/>
      <c r="CO6" s="126"/>
      <c r="CP6" s="126"/>
      <c r="CQ6" s="126"/>
      <c r="CR6" s="126"/>
      <c r="CS6" s="126"/>
      <c r="CT6" s="126"/>
      <c r="CU6" s="126"/>
      <c r="CV6" s="126"/>
      <c r="CW6" s="126"/>
      <c r="CX6" s="126"/>
      <c r="CY6" s="126"/>
      <c r="CZ6" s="126"/>
      <c r="DA6" s="126"/>
      <c r="DB6" s="126"/>
      <c r="DC6" s="126"/>
      <c r="DD6" s="126"/>
      <c r="DE6" s="126"/>
      <c r="DF6" s="126"/>
      <c r="DG6" s="126"/>
      <c r="DH6" s="126"/>
      <c r="DI6" s="126"/>
      <c r="DJ6" s="126"/>
      <c r="DK6" s="126"/>
      <c r="DL6" s="126"/>
      <c r="DM6" s="126"/>
      <c r="DN6" s="126"/>
      <c r="DO6" s="126"/>
      <c r="DP6" s="126"/>
      <c r="DQ6" s="126"/>
      <c r="DR6" s="126"/>
    </row>
    <row r="7" s="20" customFormat="1" ht="3.75" customHeight="1" spans="1:122">
      <c r="A7" s="36"/>
      <c r="B7" s="37"/>
      <c r="D7" s="38"/>
      <c r="E7" s="38"/>
      <c r="F7" s="38"/>
      <c r="R7" s="38"/>
      <c r="S7" s="38"/>
      <c r="T7" s="38"/>
      <c r="U7" s="38"/>
      <c r="AF7" s="91"/>
      <c r="AG7" s="36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26"/>
      <c r="BG7" s="126"/>
      <c r="BH7" s="126"/>
      <c r="BI7" s="126"/>
      <c r="BJ7" s="126"/>
      <c r="BK7" s="126"/>
      <c r="BL7" s="126"/>
      <c r="BM7" s="126"/>
      <c r="BN7" s="12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A7" s="126"/>
      <c r="CB7" s="126"/>
      <c r="CC7" s="126"/>
      <c r="CD7" s="126"/>
      <c r="CE7" s="126"/>
      <c r="CF7" s="126"/>
      <c r="CG7" s="126"/>
      <c r="CH7" s="126"/>
      <c r="CI7" s="126"/>
      <c r="CJ7" s="126"/>
      <c r="CK7" s="126"/>
      <c r="CL7" s="126"/>
      <c r="CM7" s="126"/>
      <c r="CN7" s="126"/>
      <c r="CO7" s="126"/>
      <c r="CP7" s="126"/>
      <c r="CQ7" s="126"/>
      <c r="CR7" s="126"/>
      <c r="CS7" s="126"/>
      <c r="CT7" s="126"/>
      <c r="CU7" s="126"/>
      <c r="CV7" s="126"/>
      <c r="CW7" s="126"/>
      <c r="CX7" s="126"/>
      <c r="CY7" s="126"/>
      <c r="CZ7" s="126"/>
      <c r="DA7" s="126"/>
      <c r="DB7" s="126"/>
      <c r="DC7" s="126"/>
      <c r="DD7" s="126"/>
      <c r="DE7" s="126"/>
      <c r="DF7" s="126"/>
      <c r="DG7" s="126"/>
      <c r="DH7" s="126"/>
      <c r="DI7" s="126"/>
      <c r="DJ7" s="126"/>
      <c r="DK7" s="126"/>
      <c r="DL7" s="126"/>
      <c r="DM7" s="126"/>
      <c r="DN7" s="126"/>
      <c r="DO7" s="126"/>
      <c r="DP7" s="126"/>
      <c r="DQ7" s="126"/>
      <c r="DR7" s="126"/>
    </row>
    <row r="8" customHeight="1" spans="1:33">
      <c r="A8" s="31"/>
      <c r="B8" s="40"/>
      <c r="C8" s="41" t="s">
        <v>183</v>
      </c>
      <c r="D8" s="41"/>
      <c r="E8" s="41"/>
      <c r="F8" s="41"/>
      <c r="G8" s="41"/>
      <c r="H8" s="41"/>
      <c r="I8" s="66" t="str">
        <f>IF('જૂન સ્લેબ મુજબ (OLD SLAB)'!I8="","",'જૂન સ્લેબ મુજબ (OLD SLAB)'!I8)</f>
        <v>PARMAR SUBHASHCHANDRA RAMESHBHAI </v>
      </c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9" t="s">
        <v>19</v>
      </c>
      <c r="Y8" s="69"/>
      <c r="Z8" s="67" t="str">
        <f>IF('જૂન સ્લેબ મુજબ (OLD SLAB)'!Z8="","",'જૂન સ્લેબ મુજબ (OLD SLAB)'!Z8)</f>
        <v>PRINCIPAL</v>
      </c>
      <c r="AA8" s="67"/>
      <c r="AB8" s="67"/>
      <c r="AC8" s="67"/>
      <c r="AD8" s="67"/>
      <c r="AE8" s="67"/>
      <c r="AF8" s="92"/>
      <c r="AG8" s="31"/>
    </row>
    <row r="9" customHeight="1" spans="1:33">
      <c r="A9" s="31"/>
      <c r="B9" s="40"/>
      <c r="C9" s="41" t="s">
        <v>184</v>
      </c>
      <c r="D9" s="41"/>
      <c r="E9" s="41"/>
      <c r="F9" s="41"/>
      <c r="G9" s="41"/>
      <c r="H9" s="41"/>
      <c r="I9" s="67" t="str">
        <f>IF('જૂન સ્લેબ મુજબ (OLD SLAB)'!I9="","",'જૂન સ્લેબ મુજબ (OLD SLAB)'!I9)</f>
        <v>JUNADADAPOR P.S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9" t="s">
        <v>23</v>
      </c>
      <c r="W9" s="69"/>
      <c r="X9" s="69"/>
      <c r="Y9" s="69"/>
      <c r="Z9" s="67" t="str">
        <f>IF('જૂન સ્લેબ મુજબ (OLD SLAB)'!Z9="","",'જૂન સ્લેબ મુજબ (OLD SLAB)'!Z9)</f>
        <v>16710100005591</v>
      </c>
      <c r="AA9" s="67"/>
      <c r="AB9" s="67"/>
      <c r="AC9" s="67"/>
      <c r="AD9" s="67"/>
      <c r="AE9" s="67"/>
      <c r="AF9" s="92"/>
      <c r="AG9" s="31"/>
    </row>
    <row r="10" customHeight="1" spans="1:33">
      <c r="A10" s="31"/>
      <c r="B10" s="40"/>
      <c r="C10" s="41" t="s">
        <v>185</v>
      </c>
      <c r="D10" s="41"/>
      <c r="E10" s="41"/>
      <c r="F10" s="41"/>
      <c r="G10" s="41"/>
      <c r="H10" s="41"/>
      <c r="I10" s="68" t="str">
        <f>IF('જૂન સ્લેબ મુજબ (OLD SLAB)'!I10="","",'જૂન સ્લેબ મુજબ (OLD SLAB)'!I10)</f>
        <v>BANK OF BARODA</v>
      </c>
      <c r="J10" s="68"/>
      <c r="K10" s="68"/>
      <c r="L10" s="68"/>
      <c r="M10" s="68"/>
      <c r="N10" s="68"/>
      <c r="O10" s="68"/>
      <c r="P10" s="69" t="s">
        <v>27</v>
      </c>
      <c r="Q10" s="69"/>
      <c r="R10" s="75" t="str">
        <f>IF('જૂન સ્લેબ મુજબ (OLD SLAB)'!R10="","",'જૂન સ્લેબ મુજબ (OLD SLAB)'!R10)</f>
        <v>AMOD</v>
      </c>
      <c r="S10" s="75"/>
      <c r="T10" s="75"/>
      <c r="U10" s="75"/>
      <c r="V10" s="20" t="s">
        <v>29</v>
      </c>
      <c r="W10" s="20"/>
      <c r="X10" s="20"/>
      <c r="Y10" s="20"/>
      <c r="Z10" s="68" t="str">
        <f>IF('જૂન સ્લેબ મુજબ (OLD SLAB)'!Z10="","",'જૂન સ્લેબ મુજબ (OLD SLAB)'!Z10)</f>
        <v>BARB0AMODXX</v>
      </c>
      <c r="AA10" s="68"/>
      <c r="AB10" s="68"/>
      <c r="AC10" s="68"/>
      <c r="AD10" s="68"/>
      <c r="AE10" s="68"/>
      <c r="AF10" s="92"/>
      <c r="AG10" s="31"/>
    </row>
    <row r="11" ht="3.75" customHeight="1" spans="1:33">
      <c r="A11" s="31"/>
      <c r="B11" s="42"/>
      <c r="C11" s="43"/>
      <c r="D11" s="44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76"/>
      <c r="S11" s="45"/>
      <c r="T11" s="45"/>
      <c r="U11" s="45"/>
      <c r="V11" s="45"/>
      <c r="W11" s="45"/>
      <c r="X11" s="45"/>
      <c r="Y11" s="45"/>
      <c r="Z11" s="76"/>
      <c r="AA11" s="45"/>
      <c r="AB11" s="45"/>
      <c r="AC11" s="45"/>
      <c r="AD11" s="45"/>
      <c r="AE11" s="45"/>
      <c r="AF11" s="93"/>
      <c r="AG11" s="31"/>
    </row>
    <row r="12" ht="3.75" customHeight="1" spans="1:33">
      <c r="A12" s="31"/>
      <c r="B12" s="40"/>
      <c r="C12" s="20"/>
      <c r="D12" s="46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77"/>
      <c r="S12" s="47"/>
      <c r="T12" s="47"/>
      <c r="U12" s="47"/>
      <c r="V12" s="47"/>
      <c r="W12" s="47"/>
      <c r="X12" s="47"/>
      <c r="Y12" s="47"/>
      <c r="Z12" s="77"/>
      <c r="AA12" s="47"/>
      <c r="AB12" s="47"/>
      <c r="AC12" s="47"/>
      <c r="AD12" s="47"/>
      <c r="AE12" s="47"/>
      <c r="AF12" s="92"/>
      <c r="AG12" s="31"/>
    </row>
    <row r="13" customHeight="1" spans="1:33">
      <c r="A13" s="31"/>
      <c r="B13" s="40"/>
      <c r="C13" s="48" t="s">
        <v>186</v>
      </c>
      <c r="D13" s="38" t="s">
        <v>32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49"/>
      <c r="S13" s="29"/>
      <c r="T13" s="29"/>
      <c r="U13" s="29"/>
      <c r="V13" s="29"/>
      <c r="W13" s="29"/>
      <c r="X13" s="29"/>
      <c r="Y13" s="29"/>
      <c r="Z13" s="20" t="s">
        <v>33</v>
      </c>
      <c r="AA13" s="94">
        <f>'કપાટ પત્રક પેહલા ભરવુ '!E25</f>
        <v>1113040</v>
      </c>
      <c r="AB13" s="94"/>
      <c r="AC13" s="94"/>
      <c r="AD13" s="94"/>
      <c r="AE13" s="94"/>
      <c r="AF13" s="92"/>
      <c r="AG13" s="31"/>
    </row>
    <row r="14" customHeight="1" spans="1:33">
      <c r="A14" s="31"/>
      <c r="B14" s="40"/>
      <c r="C14" s="20" t="s">
        <v>187</v>
      </c>
      <c r="D14" s="38" t="s">
        <v>35</v>
      </c>
      <c r="E14" s="38"/>
      <c r="F14" s="29" t="s">
        <v>36</v>
      </c>
      <c r="G14" s="38" t="s">
        <v>37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20" t="s">
        <v>33</v>
      </c>
      <c r="S14" s="78">
        <v>50000</v>
      </c>
      <c r="T14" s="78"/>
      <c r="U14" s="78"/>
      <c r="V14" s="78"/>
      <c r="W14" s="38"/>
      <c r="X14" s="29"/>
      <c r="Y14" s="49"/>
      <c r="Z14" s="49"/>
      <c r="AA14" s="49"/>
      <c r="AB14" s="49"/>
      <c r="AC14" s="49"/>
      <c r="AD14" s="49"/>
      <c r="AE14" s="49"/>
      <c r="AF14" s="92"/>
      <c r="AG14" s="31"/>
    </row>
    <row r="15" customHeight="1" spans="1:40">
      <c r="A15" s="31"/>
      <c r="B15" s="40"/>
      <c r="C15" s="20"/>
      <c r="D15" s="38"/>
      <c r="E15" s="29"/>
      <c r="F15" s="29" t="s">
        <v>38</v>
      </c>
      <c r="G15" s="38" t="s">
        <v>39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20" t="s">
        <v>33</v>
      </c>
      <c r="S15" s="78">
        <f>AN15</f>
        <v>0</v>
      </c>
      <c r="T15" s="78"/>
      <c r="U15" s="78"/>
      <c r="V15" s="78"/>
      <c r="W15" s="38"/>
      <c r="X15" s="29"/>
      <c r="Y15" s="49"/>
      <c r="Z15" s="49"/>
      <c r="AA15" s="49"/>
      <c r="AB15" s="49"/>
      <c r="AC15" s="49"/>
      <c r="AD15" s="49"/>
      <c r="AE15" s="49"/>
      <c r="AF15" s="92"/>
      <c r="AG15" s="31"/>
      <c r="AL15" s="28">
        <f>'કપાટ પત્રક પેહલા ભરવુ '!F18</f>
        <v>2400</v>
      </c>
      <c r="AM15" s="28">
        <v>0</v>
      </c>
      <c r="AN15" s="28">
        <f>IF($M$1="હા",AL15,AM15)</f>
        <v>0</v>
      </c>
    </row>
    <row r="16" customHeight="1" spans="1:33">
      <c r="A16" s="31"/>
      <c r="B16" s="40"/>
      <c r="C16" s="20"/>
      <c r="D16" s="38"/>
      <c r="E16" s="29"/>
      <c r="F16" s="29" t="s">
        <v>40</v>
      </c>
      <c r="G16" s="38" t="s">
        <v>41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20" t="s">
        <v>33</v>
      </c>
      <c r="S16" s="78">
        <f>AD80</f>
        <v>0</v>
      </c>
      <c r="T16" s="78"/>
      <c r="U16" s="78"/>
      <c r="V16" s="78"/>
      <c r="W16" s="38"/>
      <c r="X16" s="29"/>
      <c r="Y16" s="49"/>
      <c r="Z16" s="49"/>
      <c r="AA16" s="49"/>
      <c r="AB16" s="49"/>
      <c r="AC16" s="49"/>
      <c r="AD16" s="49"/>
      <c r="AE16" s="49"/>
      <c r="AF16" s="92"/>
      <c r="AG16" s="31"/>
    </row>
    <row r="17" customHeight="1" spans="1:33">
      <c r="A17" s="31"/>
      <c r="B17" s="40"/>
      <c r="C17" s="20"/>
      <c r="D17" s="38"/>
      <c r="E17" s="29"/>
      <c r="F17" s="29" t="s">
        <v>42</v>
      </c>
      <c r="G17" s="38" t="s">
        <v>45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20" t="s">
        <v>33</v>
      </c>
      <c r="S17" s="79">
        <v>0</v>
      </c>
      <c r="T17" s="79"/>
      <c r="U17" s="79"/>
      <c r="V17" s="79"/>
      <c r="W17" s="29"/>
      <c r="X17" s="29"/>
      <c r="Y17" s="29"/>
      <c r="Z17" s="29"/>
      <c r="AA17" s="29"/>
      <c r="AB17" s="29"/>
      <c r="AC17" s="29"/>
      <c r="AD17" s="29"/>
      <c r="AE17" s="29"/>
      <c r="AF17" s="92"/>
      <c r="AG17" s="31"/>
    </row>
    <row r="18" customHeight="1" spans="1:33">
      <c r="A18" s="31"/>
      <c r="B18" s="40"/>
      <c r="C18" s="20"/>
      <c r="D18" s="29"/>
      <c r="E18" s="29"/>
      <c r="F18" s="29" t="s">
        <v>44</v>
      </c>
      <c r="G18" s="38" t="s">
        <v>45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20" t="s">
        <v>33</v>
      </c>
      <c r="S18" s="79">
        <v>0</v>
      </c>
      <c r="T18" s="79"/>
      <c r="U18" s="79"/>
      <c r="V18" s="79"/>
      <c r="W18" s="80" t="s">
        <v>46</v>
      </c>
      <c r="X18" s="80"/>
      <c r="Y18" s="80"/>
      <c r="Z18" s="20" t="s">
        <v>33</v>
      </c>
      <c r="AA18" s="95">
        <f>SUM(S14:V18)</f>
        <v>50000</v>
      </c>
      <c r="AB18" s="95"/>
      <c r="AC18" s="95"/>
      <c r="AD18" s="95"/>
      <c r="AE18" s="95"/>
      <c r="AF18" s="92"/>
      <c r="AG18" s="31"/>
    </row>
    <row r="19" customHeight="1" spans="1:41">
      <c r="A19" s="31"/>
      <c r="B19" s="40"/>
      <c r="C19" s="20" t="s">
        <v>188</v>
      </c>
      <c r="D19" s="38" t="s">
        <v>48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29"/>
      <c r="R19" s="49"/>
      <c r="S19" s="49"/>
      <c r="T19" s="77"/>
      <c r="U19" s="77" t="s">
        <v>49</v>
      </c>
      <c r="V19" s="49"/>
      <c r="W19" s="29"/>
      <c r="X19" s="29"/>
      <c r="Y19" s="29"/>
      <c r="Z19" s="20" t="s">
        <v>33</v>
      </c>
      <c r="AA19" s="94">
        <f>AA13-AA18</f>
        <v>1063040</v>
      </c>
      <c r="AB19" s="94"/>
      <c r="AC19" s="94"/>
      <c r="AD19" s="94"/>
      <c r="AE19" s="94"/>
      <c r="AF19" s="92"/>
      <c r="AG19" s="31"/>
      <c r="AM19" s="111">
        <f>SUM(L21:N27)+SUM(X21:Z27)</f>
        <v>0</v>
      </c>
      <c r="AO19" s="112"/>
    </row>
    <row r="20" customHeight="1" spans="1:33">
      <c r="A20" s="31"/>
      <c r="B20" s="40"/>
      <c r="C20" s="20" t="s">
        <v>189</v>
      </c>
      <c r="D20" s="38" t="s">
        <v>51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29"/>
      <c r="R20" s="49"/>
      <c r="S20" s="49"/>
      <c r="T20" s="49"/>
      <c r="U20" s="49"/>
      <c r="V20" s="49"/>
      <c r="W20" s="29"/>
      <c r="X20" s="29"/>
      <c r="Y20" s="29"/>
      <c r="Z20" s="49"/>
      <c r="AA20" s="29"/>
      <c r="AB20" s="29"/>
      <c r="AC20" s="29"/>
      <c r="AD20" s="29"/>
      <c r="AE20" s="29"/>
      <c r="AF20" s="92"/>
      <c r="AG20" s="31"/>
    </row>
    <row r="21" customHeight="1" spans="1:41">
      <c r="A21" s="31"/>
      <c r="B21" s="40"/>
      <c r="C21" s="20"/>
      <c r="D21" s="20" t="s">
        <v>36</v>
      </c>
      <c r="E21" s="38" t="s">
        <v>52</v>
      </c>
      <c r="F21" s="38"/>
      <c r="G21" s="38"/>
      <c r="H21" s="38"/>
      <c r="I21" s="38"/>
      <c r="J21" s="38"/>
      <c r="K21" s="20" t="s">
        <v>33</v>
      </c>
      <c r="L21" s="70">
        <f>AD86</f>
        <v>0</v>
      </c>
      <c r="M21" s="70"/>
      <c r="N21" s="70"/>
      <c r="O21" s="29"/>
      <c r="P21" s="20" t="s">
        <v>53</v>
      </c>
      <c r="Q21" s="38" t="s">
        <v>190</v>
      </c>
      <c r="R21" s="38"/>
      <c r="S21" s="38"/>
      <c r="T21" s="38"/>
      <c r="U21" s="38"/>
      <c r="V21" s="38"/>
      <c r="W21" s="20" t="s">
        <v>33</v>
      </c>
      <c r="X21" s="70">
        <v>0</v>
      </c>
      <c r="Y21" s="70"/>
      <c r="Z21" s="70"/>
      <c r="AA21" s="29"/>
      <c r="AB21" s="29"/>
      <c r="AC21" s="29"/>
      <c r="AD21" s="29"/>
      <c r="AE21" s="29"/>
      <c r="AF21" s="92"/>
      <c r="AG21" s="31"/>
      <c r="AM21" s="112">
        <f>SUM(L21:N27)</f>
        <v>0</v>
      </c>
      <c r="AN21" s="28">
        <v>50000</v>
      </c>
      <c r="AO21" s="112">
        <f>SUM(AM21:AN21)</f>
        <v>50000</v>
      </c>
    </row>
    <row r="22" customHeight="1" spans="1:39">
      <c r="A22" s="31"/>
      <c r="B22" s="40"/>
      <c r="C22" s="20"/>
      <c r="D22" s="20" t="s">
        <v>38</v>
      </c>
      <c r="E22" s="38" t="s">
        <v>55</v>
      </c>
      <c r="F22" s="38"/>
      <c r="G22" s="38"/>
      <c r="H22" s="38"/>
      <c r="I22" s="38"/>
      <c r="J22" s="38"/>
      <c r="K22" s="20" t="s">
        <v>33</v>
      </c>
      <c r="L22" s="71">
        <f>AD85</f>
        <v>0</v>
      </c>
      <c r="M22" s="71"/>
      <c r="N22" s="71"/>
      <c r="O22" s="29"/>
      <c r="P22" s="20" t="s">
        <v>56</v>
      </c>
      <c r="Q22" s="38" t="s">
        <v>57</v>
      </c>
      <c r="R22" s="38"/>
      <c r="S22" s="38"/>
      <c r="T22" s="38"/>
      <c r="U22" s="38"/>
      <c r="V22" s="38"/>
      <c r="W22" s="20" t="s">
        <v>33</v>
      </c>
      <c r="X22" s="70">
        <v>0</v>
      </c>
      <c r="Y22" s="70"/>
      <c r="Z22" s="70"/>
      <c r="AA22" s="29"/>
      <c r="AB22" s="29"/>
      <c r="AC22" s="29"/>
      <c r="AD22" s="29"/>
      <c r="AE22" s="29"/>
      <c r="AF22" s="92"/>
      <c r="AG22" s="31"/>
      <c r="AM22" s="28">
        <f>'કપાટ પત્રક પેહલા ભરવુ '!H18</f>
        <v>0</v>
      </c>
    </row>
    <row r="23" customHeight="1" spans="1:33">
      <c r="A23" s="31"/>
      <c r="B23" s="40"/>
      <c r="C23" s="20"/>
      <c r="D23" s="20" t="s">
        <v>40</v>
      </c>
      <c r="E23" s="38" t="s">
        <v>58</v>
      </c>
      <c r="F23" s="38"/>
      <c r="G23" s="38"/>
      <c r="H23" s="38"/>
      <c r="I23" s="38"/>
      <c r="J23" s="38"/>
      <c r="K23" s="20" t="s">
        <v>33</v>
      </c>
      <c r="L23" s="70">
        <f>AD84</f>
        <v>0</v>
      </c>
      <c r="M23" s="70"/>
      <c r="N23" s="70"/>
      <c r="O23" s="29"/>
      <c r="P23" s="20" t="s">
        <v>59</v>
      </c>
      <c r="Q23" s="38" t="s">
        <v>60</v>
      </c>
      <c r="R23" s="38"/>
      <c r="S23" s="38"/>
      <c r="T23" s="38"/>
      <c r="U23" s="38"/>
      <c r="V23" s="38"/>
      <c r="W23" s="20" t="s">
        <v>33</v>
      </c>
      <c r="X23" s="70">
        <v>0</v>
      </c>
      <c r="Y23" s="70"/>
      <c r="Z23" s="70"/>
      <c r="AA23" s="29"/>
      <c r="AB23" s="29"/>
      <c r="AC23" s="29"/>
      <c r="AD23" s="29"/>
      <c r="AE23" s="29"/>
      <c r="AF23" s="92"/>
      <c r="AG23" s="31"/>
    </row>
    <row r="24" customHeight="1" spans="1:33">
      <c r="A24" s="31"/>
      <c r="B24" s="40"/>
      <c r="C24" s="20"/>
      <c r="D24" s="20" t="s">
        <v>42</v>
      </c>
      <c r="E24" s="38" t="s">
        <v>191</v>
      </c>
      <c r="F24" s="38"/>
      <c r="G24" s="38"/>
      <c r="H24" s="38"/>
      <c r="I24" s="38"/>
      <c r="J24" s="38"/>
      <c r="K24" s="20" t="s">
        <v>33</v>
      </c>
      <c r="L24" s="70">
        <f>AD83</f>
        <v>0</v>
      </c>
      <c r="M24" s="70"/>
      <c r="N24" s="70"/>
      <c r="O24" s="29"/>
      <c r="P24" s="20" t="s">
        <v>62</v>
      </c>
      <c r="Q24" s="38" t="s">
        <v>192</v>
      </c>
      <c r="R24" s="38"/>
      <c r="S24" s="38"/>
      <c r="T24" s="38"/>
      <c r="U24" s="38"/>
      <c r="V24" s="38"/>
      <c r="W24" s="20" t="s">
        <v>33</v>
      </c>
      <c r="X24" s="70">
        <v>0</v>
      </c>
      <c r="Y24" s="70"/>
      <c r="Z24" s="70"/>
      <c r="AA24" s="29"/>
      <c r="AB24" s="29"/>
      <c r="AC24" s="29"/>
      <c r="AD24" s="29"/>
      <c r="AE24" s="29"/>
      <c r="AF24" s="92"/>
      <c r="AG24" s="31"/>
    </row>
    <row r="25" customHeight="1" spans="1:33">
      <c r="A25" s="31"/>
      <c r="B25" s="40"/>
      <c r="C25" s="20"/>
      <c r="D25" s="20" t="s">
        <v>44</v>
      </c>
      <c r="E25" s="38" t="s">
        <v>193</v>
      </c>
      <c r="F25" s="38"/>
      <c r="G25" s="38"/>
      <c r="H25" s="38"/>
      <c r="I25" s="38"/>
      <c r="J25" s="38"/>
      <c r="K25" s="20" t="s">
        <v>33</v>
      </c>
      <c r="L25" s="70">
        <v>0</v>
      </c>
      <c r="M25" s="70"/>
      <c r="N25" s="70"/>
      <c r="O25" s="29"/>
      <c r="P25" s="20" t="s">
        <v>65</v>
      </c>
      <c r="Q25" s="38" t="s">
        <v>66</v>
      </c>
      <c r="R25" s="38"/>
      <c r="S25" s="38"/>
      <c r="T25" s="38"/>
      <c r="U25" s="38"/>
      <c r="V25" s="38"/>
      <c r="W25" s="20" t="s">
        <v>33</v>
      </c>
      <c r="X25" s="70">
        <v>0</v>
      </c>
      <c r="Y25" s="70"/>
      <c r="Z25" s="70"/>
      <c r="AA25" s="29"/>
      <c r="AB25" s="29"/>
      <c r="AC25" s="29"/>
      <c r="AD25" s="29"/>
      <c r="AE25" s="29"/>
      <c r="AF25" s="92"/>
      <c r="AG25" s="31"/>
    </row>
    <row r="26" customHeight="1" spans="1:33">
      <c r="A26" s="31"/>
      <c r="B26" s="40"/>
      <c r="C26" s="20"/>
      <c r="D26" s="20" t="s">
        <v>67</v>
      </c>
      <c r="E26" s="38" t="s">
        <v>68</v>
      </c>
      <c r="F26" s="38"/>
      <c r="G26" s="38"/>
      <c r="H26" s="38"/>
      <c r="I26" s="38"/>
      <c r="J26" s="38"/>
      <c r="K26" s="20" t="s">
        <v>33</v>
      </c>
      <c r="L26" s="70">
        <f>AD81</f>
        <v>0</v>
      </c>
      <c r="M26" s="70"/>
      <c r="N26" s="70"/>
      <c r="O26" s="29"/>
      <c r="P26" s="20" t="s">
        <v>69</v>
      </c>
      <c r="Q26" s="38" t="s">
        <v>70</v>
      </c>
      <c r="R26" s="38"/>
      <c r="S26" s="38"/>
      <c r="T26" s="38"/>
      <c r="U26" s="38"/>
      <c r="V26" s="38"/>
      <c r="W26" s="20" t="s">
        <v>33</v>
      </c>
      <c r="X26" s="70">
        <v>0</v>
      </c>
      <c r="Y26" s="70"/>
      <c r="Z26" s="70"/>
      <c r="AA26" s="29"/>
      <c r="AB26" s="29"/>
      <c r="AC26" s="29"/>
      <c r="AD26" s="29"/>
      <c r="AE26" s="29"/>
      <c r="AF26" s="92"/>
      <c r="AG26" s="31"/>
    </row>
    <row r="27" customHeight="1" spans="1:33">
      <c r="A27" s="31"/>
      <c r="B27" s="40"/>
      <c r="C27" s="20"/>
      <c r="D27" s="20" t="s">
        <v>71</v>
      </c>
      <c r="E27" s="38" t="s">
        <v>72</v>
      </c>
      <c r="F27" s="38"/>
      <c r="G27" s="38"/>
      <c r="H27" s="38"/>
      <c r="I27" s="38"/>
      <c r="J27" s="38"/>
      <c r="K27" s="20" t="s">
        <v>33</v>
      </c>
      <c r="L27" s="70">
        <f>AD82</f>
        <v>0</v>
      </c>
      <c r="M27" s="70"/>
      <c r="N27" s="70"/>
      <c r="O27" s="29"/>
      <c r="P27" s="20" t="s">
        <v>73</v>
      </c>
      <c r="Q27" s="38" t="s">
        <v>45</v>
      </c>
      <c r="R27" s="38"/>
      <c r="S27" s="38"/>
      <c r="T27" s="38"/>
      <c r="U27" s="38"/>
      <c r="V27" s="38"/>
      <c r="W27" s="20" t="s">
        <v>33</v>
      </c>
      <c r="X27" s="70">
        <v>0</v>
      </c>
      <c r="Y27" s="70"/>
      <c r="Z27" s="70"/>
      <c r="AA27" s="29"/>
      <c r="AB27" s="29"/>
      <c r="AC27" s="29"/>
      <c r="AD27" s="29"/>
      <c r="AE27" s="29"/>
      <c r="AF27" s="92"/>
      <c r="AG27" s="31"/>
    </row>
    <row r="28" ht="3.75" customHeight="1" spans="1:33">
      <c r="A28" s="31"/>
      <c r="B28" s="40"/>
      <c r="C28" s="20"/>
      <c r="D28" s="20"/>
      <c r="E28" s="38"/>
      <c r="F28" s="38"/>
      <c r="G28" s="38"/>
      <c r="H28" s="38"/>
      <c r="I28" s="38"/>
      <c r="J28" s="29"/>
      <c r="K28" s="20"/>
      <c r="L28" s="20"/>
      <c r="M28" s="20"/>
      <c r="N28" s="20"/>
      <c r="O28" s="29"/>
      <c r="P28" s="20"/>
      <c r="Q28" s="38"/>
      <c r="R28" s="38"/>
      <c r="S28" s="38"/>
      <c r="T28" s="38"/>
      <c r="U28" s="38"/>
      <c r="V28" s="29"/>
      <c r="W28" s="20"/>
      <c r="X28" s="20"/>
      <c r="Y28" s="20"/>
      <c r="Z28" s="20"/>
      <c r="AA28" s="29"/>
      <c r="AB28" s="29"/>
      <c r="AC28" s="29"/>
      <c r="AD28" s="29"/>
      <c r="AE28" s="29"/>
      <c r="AF28" s="92"/>
      <c r="AG28" s="31"/>
    </row>
    <row r="29" customHeight="1" spans="1:41">
      <c r="A29" s="31"/>
      <c r="B29" s="40"/>
      <c r="C29" s="49" t="s">
        <v>74</v>
      </c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38"/>
      <c r="P29" s="72" t="s">
        <v>33</v>
      </c>
      <c r="Q29" s="81">
        <f>AM33</f>
        <v>0</v>
      </c>
      <c r="R29" s="81"/>
      <c r="S29" s="81"/>
      <c r="T29" s="81"/>
      <c r="U29" s="81"/>
      <c r="V29" s="82"/>
      <c r="W29" s="29"/>
      <c r="X29" s="29"/>
      <c r="Y29" s="29"/>
      <c r="Z29" s="20"/>
      <c r="AA29" s="29"/>
      <c r="AB29" s="29"/>
      <c r="AC29" s="29"/>
      <c r="AD29" s="29"/>
      <c r="AE29" s="29"/>
      <c r="AF29" s="92"/>
      <c r="AG29" s="31"/>
      <c r="AM29" s="112">
        <f>L21+AM22+L23+L24+L25+L26+L27</f>
        <v>0</v>
      </c>
      <c r="AN29" s="112">
        <f>SUM(X21:Z27)</f>
        <v>0</v>
      </c>
      <c r="AO29" s="112">
        <f>SUM(AM29:AN29)</f>
        <v>0</v>
      </c>
    </row>
    <row r="30" ht="3.75" customHeight="1" spans="1:33">
      <c r="A30" s="31"/>
      <c r="B30" s="40"/>
      <c r="C30" s="20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29"/>
      <c r="R30" s="49"/>
      <c r="S30" s="83"/>
      <c r="T30" s="83"/>
      <c r="U30" s="83"/>
      <c r="V30" s="83"/>
      <c r="W30" s="29"/>
      <c r="X30" s="29"/>
      <c r="Y30" s="29"/>
      <c r="Z30" s="49"/>
      <c r="AA30" s="29"/>
      <c r="AB30" s="29"/>
      <c r="AC30" s="29"/>
      <c r="AD30" s="29"/>
      <c r="AE30" s="29"/>
      <c r="AF30" s="92"/>
      <c r="AG30" s="31"/>
    </row>
    <row r="31" customHeight="1" spans="1:42">
      <c r="A31" s="31"/>
      <c r="B31" s="40"/>
      <c r="C31" s="20"/>
      <c r="D31" s="20" t="s">
        <v>75</v>
      </c>
      <c r="E31" s="38" t="s">
        <v>76</v>
      </c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20" t="s">
        <v>33</v>
      </c>
      <c r="S31" s="84">
        <v>0</v>
      </c>
      <c r="T31" s="84"/>
      <c r="U31" s="84"/>
      <c r="V31" s="84"/>
      <c r="W31" s="29"/>
      <c r="X31" s="29"/>
      <c r="Y31" s="29"/>
      <c r="Z31" s="49"/>
      <c r="AA31" s="29"/>
      <c r="AB31" s="29"/>
      <c r="AC31" s="29"/>
      <c r="AD31" s="29"/>
      <c r="AE31" s="29"/>
      <c r="AF31" s="92"/>
      <c r="AG31" s="31"/>
      <c r="AM31" s="28">
        <f>IF(AO29&gt;150000,150000,AO29)</f>
        <v>0</v>
      </c>
      <c r="AN31" s="28" t="str">
        <f>IF(AO29&gt;AM31,AO29-AM31,"")</f>
        <v/>
      </c>
      <c r="AO31" s="28">
        <f>IF(AP31&gt;AP31,AP31,AP31)</f>
        <v>0</v>
      </c>
      <c r="AP31" s="28">
        <f>IF(AN31&gt;AM22,AM22,AN31)</f>
        <v>0</v>
      </c>
    </row>
    <row r="32" customHeight="1" spans="1:41">
      <c r="A32" s="31"/>
      <c r="B32" s="40"/>
      <c r="C32" s="20"/>
      <c r="D32" s="20" t="s">
        <v>77</v>
      </c>
      <c r="E32" s="38" t="s">
        <v>78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20" t="s">
        <v>33</v>
      </c>
      <c r="S32" s="84">
        <v>0</v>
      </c>
      <c r="T32" s="84"/>
      <c r="U32" s="84"/>
      <c r="V32" s="84"/>
      <c r="W32" s="29"/>
      <c r="X32" s="29"/>
      <c r="Y32" s="29"/>
      <c r="Z32" s="49"/>
      <c r="AA32" s="29"/>
      <c r="AB32" s="29"/>
      <c r="AC32" s="29"/>
      <c r="AD32" s="29"/>
      <c r="AE32" s="29"/>
      <c r="AF32" s="92"/>
      <c r="AG32" s="31"/>
      <c r="AM32" s="28">
        <f>IF(AP31&gt;50000,AM22-AO31,AM22-AP31)</f>
        <v>0</v>
      </c>
      <c r="AN32" s="28">
        <f>IF(K1="ના",0,AO31)</f>
        <v>0</v>
      </c>
      <c r="AO32" s="28">
        <f>IF(K1="ના",AM22,AM32)</f>
        <v>0</v>
      </c>
    </row>
    <row r="33" customHeight="1" spans="1:39">
      <c r="A33" s="31"/>
      <c r="B33" s="40"/>
      <c r="C33" s="20"/>
      <c r="D33" s="20" t="s">
        <v>79</v>
      </c>
      <c r="E33" s="38" t="s">
        <v>194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20" t="s">
        <v>33</v>
      </c>
      <c r="S33" s="84">
        <v>0</v>
      </c>
      <c r="T33" s="84"/>
      <c r="U33" s="84"/>
      <c r="V33" s="84"/>
      <c r="W33" s="29"/>
      <c r="X33" s="29"/>
      <c r="Y33" s="29"/>
      <c r="Z33" s="49"/>
      <c r="AA33" s="29"/>
      <c r="AB33" s="29"/>
      <c r="AC33" s="29"/>
      <c r="AD33" s="29"/>
      <c r="AE33" s="29"/>
      <c r="AF33" s="92"/>
      <c r="AG33" s="31"/>
      <c r="AM33" s="113">
        <f>IF(AM19&lt;150000,AM19,AM31)</f>
        <v>0</v>
      </c>
    </row>
    <row r="34" customHeight="1" spans="1:33">
      <c r="A34" s="31"/>
      <c r="B34" s="40"/>
      <c r="C34" s="20"/>
      <c r="D34" s="20" t="s">
        <v>81</v>
      </c>
      <c r="E34" s="38" t="s">
        <v>195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20" t="s">
        <v>33</v>
      </c>
      <c r="S34" s="84">
        <f>AR2</f>
        <v>0</v>
      </c>
      <c r="T34" s="84"/>
      <c r="U34" s="84"/>
      <c r="V34" s="84"/>
      <c r="W34" s="29"/>
      <c r="X34" s="29"/>
      <c r="Y34" s="29"/>
      <c r="Z34" s="49"/>
      <c r="AA34" s="49"/>
      <c r="AB34" s="49"/>
      <c r="AC34" s="49"/>
      <c r="AD34" s="49"/>
      <c r="AE34" s="49"/>
      <c r="AF34" s="92"/>
      <c r="AG34" s="31"/>
    </row>
    <row r="35" customHeight="1" spans="1:33">
      <c r="A35" s="31"/>
      <c r="B35" s="40"/>
      <c r="C35" s="20"/>
      <c r="D35" s="20" t="s">
        <v>83</v>
      </c>
      <c r="E35" s="50" t="s">
        <v>82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20" t="s">
        <v>33</v>
      </c>
      <c r="S35" s="85"/>
      <c r="T35" s="85"/>
      <c r="U35" s="85"/>
      <c r="V35" s="85"/>
      <c r="W35" s="29"/>
      <c r="X35" s="29"/>
      <c r="Y35" s="29"/>
      <c r="Z35" s="29"/>
      <c r="AA35" s="29"/>
      <c r="AB35" s="96"/>
      <c r="AC35" s="96"/>
      <c r="AD35" s="96"/>
      <c r="AE35" s="96"/>
      <c r="AF35" s="92"/>
      <c r="AG35" s="31"/>
    </row>
    <row r="36" customHeight="1" spans="1:33">
      <c r="A36" s="31"/>
      <c r="B36" s="40"/>
      <c r="C36" s="20"/>
      <c r="D36" s="20" t="s">
        <v>85</v>
      </c>
      <c r="E36" s="38" t="s">
        <v>86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20" t="s">
        <v>33</v>
      </c>
      <c r="S36" s="84">
        <v>0</v>
      </c>
      <c r="T36" s="84"/>
      <c r="U36" s="84"/>
      <c r="V36" s="84"/>
      <c r="W36" s="20"/>
      <c r="X36" s="20"/>
      <c r="Y36" s="20"/>
      <c r="Z36" s="20"/>
      <c r="AA36" s="20"/>
      <c r="AB36" s="96"/>
      <c r="AC36" s="96"/>
      <c r="AD36" s="96"/>
      <c r="AE36" s="96"/>
      <c r="AF36" s="92"/>
      <c r="AG36" s="31"/>
    </row>
    <row r="37" customHeight="1" spans="1:33">
      <c r="A37" s="31"/>
      <c r="B37" s="40"/>
      <c r="C37" s="20"/>
      <c r="D37" s="20" t="s">
        <v>87</v>
      </c>
      <c r="E37" s="38" t="s">
        <v>196</v>
      </c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20" t="s">
        <v>33</v>
      </c>
      <c r="S37" s="84">
        <v>0</v>
      </c>
      <c r="T37" s="84"/>
      <c r="U37" s="84"/>
      <c r="V37" s="84"/>
      <c r="W37" s="20"/>
      <c r="X37" s="20"/>
      <c r="Y37" s="20"/>
      <c r="Z37" s="20"/>
      <c r="AA37" s="20"/>
      <c r="AB37" s="96"/>
      <c r="AC37" s="96"/>
      <c r="AD37" s="96"/>
      <c r="AE37" s="96"/>
      <c r="AF37" s="92"/>
      <c r="AG37" s="31"/>
    </row>
    <row r="38" customHeight="1" spans="1:33">
      <c r="A38" s="31"/>
      <c r="B38" s="40"/>
      <c r="C38" s="20"/>
      <c r="D38" s="20" t="s">
        <v>89</v>
      </c>
      <c r="E38" s="38" t="s">
        <v>90</v>
      </c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20" t="s">
        <v>33</v>
      </c>
      <c r="S38" s="84">
        <v>0</v>
      </c>
      <c r="T38" s="84"/>
      <c r="U38" s="84"/>
      <c r="V38" s="84"/>
      <c r="W38" s="20"/>
      <c r="X38" s="20"/>
      <c r="Y38" s="20"/>
      <c r="Z38" s="20"/>
      <c r="AA38" s="20"/>
      <c r="AB38" s="96"/>
      <c r="AC38" s="96"/>
      <c r="AD38" s="96"/>
      <c r="AE38" s="96"/>
      <c r="AF38" s="92"/>
      <c r="AG38" s="31"/>
    </row>
    <row r="39" customHeight="1" spans="1:33">
      <c r="A39" s="31"/>
      <c r="B39" s="40"/>
      <c r="C39" s="20"/>
      <c r="D39" s="20" t="s">
        <v>91</v>
      </c>
      <c r="E39" s="50" t="s">
        <v>84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20" t="s">
        <v>33</v>
      </c>
      <c r="S39" s="84">
        <v>0</v>
      </c>
      <c r="T39" s="84"/>
      <c r="U39" s="84"/>
      <c r="V39" s="84"/>
      <c r="W39" s="86" t="s">
        <v>92</v>
      </c>
      <c r="X39" s="86"/>
      <c r="Y39" s="86"/>
      <c r="Z39" s="86"/>
      <c r="AA39" s="86"/>
      <c r="AB39" s="97">
        <f>SUM(Q29+S31+S32+S33+S34+S35+S36+S37+S38+S39)</f>
        <v>0</v>
      </c>
      <c r="AC39" s="97"/>
      <c r="AD39" s="97"/>
      <c r="AE39" s="97"/>
      <c r="AF39" s="92"/>
      <c r="AG39" s="31"/>
    </row>
    <row r="40" ht="3.75" customHeight="1" spans="1:33">
      <c r="A40" s="31"/>
      <c r="B40" s="40"/>
      <c r="C40" s="20"/>
      <c r="D40" s="20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29"/>
      <c r="R40" s="49"/>
      <c r="S40" s="49"/>
      <c r="T40" s="49"/>
      <c r="U40" s="49"/>
      <c r="V40" s="49"/>
      <c r="W40" s="29"/>
      <c r="X40" s="29"/>
      <c r="Y40" s="29"/>
      <c r="Z40" s="49"/>
      <c r="AA40" s="49"/>
      <c r="AB40" s="49"/>
      <c r="AC40" s="49"/>
      <c r="AD40" s="49"/>
      <c r="AE40" s="49"/>
      <c r="AF40" s="92"/>
      <c r="AG40" s="31"/>
    </row>
    <row r="41" customHeight="1" spans="1:33">
      <c r="A41" s="31"/>
      <c r="B41" s="40"/>
      <c r="C41" s="20" t="s">
        <v>197</v>
      </c>
      <c r="D41" s="38" t="s">
        <v>198</v>
      </c>
      <c r="E41" s="38"/>
      <c r="F41" s="38"/>
      <c r="G41" s="38"/>
      <c r="H41" s="38"/>
      <c r="I41" s="38"/>
      <c r="J41" s="38"/>
      <c r="K41" s="29"/>
      <c r="L41" s="29"/>
      <c r="M41" s="29"/>
      <c r="N41" s="29"/>
      <c r="O41" s="29"/>
      <c r="P41" s="29"/>
      <c r="Q41" s="38" t="s">
        <v>95</v>
      </c>
      <c r="R41" s="38"/>
      <c r="S41" s="38"/>
      <c r="T41" s="38"/>
      <c r="U41" s="38"/>
      <c r="V41" s="38"/>
      <c r="W41" s="38"/>
      <c r="X41" s="38"/>
      <c r="Y41" s="20" t="s">
        <v>33</v>
      </c>
      <c r="Z41" s="98">
        <f>AA19-AB39</f>
        <v>1063040</v>
      </c>
      <c r="AA41" s="99"/>
      <c r="AB41" s="99"/>
      <c r="AC41" s="99"/>
      <c r="AD41" s="99"/>
      <c r="AE41" s="100"/>
      <c r="AF41" s="92"/>
      <c r="AG41" s="114">
        <f>SUM(AA19-AB39)</f>
        <v>1063040</v>
      </c>
    </row>
    <row r="42" customHeight="1" spans="1:33">
      <c r="A42" s="31"/>
      <c r="B42" s="40"/>
      <c r="C42" s="20" t="s">
        <v>199</v>
      </c>
      <c r="D42" s="38" t="s">
        <v>97</v>
      </c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29"/>
      <c r="R42" s="49"/>
      <c r="S42" s="29"/>
      <c r="T42" s="29"/>
      <c r="U42" s="29"/>
      <c r="V42" s="29"/>
      <c r="W42" s="29"/>
      <c r="X42" s="29"/>
      <c r="Y42" s="20"/>
      <c r="Z42" s="49"/>
      <c r="AA42" s="49"/>
      <c r="AB42" s="49"/>
      <c r="AC42" s="49"/>
      <c r="AD42" s="49"/>
      <c r="AE42" s="29"/>
      <c r="AF42" s="92"/>
      <c r="AG42" s="31"/>
    </row>
    <row r="43" customHeight="1" spans="1:40">
      <c r="A43" s="31"/>
      <c r="B43" s="40"/>
      <c r="C43" s="20"/>
      <c r="D43" s="29"/>
      <c r="E43" s="29" t="s">
        <v>186</v>
      </c>
      <c r="F43" s="29" t="s">
        <v>98</v>
      </c>
      <c r="G43" s="29" t="s">
        <v>200</v>
      </c>
      <c r="H43" s="29"/>
      <c r="I43" s="29"/>
      <c r="J43" s="38" t="s">
        <v>201</v>
      </c>
      <c r="K43" s="38"/>
      <c r="L43" s="38"/>
      <c r="M43" s="38"/>
      <c r="N43" s="38"/>
      <c r="O43" s="29">
        <v>0</v>
      </c>
      <c r="P43" s="29" t="s">
        <v>202</v>
      </c>
      <c r="Q43" s="29"/>
      <c r="R43" s="20" t="s">
        <v>33</v>
      </c>
      <c r="S43" s="87" t="s">
        <v>101</v>
      </c>
      <c r="T43" s="87"/>
      <c r="U43" s="87"/>
      <c r="V43" s="87"/>
      <c r="W43" s="29"/>
      <c r="X43" s="29"/>
      <c r="Y43" s="29"/>
      <c r="Z43" s="49"/>
      <c r="AA43" s="49"/>
      <c r="AB43" s="49"/>
      <c r="AC43" s="49"/>
      <c r="AD43" s="49"/>
      <c r="AE43" s="29"/>
      <c r="AF43" s="92"/>
      <c r="AG43" s="31"/>
      <c r="AL43" s="115">
        <f>IF($Z$41&gt;300000,300000,$I$2)</f>
        <v>300000</v>
      </c>
      <c r="AM43" s="116" t="s">
        <v>203</v>
      </c>
      <c r="AN43" s="117" t="s">
        <v>203</v>
      </c>
    </row>
    <row r="44" customHeight="1" spans="1:40">
      <c r="A44" s="31"/>
      <c r="B44" s="40"/>
      <c r="C44" s="20"/>
      <c r="D44" s="29"/>
      <c r="E44" s="29" t="s">
        <v>187</v>
      </c>
      <c r="F44" s="29" t="s">
        <v>102</v>
      </c>
      <c r="G44" s="29" t="s">
        <v>200</v>
      </c>
      <c r="H44" s="29"/>
      <c r="I44" s="29"/>
      <c r="J44" s="20" t="s">
        <v>104</v>
      </c>
      <c r="K44" s="29" t="s">
        <v>204</v>
      </c>
      <c r="L44" s="29"/>
      <c r="M44" s="29"/>
      <c r="N44" s="29"/>
      <c r="O44" s="29"/>
      <c r="P44" s="29"/>
      <c r="Q44" s="29"/>
      <c r="R44" s="20" t="s">
        <v>33</v>
      </c>
      <c r="S44" s="78">
        <f>IF(AN44="","",AN44)</f>
        <v>15000</v>
      </c>
      <c r="T44" s="78"/>
      <c r="U44" s="78"/>
      <c r="V44" s="78"/>
      <c r="W44" s="29"/>
      <c r="X44" s="29"/>
      <c r="Y44" s="29"/>
      <c r="Z44" s="49"/>
      <c r="AA44" s="49"/>
      <c r="AB44" s="49"/>
      <c r="AC44" s="49"/>
      <c r="AD44" s="49"/>
      <c r="AE44" s="29"/>
      <c r="AF44" s="92"/>
      <c r="AG44" s="31"/>
      <c r="AL44" s="115">
        <f>IF(AM44&lt;=0,0,AM44)</f>
        <v>300000</v>
      </c>
      <c r="AM44" s="118">
        <f>IF($Z$41&lt;=600000,$Z$41-300000,300000)</f>
        <v>300000</v>
      </c>
      <c r="AN44" s="117">
        <f>ROUND(AL44*5%,0)</f>
        <v>15000</v>
      </c>
    </row>
    <row r="45" customHeight="1" spans="1:40">
      <c r="A45" s="31"/>
      <c r="B45" s="40"/>
      <c r="C45" s="20"/>
      <c r="D45" s="29"/>
      <c r="E45" s="29" t="s">
        <v>188</v>
      </c>
      <c r="F45" s="29" t="s">
        <v>102</v>
      </c>
      <c r="G45" s="29" t="s">
        <v>205</v>
      </c>
      <c r="H45" s="29"/>
      <c r="I45" s="29"/>
      <c r="J45" s="20" t="s">
        <v>104</v>
      </c>
      <c r="K45" s="29" t="s">
        <v>206</v>
      </c>
      <c r="L45" s="29"/>
      <c r="M45" s="29"/>
      <c r="N45" s="29"/>
      <c r="O45" s="29"/>
      <c r="P45" s="29"/>
      <c r="Q45" s="29"/>
      <c r="R45" s="20" t="s">
        <v>33</v>
      </c>
      <c r="S45" s="78">
        <f t="shared" ref="S45:S48" si="0">IF(AN45="","",AN45)</f>
        <v>30000</v>
      </c>
      <c r="T45" s="78"/>
      <c r="U45" s="78"/>
      <c r="V45" s="78"/>
      <c r="W45" s="29"/>
      <c r="X45" s="29"/>
      <c r="Y45" s="29"/>
      <c r="Z45" s="49"/>
      <c r="AA45" s="49"/>
      <c r="AB45" s="49"/>
      <c r="AC45" s="49"/>
      <c r="AD45" s="49"/>
      <c r="AE45" s="29"/>
      <c r="AF45" s="90"/>
      <c r="AG45" s="31"/>
      <c r="AL45" s="115">
        <f t="shared" ref="AL45:AL48" si="1">IF(AM45&lt;=0,0,AM45)</f>
        <v>300000</v>
      </c>
      <c r="AM45" s="118">
        <f>IF($Z$41&lt;=900000,$Z$41-600000,300000)</f>
        <v>300000</v>
      </c>
      <c r="AN45" s="117">
        <f>ROUND(AL45*10%,0)</f>
        <v>30000</v>
      </c>
    </row>
    <row r="46" customHeight="1" spans="1:40">
      <c r="A46" s="31"/>
      <c r="B46" s="40"/>
      <c r="C46" s="20"/>
      <c r="D46" s="29"/>
      <c r="E46" s="29" t="s">
        <v>189</v>
      </c>
      <c r="F46" s="29" t="s">
        <v>102</v>
      </c>
      <c r="G46" s="29" t="s">
        <v>207</v>
      </c>
      <c r="H46" s="29"/>
      <c r="I46" s="29"/>
      <c r="J46" s="20" t="s">
        <v>104</v>
      </c>
      <c r="K46" s="38" t="s">
        <v>208</v>
      </c>
      <c r="L46" s="38"/>
      <c r="M46" s="38"/>
      <c r="N46" s="38"/>
      <c r="O46" s="38"/>
      <c r="P46" s="38"/>
      <c r="Q46" s="29"/>
      <c r="R46" s="20" t="s">
        <v>33</v>
      </c>
      <c r="S46" s="78">
        <f t="shared" si="0"/>
        <v>24456</v>
      </c>
      <c r="T46" s="78"/>
      <c r="U46" s="78"/>
      <c r="V46" s="78"/>
      <c r="W46" s="29"/>
      <c r="X46" s="29"/>
      <c r="Y46" s="29"/>
      <c r="Z46" s="49"/>
      <c r="AA46" s="49"/>
      <c r="AB46" s="49"/>
      <c r="AC46" s="49"/>
      <c r="AD46" s="49"/>
      <c r="AE46" s="29"/>
      <c r="AF46" s="92"/>
      <c r="AG46" s="31"/>
      <c r="AL46" s="115">
        <f t="shared" si="1"/>
        <v>163040</v>
      </c>
      <c r="AM46" s="118">
        <f>IF($Z$41&lt;=1200000,$Z$41-900000,300000)</f>
        <v>163040</v>
      </c>
      <c r="AN46" s="117">
        <f>ROUND(AL46*15%,0)</f>
        <v>24456</v>
      </c>
    </row>
    <row r="47" customHeight="1" spans="1:40">
      <c r="A47" s="31"/>
      <c r="B47" s="40"/>
      <c r="C47" s="20"/>
      <c r="D47" s="29"/>
      <c r="E47" s="29" t="s">
        <v>197</v>
      </c>
      <c r="F47" s="29" t="s">
        <v>102</v>
      </c>
      <c r="G47" s="29" t="s">
        <v>209</v>
      </c>
      <c r="H47" s="29"/>
      <c r="I47" s="29"/>
      <c r="J47" s="20" t="s">
        <v>104</v>
      </c>
      <c r="K47" s="38" t="s">
        <v>210</v>
      </c>
      <c r="L47" s="38"/>
      <c r="M47" s="38"/>
      <c r="N47" s="38"/>
      <c r="O47" s="38"/>
      <c r="P47" s="38"/>
      <c r="Q47" s="38"/>
      <c r="R47" s="20" t="s">
        <v>33</v>
      </c>
      <c r="S47" s="78">
        <f t="shared" si="0"/>
        <v>0</v>
      </c>
      <c r="T47" s="78"/>
      <c r="U47" s="78"/>
      <c r="V47" s="78"/>
      <c r="W47" s="29"/>
      <c r="X47" s="29"/>
      <c r="Y47" s="29"/>
      <c r="Z47" s="49"/>
      <c r="AA47" s="49"/>
      <c r="AB47" s="49"/>
      <c r="AC47" s="49"/>
      <c r="AD47" s="49"/>
      <c r="AE47" s="29"/>
      <c r="AF47" s="92"/>
      <c r="AG47" s="31"/>
      <c r="AL47" s="115">
        <f t="shared" si="1"/>
        <v>0</v>
      </c>
      <c r="AM47" s="118">
        <f>IF($Z$41&lt;=1500000,$Z$41-1200000,300000)</f>
        <v>-136960</v>
      </c>
      <c r="AN47" s="117">
        <f>ROUND(AL47*20%,0)</f>
        <v>0</v>
      </c>
    </row>
    <row r="48" customHeight="1" spans="1:48">
      <c r="A48" s="31"/>
      <c r="B48" s="40"/>
      <c r="C48" s="20"/>
      <c r="D48" s="29"/>
      <c r="E48" s="29" t="s">
        <v>199</v>
      </c>
      <c r="F48" s="29" t="s">
        <v>102</v>
      </c>
      <c r="G48" s="29" t="s">
        <v>211</v>
      </c>
      <c r="H48" s="29"/>
      <c r="I48" s="29"/>
      <c r="J48" s="20" t="s">
        <v>104</v>
      </c>
      <c r="K48" s="38" t="s">
        <v>212</v>
      </c>
      <c r="L48" s="38"/>
      <c r="M48" s="38"/>
      <c r="N48" s="38"/>
      <c r="O48" s="38"/>
      <c r="P48" s="38"/>
      <c r="Q48" s="38"/>
      <c r="R48" s="20" t="s">
        <v>33</v>
      </c>
      <c r="S48" s="78">
        <f t="shared" si="0"/>
        <v>0</v>
      </c>
      <c r="T48" s="78"/>
      <c r="U48" s="78"/>
      <c r="V48" s="78"/>
      <c r="W48" s="29"/>
      <c r="X48" s="29"/>
      <c r="Y48" s="29"/>
      <c r="Z48" s="49"/>
      <c r="AA48" s="49"/>
      <c r="AB48" s="49"/>
      <c r="AC48" s="49"/>
      <c r="AD48" s="49"/>
      <c r="AE48" s="29"/>
      <c r="AF48" s="92"/>
      <c r="AG48" s="31"/>
      <c r="AK48" s="119"/>
      <c r="AL48" s="115">
        <f t="shared" si="1"/>
        <v>0</v>
      </c>
      <c r="AM48" s="118">
        <f>IF($Z$41&gt;1500000,$Z$41-1500000,0)</f>
        <v>0</v>
      </c>
      <c r="AN48" s="117">
        <f>ROUND(AL48*30%,0)</f>
        <v>0</v>
      </c>
      <c r="AO48" s="119"/>
      <c r="AP48" s="119"/>
      <c r="AQ48" s="119"/>
      <c r="AR48" s="119"/>
      <c r="AS48" s="119"/>
      <c r="AT48" s="119"/>
      <c r="AU48" s="119"/>
      <c r="AV48" s="119"/>
    </row>
    <row r="49" customHeight="1" spans="1:33">
      <c r="A49" s="31"/>
      <c r="B49" s="40"/>
      <c r="C49" s="51" t="s">
        <v>213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29"/>
      <c r="Z49" s="20" t="s">
        <v>33</v>
      </c>
      <c r="AA49" s="101">
        <f>ROUND(SUM(S44:V48),0)</f>
        <v>69456</v>
      </c>
      <c r="AB49" s="101"/>
      <c r="AC49" s="101"/>
      <c r="AD49" s="101"/>
      <c r="AE49" s="101"/>
      <c r="AF49" s="92"/>
      <c r="AG49" s="31"/>
    </row>
    <row r="50" customHeight="1" spans="1:43">
      <c r="A50" s="31"/>
      <c r="B50" s="40"/>
      <c r="C50" s="20" t="s">
        <v>214</v>
      </c>
      <c r="D50" s="38" t="s">
        <v>215</v>
      </c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20" t="s">
        <v>33</v>
      </c>
      <c r="AA50" s="102">
        <f>AM50</f>
        <v>0</v>
      </c>
      <c r="AB50" s="102"/>
      <c r="AC50" s="102"/>
      <c r="AD50" s="102"/>
      <c r="AE50" s="102"/>
      <c r="AF50" s="92"/>
      <c r="AG50" s="31"/>
      <c r="AL50" s="117">
        <f>IF(AA49&lt;700001,AA49)</f>
        <v>69456</v>
      </c>
      <c r="AM50" s="120">
        <f>IF($Z$41&gt;700000,0,IF($Z$41&lt;700000,AA49,IF($Z$41&lt;=700000,25000)))</f>
        <v>0</v>
      </c>
      <c r="AN50" s="120">
        <f>IF($Z$41&gt;30000,0,IF($Z$41&lt;30000,AA53,IF($Z$41&lt;=30000,10000)))</f>
        <v>0</v>
      </c>
      <c r="AO50" s="124"/>
      <c r="AP50" s="124"/>
      <c r="AQ50" s="124"/>
    </row>
    <row r="51" customHeight="1" spans="1:38">
      <c r="A51" s="31"/>
      <c r="B51" s="40"/>
      <c r="C51" s="20" t="s">
        <v>216</v>
      </c>
      <c r="D51" s="38" t="s">
        <v>217</v>
      </c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20" t="s">
        <v>33</v>
      </c>
      <c r="AA51" s="103">
        <f>AA49-AA50</f>
        <v>69456</v>
      </c>
      <c r="AB51" s="103"/>
      <c r="AC51" s="103"/>
      <c r="AD51" s="103"/>
      <c r="AE51" s="103"/>
      <c r="AF51" s="92"/>
      <c r="AG51" s="31"/>
      <c r="AL51" s="117">
        <f>IF(AA49&lt;25001,0,(AA49-AA50))</f>
        <v>69456</v>
      </c>
    </row>
    <row r="52" customHeight="1" spans="1:38">
      <c r="A52" s="31"/>
      <c r="B52" s="40"/>
      <c r="C52" s="20" t="s">
        <v>218</v>
      </c>
      <c r="D52" s="38" t="s">
        <v>219</v>
      </c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20" t="s">
        <v>33</v>
      </c>
      <c r="AA52" s="104">
        <f>AL52</f>
        <v>2778</v>
      </c>
      <c r="AB52" s="104"/>
      <c r="AC52" s="104"/>
      <c r="AD52" s="104"/>
      <c r="AE52" s="104"/>
      <c r="AF52" s="92"/>
      <c r="AG52" s="114">
        <f>AA49</f>
        <v>69456</v>
      </c>
      <c r="AL52" s="121">
        <f>(ROUND(AA51*4%,0))</f>
        <v>2778</v>
      </c>
    </row>
    <row r="53" customHeight="1" spans="1:38">
      <c r="A53" s="31"/>
      <c r="B53" s="40"/>
      <c r="C53" s="20" t="s">
        <v>220</v>
      </c>
      <c r="D53" s="52" t="s">
        <v>221</v>
      </c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20" t="s">
        <v>33</v>
      </c>
      <c r="AA53" s="94">
        <f>SUM(AA51:AA52)</f>
        <v>72234</v>
      </c>
      <c r="AB53" s="94"/>
      <c r="AC53" s="94"/>
      <c r="AD53" s="94"/>
      <c r="AE53" s="94"/>
      <c r="AF53" s="92"/>
      <c r="AG53" s="122"/>
      <c r="AL53" s="123">
        <f>AA50+AA51+AA52</f>
        <v>72234</v>
      </c>
    </row>
    <row r="54" customHeight="1" spans="1:33">
      <c r="A54" s="31"/>
      <c r="B54" s="40"/>
      <c r="C54" s="20" t="s">
        <v>222</v>
      </c>
      <c r="D54" s="29" t="s">
        <v>223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0" t="s">
        <v>33</v>
      </c>
      <c r="AA54" s="79">
        <v>0</v>
      </c>
      <c r="AB54" s="79"/>
      <c r="AC54" s="79"/>
      <c r="AD54" s="79"/>
      <c r="AE54" s="79"/>
      <c r="AF54" s="92"/>
      <c r="AG54" s="31"/>
    </row>
    <row r="55" customHeight="1" spans="1:33">
      <c r="A55" s="31"/>
      <c r="B55" s="40"/>
      <c r="C55" s="20" t="s">
        <v>224</v>
      </c>
      <c r="D55" s="53" t="s">
        <v>225</v>
      </c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20" t="s">
        <v>33</v>
      </c>
      <c r="AA55" s="94">
        <f>AA53-AA54</f>
        <v>72234</v>
      </c>
      <c r="AB55" s="94"/>
      <c r="AC55" s="94"/>
      <c r="AD55" s="94"/>
      <c r="AE55" s="94"/>
      <c r="AF55" s="92"/>
      <c r="AG55" s="31"/>
    </row>
    <row r="56" customHeight="1" spans="1:33">
      <c r="A56" s="31"/>
      <c r="B56" s="40"/>
      <c r="C56" s="20" t="s">
        <v>226</v>
      </c>
      <c r="D56" s="54" t="s">
        <v>227</v>
      </c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20" t="s">
        <v>33</v>
      </c>
      <c r="AA56" s="105"/>
      <c r="AB56" s="105"/>
      <c r="AC56" s="105"/>
      <c r="AD56" s="105"/>
      <c r="AE56" s="105"/>
      <c r="AF56" s="92"/>
      <c r="AG56" s="31"/>
    </row>
    <row r="57" customHeight="1" spans="1:33">
      <c r="A57" s="31"/>
      <c r="B57" s="40"/>
      <c r="C57" s="20" t="s">
        <v>228</v>
      </c>
      <c r="D57" s="53" t="s">
        <v>229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20" t="s">
        <v>33</v>
      </c>
      <c r="AA57" s="94">
        <f>AA55-AA56</f>
        <v>72234</v>
      </c>
      <c r="AB57" s="94"/>
      <c r="AC57" s="94"/>
      <c r="AD57" s="94"/>
      <c r="AE57" s="94"/>
      <c r="AF57" s="92"/>
      <c r="AG57" s="31"/>
    </row>
    <row r="58" customHeight="1" spans="1:33">
      <c r="A58" s="31"/>
      <c r="B58" s="40"/>
      <c r="C58" s="20" t="s">
        <v>230</v>
      </c>
      <c r="D58" s="38" t="s">
        <v>231</v>
      </c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20" t="s">
        <v>33</v>
      </c>
      <c r="AA58" s="78">
        <f>'કપાટ પત્રક પેહલા ભરવુ '!S10</f>
        <v>38500</v>
      </c>
      <c r="AB58" s="78"/>
      <c r="AC58" s="78"/>
      <c r="AD58" s="78"/>
      <c r="AE58" s="78"/>
      <c r="AF58" s="92"/>
      <c r="AG58" s="31"/>
    </row>
    <row r="59" customHeight="1" spans="1:35">
      <c r="A59" s="31"/>
      <c r="B59" s="40"/>
      <c r="C59" s="20" t="s">
        <v>232</v>
      </c>
      <c r="D59" s="38" t="s">
        <v>233</v>
      </c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20" t="s">
        <v>33</v>
      </c>
      <c r="AA59" s="106">
        <f>'કપાટ પત્રક પેહલા ભરવુ '!J17</f>
        <v>13113</v>
      </c>
      <c r="AB59" s="106"/>
      <c r="AC59" s="106"/>
      <c r="AD59" s="106"/>
      <c r="AE59" s="106"/>
      <c r="AF59" s="92"/>
      <c r="AG59" s="31"/>
      <c r="AI59" s="112">
        <f>AA57-AA58</f>
        <v>33734</v>
      </c>
    </row>
    <row r="60" customHeight="1" spans="1:33">
      <c r="A60" s="31"/>
      <c r="B60" s="40"/>
      <c r="C60" s="20" t="s">
        <v>234</v>
      </c>
      <c r="D60" s="53" t="s">
        <v>235</v>
      </c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20" t="s">
        <v>33</v>
      </c>
      <c r="AA60" s="78">
        <f>SUM(AA58:AA59)</f>
        <v>51613</v>
      </c>
      <c r="AB60" s="78"/>
      <c r="AC60" s="78"/>
      <c r="AD60" s="78"/>
      <c r="AE60" s="78"/>
      <c r="AF60" s="92"/>
      <c r="AG60" s="31"/>
    </row>
    <row r="61" customHeight="1" spans="1:33">
      <c r="A61" s="31"/>
      <c r="B61" s="40"/>
      <c r="C61" s="20" t="s">
        <v>236</v>
      </c>
      <c r="D61" s="38" t="s">
        <v>237</v>
      </c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20" t="s">
        <v>33</v>
      </c>
      <c r="AA61" s="78">
        <f>IF(AA60&gt;AA57,(AA60-AA57),0)</f>
        <v>0</v>
      </c>
      <c r="AB61" s="78"/>
      <c r="AC61" s="78"/>
      <c r="AD61" s="78"/>
      <c r="AE61" s="78"/>
      <c r="AF61" s="92"/>
      <c r="AG61" s="31"/>
    </row>
    <row r="62" customHeight="1" spans="1:33">
      <c r="A62" s="31"/>
      <c r="B62" s="55"/>
      <c r="C62" s="56" t="s">
        <v>132</v>
      </c>
      <c r="D62" s="57"/>
      <c r="E62" s="57"/>
      <c r="F62" s="57"/>
      <c r="G62" s="57"/>
      <c r="H62" s="57"/>
      <c r="I62" s="57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107"/>
      <c r="AA62" s="107"/>
      <c r="AB62" s="107"/>
      <c r="AC62" s="107"/>
      <c r="AD62" s="107"/>
      <c r="AE62" s="107"/>
      <c r="AF62" s="108"/>
      <c r="AG62" s="31"/>
    </row>
    <row r="63" s="21" customFormat="1" hidden="1" customHeight="1" spans="1:33">
      <c r="A63" s="58"/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58"/>
    </row>
    <row r="64" s="8" customFormat="1" ht="24.75" hidden="1" customHeight="1" spans="1:33">
      <c r="A64" s="6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1"/>
      <c r="M64" s="73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1"/>
    </row>
    <row r="65" s="8" customFormat="1" hidden="1" customHeight="1" spans="1:33">
      <c r="A65" s="6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1"/>
    </row>
    <row r="66" s="8" customFormat="1" hidden="1" customHeight="1" spans="1:33">
      <c r="A66" s="6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1"/>
    </row>
    <row r="67" s="8" customFormat="1" hidden="1" customHeight="1" spans="1:33">
      <c r="A67" s="61"/>
      <c r="B67" s="61"/>
      <c r="C67" s="127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131"/>
      <c r="S67" s="61"/>
      <c r="T67" s="61"/>
      <c r="U67" s="61"/>
      <c r="V67" s="61"/>
      <c r="W67" s="61"/>
      <c r="X67" s="61"/>
      <c r="Y67" s="61"/>
      <c r="Z67" s="131"/>
      <c r="AA67" s="61"/>
      <c r="AB67" s="61"/>
      <c r="AC67" s="61"/>
      <c r="AD67" s="61"/>
      <c r="AE67" s="61"/>
      <c r="AF67" s="61"/>
      <c r="AG67" s="61"/>
    </row>
    <row r="68" s="8" customFormat="1" hidden="1" customHeight="1" spans="1:33">
      <c r="A68" s="61"/>
      <c r="B68" s="61"/>
      <c r="C68" s="127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131"/>
      <c r="S68" s="61"/>
      <c r="T68" s="61"/>
      <c r="U68" s="61"/>
      <c r="V68" s="61"/>
      <c r="W68" s="61"/>
      <c r="X68" s="61"/>
      <c r="Y68" s="61"/>
      <c r="Z68" s="131"/>
      <c r="AA68" s="61"/>
      <c r="AB68" s="61"/>
      <c r="AC68" s="61"/>
      <c r="AD68" s="61"/>
      <c r="AE68" s="61"/>
      <c r="AF68" s="61"/>
      <c r="AG68" s="61"/>
    </row>
    <row r="69" s="8" customFormat="1" hidden="1" customHeight="1" spans="1:33">
      <c r="A69" s="61"/>
      <c r="B69" s="61"/>
      <c r="C69" s="127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131"/>
      <c r="S69" s="61"/>
      <c r="T69" s="61"/>
      <c r="U69" s="61"/>
      <c r="V69" s="61"/>
      <c r="W69" s="61"/>
      <c r="X69" s="61"/>
      <c r="Y69" s="61"/>
      <c r="Z69" s="139">
        <f>IF($Z$41&gt;=C91,C86,IF($Z$41&lt;C87,0,IF($Z$41&lt;C91,$Z$41-C86)))</f>
        <v>300000</v>
      </c>
      <c r="AA69" s="61">
        <f>Z69*5%</f>
        <v>15000</v>
      </c>
      <c r="AB69" s="61"/>
      <c r="AC69" s="61"/>
      <c r="AD69" s="61"/>
      <c r="AE69" s="61"/>
      <c r="AF69" s="61"/>
      <c r="AG69" s="61"/>
    </row>
    <row r="70" s="8" customFormat="1" hidden="1" customHeight="1" spans="1:33">
      <c r="A70" s="61"/>
      <c r="B70" s="61"/>
      <c r="C70" s="127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131"/>
      <c r="S70" s="61"/>
      <c r="T70" s="61"/>
      <c r="U70" s="61"/>
      <c r="V70" s="61"/>
      <c r="W70" s="61"/>
      <c r="X70" s="61"/>
      <c r="Y70" s="61"/>
      <c r="Z70" s="139">
        <f>IF($Z$41&gt;=C92,C91,IF($Z$41&lt;C88,0,IF($Z$41&lt;C92,$Z$41-C91)))</f>
        <v>500000</v>
      </c>
      <c r="AA70" s="61">
        <f>Z70*10%</f>
        <v>50000</v>
      </c>
      <c r="AB70" s="61"/>
      <c r="AC70" s="61"/>
      <c r="AD70" s="61"/>
      <c r="AE70" s="61"/>
      <c r="AF70" s="61"/>
      <c r="AG70" s="61"/>
    </row>
    <row r="71" s="8" customFormat="1" hidden="1" customHeight="1" spans="1:33">
      <c r="A71" s="61"/>
      <c r="B71" s="61"/>
      <c r="C71" s="127"/>
      <c r="D71" s="128"/>
      <c r="E71" s="61"/>
      <c r="F71" s="61"/>
      <c r="G71" s="61"/>
      <c r="H71" s="61"/>
      <c r="I71" s="61"/>
      <c r="J71" s="61"/>
      <c r="K71" s="61"/>
      <c r="L71" s="61"/>
      <c r="M71" s="61"/>
      <c r="N71" s="135">
        <f>SUM(L21+L22+L23+L24+L25+L26+L27+X21+X22+X23+X24+X25+X26+X27)</f>
        <v>0</v>
      </c>
      <c r="O71" s="136">
        <f>IF(N71&gt;150000,150000,IF(N71&lt;150000,N71,150000))</f>
        <v>0</v>
      </c>
      <c r="P71" s="61"/>
      <c r="Q71" s="61"/>
      <c r="R71" s="131"/>
      <c r="S71" s="61"/>
      <c r="T71" s="138"/>
      <c r="U71" s="61"/>
      <c r="V71" s="61"/>
      <c r="W71" s="61"/>
      <c r="X71" s="61"/>
      <c r="Y71" s="61"/>
      <c r="Z71" s="139">
        <f>IF($Z$41&gt;C89,$Z$41-C89,IF($Z$41&lt;C89,0))</f>
        <v>63039</v>
      </c>
      <c r="AA71" s="139">
        <f>Z71*15%</f>
        <v>9455.85</v>
      </c>
      <c r="AB71" s="61"/>
      <c r="AC71" s="61"/>
      <c r="AD71" s="61"/>
      <c r="AE71" s="61"/>
      <c r="AF71" s="61"/>
      <c r="AG71" s="61"/>
    </row>
    <row r="72" s="8" customFormat="1" hidden="1" customHeight="1" spans="1:33">
      <c r="A72" s="61"/>
      <c r="B72" s="127"/>
      <c r="C72" s="127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131"/>
      <c r="O72" s="61"/>
      <c r="P72" s="61"/>
      <c r="Q72" s="61"/>
      <c r="R72" s="131"/>
      <c r="S72" s="127"/>
      <c r="T72" s="61"/>
      <c r="U72" s="61"/>
      <c r="V72" s="61"/>
      <c r="W72" s="61"/>
      <c r="X72" s="61"/>
      <c r="Y72" s="61"/>
      <c r="Z72" s="131"/>
      <c r="AA72" s="61"/>
      <c r="AB72" s="61"/>
      <c r="AC72" s="61"/>
      <c r="AD72" s="61"/>
      <c r="AE72" s="61"/>
      <c r="AF72" s="61"/>
      <c r="AG72" s="61"/>
    </row>
    <row r="73" s="8" customFormat="1" hidden="1" customHeight="1" spans="1:33">
      <c r="A73" s="61"/>
      <c r="B73" s="127"/>
      <c r="C73" s="127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131"/>
      <c r="O73" s="61"/>
      <c r="P73" s="61"/>
      <c r="Q73" s="61"/>
      <c r="R73" s="131"/>
      <c r="S73" s="61"/>
      <c r="T73" s="61"/>
      <c r="U73" s="61"/>
      <c r="V73" s="61"/>
      <c r="W73" s="61"/>
      <c r="X73" s="61"/>
      <c r="Y73" s="61"/>
      <c r="Z73" s="131"/>
      <c r="AA73" s="61"/>
      <c r="AB73" s="61"/>
      <c r="AC73" s="61"/>
      <c r="AD73" s="61"/>
      <c r="AE73" s="61"/>
      <c r="AF73" s="61"/>
      <c r="AG73" s="61"/>
    </row>
    <row r="74" s="8" customFormat="1" hidden="1" customHeight="1" spans="1:33">
      <c r="A74" s="61"/>
      <c r="B74" s="127"/>
      <c r="C74" s="127"/>
      <c r="D74" s="61"/>
      <c r="E74" s="61"/>
      <c r="F74" s="61"/>
      <c r="G74" s="127"/>
      <c r="H74" s="61"/>
      <c r="I74" s="61"/>
      <c r="J74" s="61"/>
      <c r="K74" s="61"/>
      <c r="L74" s="127"/>
      <c r="M74" s="61"/>
      <c r="N74" s="131"/>
      <c r="O74" s="127"/>
      <c r="P74" s="61"/>
      <c r="Q74" s="61"/>
      <c r="R74" s="131"/>
      <c r="S74" s="61"/>
      <c r="T74" s="61"/>
      <c r="U74" s="61"/>
      <c r="V74" s="61"/>
      <c r="W74" s="61"/>
      <c r="X74" s="61"/>
      <c r="Y74" s="61"/>
      <c r="Z74" s="131"/>
      <c r="AA74" s="61"/>
      <c r="AB74" s="61"/>
      <c r="AC74" s="61"/>
      <c r="AD74" s="61"/>
      <c r="AE74" s="61"/>
      <c r="AF74" s="61"/>
      <c r="AG74" s="61"/>
    </row>
    <row r="75" s="8" customFormat="1" hidden="1" customHeight="1" spans="1:33">
      <c r="A75" s="61"/>
      <c r="B75" s="127"/>
      <c r="C75" s="127"/>
      <c r="D75" s="61"/>
      <c r="E75" s="61"/>
      <c r="F75" s="61"/>
      <c r="G75" s="61"/>
      <c r="H75" s="61"/>
      <c r="I75" s="61"/>
      <c r="J75" s="127"/>
      <c r="K75" s="61"/>
      <c r="L75" s="61"/>
      <c r="M75" s="61"/>
      <c r="N75" s="61"/>
      <c r="O75" s="127"/>
      <c r="P75" s="61"/>
      <c r="Q75" s="61"/>
      <c r="R75" s="127"/>
      <c r="S75" s="61"/>
      <c r="T75" s="61"/>
      <c r="U75" s="127"/>
      <c r="V75" s="61"/>
      <c r="W75" s="61"/>
      <c r="X75" s="61"/>
      <c r="Y75" s="61"/>
      <c r="Z75" s="131"/>
      <c r="AA75" s="61"/>
      <c r="AB75" s="61"/>
      <c r="AC75" s="61"/>
      <c r="AD75" s="61"/>
      <c r="AE75" s="61"/>
      <c r="AF75" s="61"/>
      <c r="AG75" s="61"/>
    </row>
    <row r="76" s="8" customFormat="1" hidden="1" customHeight="1" spans="1:33">
      <c r="A76" s="129"/>
      <c r="B76" s="129"/>
      <c r="C76" s="129"/>
      <c r="D76" s="129"/>
      <c r="E76" s="129"/>
      <c r="F76" s="129"/>
      <c r="G76" s="129"/>
      <c r="H76" s="61"/>
      <c r="I76" s="61"/>
      <c r="J76" s="127"/>
      <c r="K76" s="61"/>
      <c r="L76" s="61"/>
      <c r="M76" s="61"/>
      <c r="N76" s="135"/>
      <c r="O76" s="127"/>
      <c r="P76" s="61"/>
      <c r="Q76" s="61"/>
      <c r="R76" s="127"/>
      <c r="S76" s="61"/>
      <c r="T76" s="61"/>
      <c r="U76" s="61"/>
      <c r="V76" s="61"/>
      <c r="W76" s="61"/>
      <c r="X76" s="61"/>
      <c r="Y76" s="61"/>
      <c r="Z76" s="131"/>
      <c r="AA76" s="61"/>
      <c r="AB76" s="61"/>
      <c r="AC76" s="61"/>
      <c r="AD76" s="61"/>
      <c r="AE76" s="61"/>
      <c r="AF76" s="61"/>
      <c r="AG76" s="61"/>
    </row>
    <row r="77" s="8" customFormat="1" hidden="1" customHeight="1" spans="1:33">
      <c r="A77" s="129"/>
      <c r="B77" s="129"/>
      <c r="C77" s="129"/>
      <c r="D77" s="129"/>
      <c r="E77" s="129"/>
      <c r="F77" s="129"/>
      <c r="G77" s="129"/>
      <c r="H77" s="61"/>
      <c r="I77" s="61"/>
      <c r="J77" s="61"/>
      <c r="K77" s="61"/>
      <c r="L77" s="61"/>
      <c r="M77" s="61"/>
      <c r="N77" s="131"/>
      <c r="O77" s="127"/>
      <c r="P77" s="61"/>
      <c r="Q77" s="61"/>
      <c r="R77" s="131"/>
      <c r="S77" s="61"/>
      <c r="T77" s="61"/>
      <c r="U77" s="61"/>
      <c r="V77" s="61"/>
      <c r="W77" s="61"/>
      <c r="X77" s="61"/>
      <c r="Y77" s="61"/>
      <c r="Z77" s="131"/>
      <c r="AA77" s="61"/>
      <c r="AB77" s="61"/>
      <c r="AC77" s="61"/>
      <c r="AD77" s="61"/>
      <c r="AE77" s="61"/>
      <c r="AF77" s="61"/>
      <c r="AG77" s="61"/>
    </row>
    <row r="78" s="8" customFormat="1" hidden="1" customHeight="1" spans="1:33">
      <c r="A78" s="129"/>
      <c r="B78" s="129"/>
      <c r="C78" s="129"/>
      <c r="D78" s="129"/>
      <c r="E78" s="129"/>
      <c r="F78" s="129"/>
      <c r="G78" s="129"/>
      <c r="H78" s="61"/>
      <c r="I78" s="61"/>
      <c r="J78" s="61"/>
      <c r="K78" s="61"/>
      <c r="L78" s="61"/>
      <c r="M78" s="61"/>
      <c r="N78" s="131"/>
      <c r="O78" s="127"/>
      <c r="P78" s="61"/>
      <c r="Q78" s="61"/>
      <c r="R78" s="127"/>
      <c r="S78" s="61"/>
      <c r="T78" s="61"/>
      <c r="U78" s="127"/>
      <c r="V78" s="61"/>
      <c r="W78" s="61"/>
      <c r="X78" s="61"/>
      <c r="Y78" s="61"/>
      <c r="Z78" s="131"/>
      <c r="AA78" s="61"/>
      <c r="AB78" s="61"/>
      <c r="AC78" s="61"/>
      <c r="AD78" s="61"/>
      <c r="AE78" s="61"/>
      <c r="AF78" s="61"/>
      <c r="AG78" s="61"/>
    </row>
    <row r="79" s="8" customFormat="1" hidden="1" customHeight="1" spans="1:33">
      <c r="A79" s="129"/>
      <c r="B79" s="129"/>
      <c r="C79" s="129"/>
      <c r="D79" s="129"/>
      <c r="E79" s="129"/>
      <c r="F79" s="129"/>
      <c r="G79" s="129"/>
      <c r="H79" s="61"/>
      <c r="I79" s="61"/>
      <c r="J79" s="61"/>
      <c r="K79" s="61"/>
      <c r="L79" s="61"/>
      <c r="M79" s="61"/>
      <c r="N79" s="131"/>
      <c r="O79" s="127"/>
      <c r="P79" s="61"/>
      <c r="Q79" s="61"/>
      <c r="R79" s="131"/>
      <c r="S79" s="61"/>
      <c r="T79" s="61"/>
      <c r="U79" s="61"/>
      <c r="V79" s="61"/>
      <c r="W79" s="61"/>
      <c r="X79" s="61"/>
      <c r="Y79" s="61"/>
      <c r="Z79" s="131"/>
      <c r="AA79" s="61"/>
      <c r="AB79" s="61"/>
      <c r="AC79" s="61"/>
      <c r="AD79" s="61"/>
      <c r="AE79" s="61"/>
      <c r="AF79" s="61"/>
      <c r="AG79" s="61"/>
    </row>
    <row r="80" s="8" customFormat="1" hidden="1" customHeight="1" spans="1:33">
      <c r="A80" s="129"/>
      <c r="B80" s="129"/>
      <c r="C80" s="129"/>
      <c r="D80" s="129"/>
      <c r="E80" s="129"/>
      <c r="F80" s="130"/>
      <c r="G80" s="129"/>
      <c r="H80" s="61"/>
      <c r="I80" s="61"/>
      <c r="J80" s="61"/>
      <c r="K80" s="61"/>
      <c r="L80" s="61"/>
      <c r="M80" s="61"/>
      <c r="N80" s="131"/>
      <c r="O80" s="127"/>
      <c r="P80" s="127"/>
      <c r="Q80" s="127"/>
      <c r="R80" s="127"/>
      <c r="S80" s="61"/>
      <c r="T80" s="61"/>
      <c r="U80" s="61"/>
      <c r="V80" s="61"/>
      <c r="W80" s="61"/>
      <c r="X80" s="61"/>
      <c r="Y80" s="140">
        <f>IF('કપાટ પત્રક પેહલા ભરવુ '!L18=0,0,MIN('કપાટ પત્રક પેહલા ભરવુ '!L18,C105))</f>
        <v>200000</v>
      </c>
      <c r="Z80" s="61"/>
      <c r="AA80" s="61"/>
      <c r="AB80" s="61"/>
      <c r="AC80" s="61">
        <v>0</v>
      </c>
      <c r="AD80" s="61">
        <f>IF($M$1="હા",Y80,AC80)</f>
        <v>0</v>
      </c>
      <c r="AE80" s="61"/>
      <c r="AF80" s="61"/>
      <c r="AG80" s="61"/>
    </row>
    <row r="81" s="8" customFormat="1" hidden="1" customHeight="1" spans="1:33">
      <c r="A81" s="129"/>
      <c r="B81" s="129"/>
      <c r="C81" s="129"/>
      <c r="D81" s="129"/>
      <c r="E81" s="129"/>
      <c r="F81" s="130"/>
      <c r="G81" s="129"/>
      <c r="H81" s="61"/>
      <c r="I81" s="61"/>
      <c r="J81" s="61"/>
      <c r="K81" s="61"/>
      <c r="L81" s="61"/>
      <c r="M81" s="61"/>
      <c r="N81" s="131"/>
      <c r="O81" s="127"/>
      <c r="P81" s="61"/>
      <c r="Q81" s="61"/>
      <c r="R81" s="131"/>
      <c r="S81" s="61"/>
      <c r="T81" s="61"/>
      <c r="U81" s="61"/>
      <c r="V81" s="61"/>
      <c r="W81" s="61"/>
      <c r="X81" s="61"/>
      <c r="Y81" s="140">
        <f>'કપાટ પત્રક પેહલા ભરવુ '!M18</f>
        <v>30000</v>
      </c>
      <c r="Z81" s="61"/>
      <c r="AA81" s="61"/>
      <c r="AB81" s="61"/>
      <c r="AC81" s="61">
        <v>0</v>
      </c>
      <c r="AD81" s="61">
        <f>IF($M$1="હા",Y81,AC81)</f>
        <v>0</v>
      </c>
      <c r="AE81" s="61"/>
      <c r="AF81" s="61"/>
      <c r="AG81" s="61"/>
    </row>
    <row r="82" s="8" customFormat="1" hidden="1" customHeight="1" spans="1:33">
      <c r="A82" s="129"/>
      <c r="B82" s="129"/>
      <c r="C82" s="129"/>
      <c r="D82" s="129"/>
      <c r="E82" s="129"/>
      <c r="F82" s="130"/>
      <c r="G82" s="129"/>
      <c r="H82" s="61"/>
      <c r="I82" s="61"/>
      <c r="J82" s="61"/>
      <c r="K82" s="61"/>
      <c r="L82" s="61"/>
      <c r="M82" s="61"/>
      <c r="N82" s="131"/>
      <c r="O82" s="61"/>
      <c r="P82" s="61"/>
      <c r="Q82" s="61"/>
      <c r="R82" s="131"/>
      <c r="S82" s="127"/>
      <c r="T82" s="61"/>
      <c r="U82" s="61"/>
      <c r="V82" s="61"/>
      <c r="W82" s="61"/>
      <c r="X82" s="61"/>
      <c r="Y82" s="140">
        <f>'કપાટ પત્રક પેહલા ભરવુ '!N18</f>
        <v>0</v>
      </c>
      <c r="Z82" s="61"/>
      <c r="AA82" s="61"/>
      <c r="AB82" s="61"/>
      <c r="AC82" s="61">
        <v>0</v>
      </c>
      <c r="AD82" s="61">
        <f>IF($M$1="હા",Y82,AC82)</f>
        <v>0</v>
      </c>
      <c r="AE82" s="61"/>
      <c r="AF82" s="61"/>
      <c r="AG82" s="61"/>
    </row>
    <row r="83" s="8" customFormat="1" hidden="1" customHeight="1" spans="1:33">
      <c r="A83" s="129"/>
      <c r="B83" s="129"/>
      <c r="C83" s="129"/>
      <c r="D83" s="129"/>
      <c r="E83" s="129"/>
      <c r="F83" s="130"/>
      <c r="G83" s="129"/>
      <c r="H83" s="131"/>
      <c r="I83" s="131"/>
      <c r="J83" s="131"/>
      <c r="K83" s="131"/>
      <c r="L83" s="131"/>
      <c r="M83" s="131"/>
      <c r="N83" s="131"/>
      <c r="O83" s="61"/>
      <c r="P83" s="61"/>
      <c r="Q83" s="61"/>
      <c r="R83" s="131"/>
      <c r="S83" s="127"/>
      <c r="T83" s="127"/>
      <c r="U83" s="127"/>
      <c r="V83" s="127"/>
      <c r="W83" s="61"/>
      <c r="X83" s="61"/>
      <c r="Y83" s="140">
        <f>'કપાટ પત્રક પેહલા ભરવુ '!K18</f>
        <v>12252</v>
      </c>
      <c r="Z83" s="61"/>
      <c r="AA83" s="61"/>
      <c r="AB83" s="61"/>
      <c r="AC83" s="61">
        <v>0</v>
      </c>
      <c r="AD83" s="61">
        <f>IF($M$1="હા",Y83,AC83)</f>
        <v>0</v>
      </c>
      <c r="AE83" s="61"/>
      <c r="AF83" s="61"/>
      <c r="AG83" s="61"/>
    </row>
    <row r="84" s="8" customFormat="1" hidden="1" customHeight="1" spans="1:33">
      <c r="A84" s="129"/>
      <c r="B84" s="129"/>
      <c r="C84" s="129"/>
      <c r="D84" s="129"/>
      <c r="E84" s="129"/>
      <c r="F84" s="130"/>
      <c r="G84" s="129"/>
      <c r="H84" s="61"/>
      <c r="I84" s="61"/>
      <c r="J84" s="61"/>
      <c r="K84" s="61"/>
      <c r="L84" s="61"/>
      <c r="M84" s="137">
        <f>IF(Z41&gt;C99,0,IF(Z41&lt;C99,AA49,IF(Z41&lt;=C99,C100)))</f>
        <v>0</v>
      </c>
      <c r="N84" s="61"/>
      <c r="O84" s="61"/>
      <c r="P84" s="61"/>
      <c r="Q84" s="61"/>
      <c r="R84" s="131"/>
      <c r="S84" s="127"/>
      <c r="T84" s="61"/>
      <c r="U84" s="61"/>
      <c r="V84" s="61"/>
      <c r="W84" s="61"/>
      <c r="X84" s="61"/>
      <c r="Y84" s="140">
        <f>'કપાટ પત્રક પેહલા ભરવુ '!I18</f>
        <v>9600</v>
      </c>
      <c r="Z84" s="61"/>
      <c r="AA84" s="61"/>
      <c r="AB84" s="61"/>
      <c r="AC84" s="61">
        <v>0</v>
      </c>
      <c r="AD84" s="61">
        <f>IF($M$1="હા",Y84,AC84)</f>
        <v>0</v>
      </c>
      <c r="AE84" s="61"/>
      <c r="AF84" s="61"/>
      <c r="AG84" s="61"/>
    </row>
    <row r="85" s="8" customFormat="1" hidden="1" customHeight="1" spans="1:33">
      <c r="A85" s="129"/>
      <c r="B85" s="129"/>
      <c r="C85" s="129"/>
      <c r="D85" s="129"/>
      <c r="E85" s="129"/>
      <c r="F85" s="129"/>
      <c r="G85" s="129"/>
      <c r="H85" s="61"/>
      <c r="I85" s="61"/>
      <c r="J85" s="61"/>
      <c r="K85" s="61"/>
      <c r="L85" s="61"/>
      <c r="M85" s="61"/>
      <c r="N85" s="131"/>
      <c r="O85" s="127"/>
      <c r="P85" s="61"/>
      <c r="Q85" s="61"/>
      <c r="R85" s="131"/>
      <c r="S85" s="127"/>
      <c r="T85" s="61"/>
      <c r="U85" s="61"/>
      <c r="V85" s="61"/>
      <c r="W85" s="61"/>
      <c r="X85" s="61"/>
      <c r="Y85" s="140">
        <f>AM22</f>
        <v>0</v>
      </c>
      <c r="Z85" s="61"/>
      <c r="AA85" s="61"/>
      <c r="AB85" s="61"/>
      <c r="AC85" s="61">
        <v>0</v>
      </c>
      <c r="AD85" s="61">
        <f>IF($M$1="હા",AP2,AC85)</f>
        <v>0</v>
      </c>
      <c r="AE85" s="61"/>
      <c r="AF85" s="61"/>
      <c r="AG85" s="61"/>
    </row>
    <row r="86" s="8" customFormat="1" hidden="1" customHeight="1" spans="1:33">
      <c r="A86" s="129"/>
      <c r="B86" s="129"/>
      <c r="C86" s="132">
        <v>300000</v>
      </c>
      <c r="D86" s="60"/>
      <c r="E86" s="60"/>
      <c r="F86" s="129"/>
      <c r="G86" s="129"/>
      <c r="H86" s="61"/>
      <c r="I86" s="61"/>
      <c r="J86" s="61"/>
      <c r="K86" s="61"/>
      <c r="L86" s="61"/>
      <c r="M86" s="61"/>
      <c r="N86" s="131"/>
      <c r="O86" s="61"/>
      <c r="P86" s="61"/>
      <c r="Q86" s="61"/>
      <c r="R86" s="131"/>
      <c r="S86" s="127"/>
      <c r="T86" s="61"/>
      <c r="U86" s="61"/>
      <c r="V86" s="61"/>
      <c r="W86" s="61"/>
      <c r="X86" s="61"/>
      <c r="Y86" s="140">
        <f>AM23</f>
        <v>0</v>
      </c>
      <c r="Z86" s="61"/>
      <c r="AA86" s="61"/>
      <c r="AB86" s="61"/>
      <c r="AC86" s="61">
        <v>0</v>
      </c>
      <c r="AD86" s="61">
        <f>IF($M$1="હા",AP3,AC86)</f>
        <v>0</v>
      </c>
      <c r="AE86" s="61"/>
      <c r="AF86" s="61"/>
      <c r="AG86" s="61"/>
    </row>
    <row r="87" s="8" customFormat="1" hidden="1" customHeight="1" spans="1:33">
      <c r="A87" s="61"/>
      <c r="B87" s="127"/>
      <c r="C87" s="132">
        <v>300001</v>
      </c>
      <c r="D87" s="60"/>
      <c r="E87" s="60"/>
      <c r="F87" s="61"/>
      <c r="G87" s="61"/>
      <c r="H87" s="61"/>
      <c r="I87" s="61"/>
      <c r="J87" s="61"/>
      <c r="K87" s="61"/>
      <c r="L87" s="61"/>
      <c r="M87" s="61"/>
      <c r="N87" s="131"/>
      <c r="O87" s="61"/>
      <c r="P87" s="61"/>
      <c r="Q87" s="61"/>
      <c r="R87" s="131"/>
      <c r="S87" s="127"/>
      <c r="T87" s="61"/>
      <c r="U87" s="61"/>
      <c r="V87" s="61"/>
      <c r="W87" s="61"/>
      <c r="X87" s="61"/>
      <c r="Y87" s="61"/>
      <c r="Z87" s="131"/>
      <c r="AA87" s="61"/>
      <c r="AB87" s="61"/>
      <c r="AC87" s="61"/>
      <c r="AD87" s="61"/>
      <c r="AE87" s="61"/>
      <c r="AF87" s="61"/>
      <c r="AG87" s="61"/>
    </row>
    <row r="88" s="8" customFormat="1" hidden="1" customHeight="1" spans="1:33">
      <c r="A88" s="61"/>
      <c r="B88" s="127"/>
      <c r="C88" s="132">
        <v>600001</v>
      </c>
      <c r="D88" s="60"/>
      <c r="E88" s="60"/>
      <c r="F88" s="61"/>
      <c r="G88" s="61"/>
      <c r="H88" s="61"/>
      <c r="I88" s="61"/>
      <c r="J88" s="61"/>
      <c r="K88" s="61"/>
      <c r="L88" s="61"/>
      <c r="M88" s="61"/>
      <c r="N88" s="131"/>
      <c r="O88" s="61"/>
      <c r="P88" s="61"/>
      <c r="Q88" s="61"/>
      <c r="R88" s="131"/>
      <c r="S88" s="127"/>
      <c r="T88" s="61"/>
      <c r="U88" s="61"/>
      <c r="V88" s="61"/>
      <c r="W88" s="61"/>
      <c r="X88" s="61"/>
      <c r="Y88" s="61"/>
      <c r="Z88" s="131"/>
      <c r="AA88" s="61"/>
      <c r="AB88" s="61"/>
      <c r="AC88" s="61"/>
      <c r="AD88" s="61"/>
      <c r="AE88" s="61"/>
      <c r="AF88" s="61"/>
      <c r="AG88" s="61"/>
    </row>
    <row r="89" s="8" customFormat="1" hidden="1" customHeight="1" spans="1:33">
      <c r="A89" s="61"/>
      <c r="B89" s="127"/>
      <c r="C89" s="132">
        <v>1000001</v>
      </c>
      <c r="D89" s="60"/>
      <c r="E89" s="60"/>
      <c r="F89" s="61"/>
      <c r="G89" s="61"/>
      <c r="H89" s="61"/>
      <c r="I89" s="61"/>
      <c r="J89" s="61"/>
      <c r="K89" s="61"/>
      <c r="L89" s="61"/>
      <c r="M89" s="61"/>
      <c r="N89" s="131"/>
      <c r="O89" s="61"/>
      <c r="P89" s="61"/>
      <c r="Q89" s="61"/>
      <c r="R89" s="131"/>
      <c r="S89" s="127"/>
      <c r="T89" s="61"/>
      <c r="U89" s="61"/>
      <c r="V89" s="61"/>
      <c r="W89" s="61"/>
      <c r="X89" s="61"/>
      <c r="Y89" s="61"/>
      <c r="Z89" s="131"/>
      <c r="AA89" s="61"/>
      <c r="AB89" s="61"/>
      <c r="AC89" s="61"/>
      <c r="AD89" s="61"/>
      <c r="AE89" s="61"/>
      <c r="AF89" s="61"/>
      <c r="AG89" s="61"/>
    </row>
    <row r="90" s="8" customFormat="1" hidden="1" customHeight="1" spans="1:33">
      <c r="A90" s="61"/>
      <c r="B90" s="127"/>
      <c r="C90" s="127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131"/>
      <c r="O90" s="61"/>
      <c r="P90" s="61"/>
      <c r="Q90" s="61"/>
      <c r="R90" s="131"/>
      <c r="S90" s="127"/>
      <c r="T90" s="61"/>
      <c r="U90" s="61"/>
      <c r="V90" s="61"/>
      <c r="W90" s="61"/>
      <c r="X90" s="61"/>
      <c r="Y90" s="61"/>
      <c r="Z90" s="131"/>
      <c r="AA90" s="61"/>
      <c r="AB90" s="61"/>
      <c r="AC90" s="61"/>
      <c r="AD90" s="61"/>
      <c r="AE90" s="61"/>
      <c r="AF90" s="61"/>
      <c r="AG90" s="61"/>
    </row>
    <row r="91" s="8" customFormat="1" hidden="1" customHeight="1" spans="1:33">
      <c r="A91" s="61"/>
      <c r="B91" s="127"/>
      <c r="C91" s="132">
        <v>500000</v>
      </c>
      <c r="D91" s="60"/>
      <c r="E91" s="60"/>
      <c r="F91" s="61"/>
      <c r="G91" s="61"/>
      <c r="H91" s="61"/>
      <c r="I91" s="61"/>
      <c r="J91" s="61"/>
      <c r="K91" s="61"/>
      <c r="L91" s="61"/>
      <c r="M91" s="137"/>
      <c r="N91" s="131"/>
      <c r="O91" s="61"/>
      <c r="P91" s="61"/>
      <c r="Q91" s="61"/>
      <c r="R91" s="131"/>
      <c r="S91" s="127"/>
      <c r="T91" s="61"/>
      <c r="U91" s="61"/>
      <c r="V91" s="61"/>
      <c r="W91" s="61"/>
      <c r="X91" s="61"/>
      <c r="Y91" s="61"/>
      <c r="Z91" s="131"/>
      <c r="AA91" s="61"/>
      <c r="AB91" s="61"/>
      <c r="AC91" s="61"/>
      <c r="AD91" s="61"/>
      <c r="AE91" s="61"/>
      <c r="AF91" s="61"/>
      <c r="AG91" s="61"/>
    </row>
    <row r="92" s="8" customFormat="1" hidden="1" customHeight="1" spans="1:33">
      <c r="A92" s="61"/>
      <c r="B92" s="61"/>
      <c r="C92" s="132">
        <v>1000000</v>
      </c>
      <c r="D92" s="60"/>
      <c r="E92" s="60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131"/>
      <c r="S92" s="61"/>
      <c r="T92" s="61"/>
      <c r="U92" s="61"/>
      <c r="V92" s="61"/>
      <c r="W92" s="61"/>
      <c r="X92" s="61"/>
      <c r="Y92" s="61"/>
      <c r="Z92" s="131"/>
      <c r="AA92" s="61"/>
      <c r="AB92" s="61"/>
      <c r="AC92" s="61"/>
      <c r="AD92" s="61"/>
      <c r="AE92" s="61"/>
      <c r="AF92" s="61"/>
      <c r="AG92" s="61"/>
    </row>
    <row r="93" s="8" customFormat="1" hidden="1" customHeight="1" spans="1:33">
      <c r="A93" s="61"/>
      <c r="B93" s="61"/>
      <c r="C93" s="127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131"/>
      <c r="S93" s="61"/>
      <c r="T93" s="61"/>
      <c r="U93" s="61"/>
      <c r="V93" s="61"/>
      <c r="W93" s="61"/>
      <c r="X93" s="61"/>
      <c r="Y93" s="61"/>
      <c r="Z93" s="131"/>
      <c r="AA93" s="61"/>
      <c r="AB93" s="61"/>
      <c r="AC93" s="61"/>
      <c r="AD93" s="61"/>
      <c r="AE93" s="61"/>
      <c r="AF93" s="61"/>
      <c r="AG93" s="61"/>
    </row>
    <row r="94" s="8" customFormat="1" hidden="1" customHeight="1" spans="1:33">
      <c r="A94" s="61"/>
      <c r="B94" s="61"/>
      <c r="C94" s="133">
        <v>0.05</v>
      </c>
      <c r="D94" s="133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131"/>
      <c r="S94" s="61"/>
      <c r="T94" s="61"/>
      <c r="U94" s="61"/>
      <c r="V94" s="61"/>
      <c r="W94" s="61"/>
      <c r="X94" s="61"/>
      <c r="Y94" s="61"/>
      <c r="Z94" s="131"/>
      <c r="AA94" s="61"/>
      <c r="AB94" s="61"/>
      <c r="AC94" s="61"/>
      <c r="AD94" s="61"/>
      <c r="AE94" s="61"/>
      <c r="AF94" s="61"/>
      <c r="AG94" s="61"/>
    </row>
    <row r="95" s="8" customFormat="1" hidden="1" customHeight="1" spans="1:33">
      <c r="A95" s="61"/>
      <c r="B95" s="61"/>
      <c r="C95" s="133">
        <v>0.2</v>
      </c>
      <c r="D95" s="133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131"/>
      <c r="S95" s="61"/>
      <c r="T95" s="61"/>
      <c r="U95" s="61"/>
      <c r="V95" s="61"/>
      <c r="W95" s="61"/>
      <c r="X95" s="61"/>
      <c r="Y95" s="61"/>
      <c r="Z95" s="131"/>
      <c r="AA95" s="61"/>
      <c r="AB95" s="61"/>
      <c r="AC95" s="61"/>
      <c r="AD95" s="61"/>
      <c r="AE95" s="61"/>
      <c r="AF95" s="61"/>
      <c r="AG95" s="61"/>
    </row>
    <row r="96" s="8" customFormat="1" hidden="1" customHeight="1" spans="1:33">
      <c r="A96" s="61"/>
      <c r="B96" s="61"/>
      <c r="C96" s="133">
        <v>0.3</v>
      </c>
      <c r="D96" s="133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131"/>
      <c r="S96" s="61"/>
      <c r="T96" s="61"/>
      <c r="U96" s="61"/>
      <c r="V96" s="61"/>
      <c r="W96" s="61"/>
      <c r="X96" s="61"/>
      <c r="Y96" s="61"/>
      <c r="Z96" s="131"/>
      <c r="AA96" s="61"/>
      <c r="AB96" s="61"/>
      <c r="AC96" s="61"/>
      <c r="AD96" s="61"/>
      <c r="AE96" s="61"/>
      <c r="AF96" s="61"/>
      <c r="AG96" s="61"/>
    </row>
    <row r="97" s="8" customFormat="1" hidden="1" customHeight="1" spans="1:33">
      <c r="A97" s="61"/>
      <c r="B97" s="61"/>
      <c r="C97" s="127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131"/>
      <c r="S97" s="61"/>
      <c r="T97" s="61"/>
      <c r="U97" s="61"/>
      <c r="V97" s="61"/>
      <c r="W97" s="61"/>
      <c r="X97" s="61"/>
      <c r="Y97" s="61"/>
      <c r="Z97" s="131"/>
      <c r="AA97" s="61"/>
      <c r="AB97" s="61"/>
      <c r="AC97" s="61"/>
      <c r="AD97" s="61"/>
      <c r="AE97" s="61"/>
      <c r="AF97" s="61"/>
      <c r="AG97" s="61"/>
    </row>
    <row r="98" s="8" customFormat="1" hidden="1" customHeight="1" spans="1:33">
      <c r="A98" s="61"/>
      <c r="B98" s="61"/>
      <c r="C98" s="127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131"/>
      <c r="S98" s="61"/>
      <c r="T98" s="61"/>
      <c r="U98" s="61"/>
      <c r="V98" s="61"/>
      <c r="W98" s="61"/>
      <c r="X98" s="61"/>
      <c r="Y98" s="61"/>
      <c r="Z98" s="131"/>
      <c r="AA98" s="61"/>
      <c r="AB98" s="61"/>
      <c r="AC98" s="61"/>
      <c r="AD98" s="61"/>
      <c r="AE98" s="61"/>
      <c r="AF98" s="61"/>
      <c r="AG98" s="61"/>
    </row>
    <row r="99" s="8" customFormat="1" hidden="1" customHeight="1" spans="1:33">
      <c r="A99" s="61"/>
      <c r="B99" s="61"/>
      <c r="C99" s="128">
        <v>500000</v>
      </c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131"/>
      <c r="S99" s="61"/>
      <c r="T99" s="61"/>
      <c r="U99" s="61"/>
      <c r="V99" s="61"/>
      <c r="W99" s="61"/>
      <c r="X99" s="61"/>
      <c r="Y99" s="61"/>
      <c r="Z99" s="131"/>
      <c r="AA99" s="61"/>
      <c r="AB99" s="61"/>
      <c r="AC99" s="61"/>
      <c r="AD99" s="61"/>
      <c r="AE99" s="61"/>
      <c r="AF99" s="61"/>
      <c r="AG99" s="61"/>
    </row>
    <row r="100" s="8" customFormat="1" hidden="1" customHeight="1" spans="1:33">
      <c r="A100" s="61"/>
      <c r="B100" s="61"/>
      <c r="C100" s="128">
        <v>12500</v>
      </c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131"/>
      <c r="S100" s="61"/>
      <c r="T100" s="61"/>
      <c r="U100" s="61"/>
      <c r="V100" s="61"/>
      <c r="W100" s="61"/>
      <c r="X100" s="61"/>
      <c r="Y100" s="61"/>
      <c r="Z100" s="131"/>
      <c r="AA100" s="61"/>
      <c r="AB100" s="61"/>
      <c r="AC100" s="61"/>
      <c r="AD100" s="61"/>
      <c r="AE100" s="61"/>
      <c r="AF100" s="61"/>
      <c r="AG100" s="61"/>
    </row>
    <row r="101" s="8" customFormat="1" hidden="1" customHeight="1" spans="1:33">
      <c r="A101" s="61"/>
      <c r="B101" s="61"/>
      <c r="C101" s="127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131"/>
      <c r="S101" s="61"/>
      <c r="T101" s="61"/>
      <c r="U101" s="61"/>
      <c r="V101" s="61"/>
      <c r="W101" s="61"/>
      <c r="X101" s="61"/>
      <c r="Y101" s="61"/>
      <c r="Z101" s="131"/>
      <c r="AA101" s="61"/>
      <c r="AB101" s="61"/>
      <c r="AC101" s="61"/>
      <c r="AD101" s="61"/>
      <c r="AE101" s="61"/>
      <c r="AF101" s="61"/>
      <c r="AG101" s="61"/>
    </row>
    <row r="102" s="8" customFormat="1" hidden="1" customHeight="1" spans="1:33">
      <c r="A102" s="61"/>
      <c r="B102" s="61"/>
      <c r="C102" s="134">
        <v>0.04</v>
      </c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131"/>
      <c r="S102" s="61"/>
      <c r="T102" s="61"/>
      <c r="U102" s="61"/>
      <c r="V102" s="61"/>
      <c r="W102" s="61"/>
      <c r="X102" s="61"/>
      <c r="Y102" s="61"/>
      <c r="Z102" s="131"/>
      <c r="AA102" s="61"/>
      <c r="AB102" s="61"/>
      <c r="AC102" s="61"/>
      <c r="AD102" s="61"/>
      <c r="AE102" s="61"/>
      <c r="AF102" s="61"/>
      <c r="AG102" s="61"/>
    </row>
    <row r="103" s="8" customFormat="1" hidden="1" customHeight="1" spans="1:33">
      <c r="A103" s="61"/>
      <c r="B103" s="61"/>
      <c r="C103" s="127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131"/>
      <c r="S103" s="61"/>
      <c r="T103" s="61"/>
      <c r="U103" s="61"/>
      <c r="V103" s="61"/>
      <c r="W103" s="61"/>
      <c r="X103" s="61"/>
      <c r="Y103" s="61"/>
      <c r="Z103" s="131"/>
      <c r="AA103" s="61"/>
      <c r="AB103" s="61"/>
      <c r="AC103" s="61"/>
      <c r="AD103" s="61"/>
      <c r="AE103" s="61"/>
      <c r="AF103" s="61"/>
      <c r="AG103" s="61"/>
    </row>
    <row r="104" s="8" customFormat="1" hidden="1" customHeight="1" spans="1:33">
      <c r="A104" s="61"/>
      <c r="B104" s="61"/>
      <c r="C104" s="127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131"/>
      <c r="S104" s="61"/>
      <c r="T104" s="61"/>
      <c r="U104" s="61"/>
      <c r="V104" s="61"/>
      <c r="W104" s="61"/>
      <c r="X104" s="61"/>
      <c r="Y104" s="61"/>
      <c r="Z104" s="131"/>
      <c r="AA104" s="61"/>
      <c r="AB104" s="61"/>
      <c r="AC104" s="61"/>
      <c r="AD104" s="61"/>
      <c r="AE104" s="61"/>
      <c r="AF104" s="61"/>
      <c r="AG104" s="61"/>
    </row>
    <row r="105" s="8" customFormat="1" hidden="1" customHeight="1" spans="1:33">
      <c r="A105" s="61"/>
      <c r="B105" s="61"/>
      <c r="C105" s="128">
        <v>200000</v>
      </c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131"/>
      <c r="S105" s="61"/>
      <c r="T105" s="61"/>
      <c r="U105" s="61"/>
      <c r="V105" s="61"/>
      <c r="W105" s="61"/>
      <c r="X105" s="61"/>
      <c r="Y105" s="61"/>
      <c r="Z105" s="131"/>
      <c r="AA105" s="61"/>
      <c r="AB105" s="61"/>
      <c r="AC105" s="61"/>
      <c r="AD105" s="61"/>
      <c r="AE105" s="61"/>
      <c r="AF105" s="61"/>
      <c r="AG105" s="61"/>
    </row>
    <row r="106" s="8" customFormat="1" hidden="1" customHeight="1" spans="1:33">
      <c r="A106" s="61"/>
      <c r="B106" s="61"/>
      <c r="C106" s="127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131"/>
      <c r="S106" s="61"/>
      <c r="T106" s="61"/>
      <c r="U106" s="61"/>
      <c r="V106" s="61"/>
      <c r="W106" s="61"/>
      <c r="X106" s="61"/>
      <c r="Y106" s="61"/>
      <c r="Z106" s="131"/>
      <c r="AA106" s="61"/>
      <c r="AB106" s="61"/>
      <c r="AC106" s="61"/>
      <c r="AD106" s="61"/>
      <c r="AE106" s="61"/>
      <c r="AF106" s="61"/>
      <c r="AG106" s="61"/>
    </row>
    <row r="107" s="8" customFormat="1" hidden="1" customHeight="1" spans="1:33">
      <c r="A107" s="61"/>
      <c r="B107" s="61"/>
      <c r="C107" s="127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131"/>
      <c r="S107" s="61"/>
      <c r="T107" s="61"/>
      <c r="U107" s="61"/>
      <c r="V107" s="61"/>
      <c r="W107" s="61"/>
      <c r="X107" s="61"/>
      <c r="Y107" s="61"/>
      <c r="Z107" s="131"/>
      <c r="AA107" s="61"/>
      <c r="AB107" s="61"/>
      <c r="AC107" s="61"/>
      <c r="AD107" s="61"/>
      <c r="AE107" s="61"/>
      <c r="AF107" s="61"/>
      <c r="AG107" s="61"/>
    </row>
    <row r="108" s="8" customFormat="1" hidden="1" customHeight="1" spans="1:33">
      <c r="A108" s="61"/>
      <c r="B108" s="61"/>
      <c r="C108" s="127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131"/>
      <c r="S108" s="61"/>
      <c r="T108" s="61"/>
      <c r="U108" s="61"/>
      <c r="V108" s="61"/>
      <c r="W108" s="61"/>
      <c r="X108" s="61"/>
      <c r="Y108" s="61"/>
      <c r="Z108" s="131"/>
      <c r="AA108" s="61"/>
      <c r="AB108" s="61"/>
      <c r="AC108" s="61"/>
      <c r="AD108" s="61"/>
      <c r="AE108" s="61"/>
      <c r="AF108" s="61"/>
      <c r="AG108" s="61"/>
    </row>
    <row r="109" s="8" customFormat="1" hidden="1" customHeight="1" spans="1:33">
      <c r="A109" s="61"/>
      <c r="B109" s="61"/>
      <c r="C109" s="127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131"/>
      <c r="S109" s="61"/>
      <c r="T109" s="61"/>
      <c r="U109" s="61"/>
      <c r="V109" s="61"/>
      <c r="W109" s="61"/>
      <c r="X109" s="61"/>
      <c r="Y109" s="61"/>
      <c r="Z109" s="131"/>
      <c r="AA109" s="61"/>
      <c r="AB109" s="61"/>
      <c r="AC109" s="61"/>
      <c r="AD109" s="61"/>
      <c r="AE109" s="61"/>
      <c r="AF109" s="61"/>
      <c r="AG109" s="61"/>
    </row>
    <row r="110" s="8" customFormat="1" hidden="1" customHeight="1" spans="1:33">
      <c r="A110" s="61"/>
      <c r="B110" s="61"/>
      <c r="C110" s="127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131"/>
      <c r="S110" s="61"/>
      <c r="T110" s="61"/>
      <c r="U110" s="61"/>
      <c r="V110" s="61"/>
      <c r="W110" s="61"/>
      <c r="X110" s="61"/>
      <c r="Y110" s="61"/>
      <c r="Z110" s="131"/>
      <c r="AA110" s="61"/>
      <c r="AB110" s="61"/>
      <c r="AC110" s="61"/>
      <c r="AD110" s="61"/>
      <c r="AE110" s="61"/>
      <c r="AF110" s="61"/>
      <c r="AG110" s="61"/>
    </row>
    <row r="111" s="8" customFormat="1" hidden="1" customHeight="1" spans="1:33">
      <c r="A111" s="61"/>
      <c r="B111" s="61"/>
      <c r="C111" s="127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131"/>
      <c r="S111" s="61"/>
      <c r="T111" s="61"/>
      <c r="U111" s="61"/>
      <c r="V111" s="61"/>
      <c r="W111" s="61"/>
      <c r="X111" s="61"/>
      <c r="Y111" s="61"/>
      <c r="Z111" s="131"/>
      <c r="AA111" s="61"/>
      <c r="AB111" s="61"/>
      <c r="AC111" s="61"/>
      <c r="AD111" s="61"/>
      <c r="AE111" s="61"/>
      <c r="AF111" s="61"/>
      <c r="AG111" s="61"/>
    </row>
    <row r="112" s="8" customFormat="1" hidden="1" customHeight="1" spans="1:33">
      <c r="A112" s="61"/>
      <c r="B112" s="61"/>
      <c r="C112" s="127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131"/>
      <c r="S112" s="61"/>
      <c r="T112" s="61"/>
      <c r="U112" s="61"/>
      <c r="V112" s="61"/>
      <c r="W112" s="61"/>
      <c r="X112" s="61"/>
      <c r="Y112" s="61"/>
      <c r="Z112" s="131"/>
      <c r="AA112" s="61"/>
      <c r="AB112" s="61"/>
      <c r="AC112" s="61"/>
      <c r="AD112" s="61"/>
      <c r="AE112" s="61"/>
      <c r="AF112" s="61"/>
      <c r="AG112" s="61"/>
    </row>
    <row r="113" s="8" customFormat="1" hidden="1" customHeight="1" spans="1:33">
      <c r="A113" s="61"/>
      <c r="B113" s="61"/>
      <c r="C113" s="127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131"/>
      <c r="S113" s="61"/>
      <c r="T113" s="61"/>
      <c r="U113" s="61"/>
      <c r="V113" s="61"/>
      <c r="W113" s="61"/>
      <c r="X113" s="61"/>
      <c r="Y113" s="61"/>
      <c r="Z113" s="131"/>
      <c r="AA113" s="61"/>
      <c r="AB113" s="61"/>
      <c r="AC113" s="61"/>
      <c r="AD113" s="61"/>
      <c r="AE113" s="61"/>
      <c r="AF113" s="61"/>
      <c r="AG113" s="61"/>
    </row>
    <row r="114" s="8" customFormat="1" hidden="1" customHeight="1" spans="1:33">
      <c r="A114" s="61"/>
      <c r="B114" s="61"/>
      <c r="C114" s="127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131"/>
      <c r="S114" s="61"/>
      <c r="T114" s="61"/>
      <c r="U114" s="61"/>
      <c r="V114" s="61"/>
      <c r="W114" s="61"/>
      <c r="X114" s="61"/>
      <c r="Y114" s="61"/>
      <c r="Z114" s="131"/>
      <c r="AA114" s="61"/>
      <c r="AB114" s="61"/>
      <c r="AC114" s="61"/>
      <c r="AD114" s="61"/>
      <c r="AE114" s="61"/>
      <c r="AF114" s="61"/>
      <c r="AG114" s="61"/>
    </row>
    <row r="115" s="8" customFormat="1" hidden="1" customHeight="1" spans="1:33">
      <c r="A115" s="61"/>
      <c r="B115" s="61"/>
      <c r="C115" s="127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131"/>
      <c r="S115" s="61"/>
      <c r="T115" s="61"/>
      <c r="U115" s="61"/>
      <c r="V115" s="61"/>
      <c r="W115" s="61"/>
      <c r="X115" s="61"/>
      <c r="Y115" s="61"/>
      <c r="Z115" s="131"/>
      <c r="AA115" s="61"/>
      <c r="AB115" s="61"/>
      <c r="AC115" s="61"/>
      <c r="AD115" s="61"/>
      <c r="AE115" s="61"/>
      <c r="AF115" s="61"/>
      <c r="AG115" s="61"/>
    </row>
    <row r="116" s="8" customFormat="1" hidden="1" customHeight="1" spans="1:33">
      <c r="A116" s="61"/>
      <c r="B116" s="61"/>
      <c r="C116" s="127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131"/>
      <c r="S116" s="61"/>
      <c r="T116" s="61"/>
      <c r="U116" s="61"/>
      <c r="V116" s="61"/>
      <c r="W116" s="61"/>
      <c r="X116" s="61"/>
      <c r="Y116" s="61"/>
      <c r="Z116" s="131"/>
      <c r="AA116" s="61"/>
      <c r="AB116" s="61"/>
      <c r="AC116" s="61"/>
      <c r="AD116" s="61"/>
      <c r="AE116" s="61"/>
      <c r="AF116" s="61"/>
      <c r="AG116" s="61"/>
    </row>
    <row r="117" s="8" customFormat="1" hidden="1" customHeight="1" spans="1:33">
      <c r="A117" s="61"/>
      <c r="B117" s="61"/>
      <c r="C117" s="127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131"/>
      <c r="S117" s="61"/>
      <c r="T117" s="61"/>
      <c r="U117" s="61"/>
      <c r="V117" s="61"/>
      <c r="W117" s="61"/>
      <c r="X117" s="61"/>
      <c r="Y117" s="61"/>
      <c r="Z117" s="131"/>
      <c r="AA117" s="61"/>
      <c r="AB117" s="61"/>
      <c r="AC117" s="61"/>
      <c r="AD117" s="61"/>
      <c r="AE117" s="61"/>
      <c r="AF117" s="61"/>
      <c r="AG117" s="61"/>
    </row>
    <row r="118" s="8" customFormat="1" hidden="1" customHeight="1" spans="1:33">
      <c r="A118" s="61"/>
      <c r="B118" s="61"/>
      <c r="C118" s="127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131"/>
      <c r="S118" s="61"/>
      <c r="T118" s="61"/>
      <c r="U118" s="61"/>
      <c r="V118" s="61"/>
      <c r="W118" s="61"/>
      <c r="X118" s="61"/>
      <c r="Y118" s="61"/>
      <c r="Z118" s="131"/>
      <c r="AA118" s="61"/>
      <c r="AB118" s="61"/>
      <c r="AC118" s="61"/>
      <c r="AD118" s="61"/>
      <c r="AE118" s="61"/>
      <c r="AF118" s="61"/>
      <c r="AG118" s="61"/>
    </row>
    <row r="119" s="8" customFormat="1" hidden="1" customHeight="1" spans="1:33">
      <c r="A119" s="61"/>
      <c r="B119" s="61"/>
      <c r="C119" s="127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131"/>
      <c r="S119" s="61"/>
      <c r="T119" s="61"/>
      <c r="U119" s="61"/>
      <c r="V119" s="61"/>
      <c r="W119" s="61"/>
      <c r="X119" s="61"/>
      <c r="Y119" s="61"/>
      <c r="Z119" s="131"/>
      <c r="AA119" s="61"/>
      <c r="AB119" s="61"/>
      <c r="AC119" s="61"/>
      <c r="AD119" s="61"/>
      <c r="AE119" s="61"/>
      <c r="AF119" s="61"/>
      <c r="AG119" s="61"/>
    </row>
    <row r="120" s="8" customFormat="1" hidden="1" customHeight="1" spans="1:33">
      <c r="A120" s="61"/>
      <c r="B120" s="61"/>
      <c r="C120" s="127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131"/>
      <c r="S120" s="61"/>
      <c r="T120" s="61"/>
      <c r="U120" s="61"/>
      <c r="V120" s="61"/>
      <c r="W120" s="61"/>
      <c r="X120" s="61"/>
      <c r="Y120" s="61"/>
      <c r="Z120" s="131"/>
      <c r="AA120" s="61"/>
      <c r="AB120" s="61"/>
      <c r="AC120" s="61"/>
      <c r="AD120" s="61"/>
      <c r="AE120" s="61"/>
      <c r="AF120" s="61"/>
      <c r="AG120" s="61"/>
    </row>
    <row r="121" s="8" customFormat="1" hidden="1" customHeight="1" spans="1:33">
      <c r="A121" s="61"/>
      <c r="B121" s="61"/>
      <c r="C121" s="127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131"/>
      <c r="S121" s="61"/>
      <c r="T121" s="61"/>
      <c r="U121" s="61"/>
      <c r="V121" s="61"/>
      <c r="W121" s="61"/>
      <c r="X121" s="61"/>
      <c r="Y121" s="61"/>
      <c r="Z121" s="131"/>
      <c r="AA121" s="61"/>
      <c r="AB121" s="61"/>
      <c r="AC121" s="61"/>
      <c r="AD121" s="61"/>
      <c r="AE121" s="61"/>
      <c r="AF121" s="61"/>
      <c r="AG121" s="61"/>
    </row>
    <row r="122" s="8" customFormat="1" hidden="1" customHeight="1" spans="1:33">
      <c r="A122" s="61"/>
      <c r="B122" s="61"/>
      <c r="C122" s="127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131"/>
      <c r="S122" s="61"/>
      <c r="T122" s="61"/>
      <c r="U122" s="61"/>
      <c r="V122" s="61"/>
      <c r="W122" s="61"/>
      <c r="X122" s="61"/>
      <c r="Y122" s="61"/>
      <c r="Z122" s="131"/>
      <c r="AA122" s="61"/>
      <c r="AB122" s="61"/>
      <c r="AC122" s="61"/>
      <c r="AD122" s="61"/>
      <c r="AE122" s="61"/>
      <c r="AF122" s="61"/>
      <c r="AG122" s="61"/>
    </row>
    <row r="123" s="8" customFormat="1" hidden="1" customHeight="1" spans="1:33">
      <c r="A123" s="61"/>
      <c r="B123" s="61"/>
      <c r="C123" s="127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131"/>
      <c r="S123" s="61"/>
      <c r="T123" s="61"/>
      <c r="U123" s="61"/>
      <c r="V123" s="61"/>
      <c r="W123" s="61"/>
      <c r="X123" s="61"/>
      <c r="Y123" s="61"/>
      <c r="Z123" s="131"/>
      <c r="AA123" s="61"/>
      <c r="AB123" s="61"/>
      <c r="AC123" s="61"/>
      <c r="AD123" s="61"/>
      <c r="AE123" s="61"/>
      <c r="AF123" s="61"/>
      <c r="AG123" s="61"/>
    </row>
    <row r="124" s="8" customFormat="1" hidden="1" customHeight="1" spans="1:33">
      <c r="A124" s="61"/>
      <c r="B124" s="61"/>
      <c r="C124" s="127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131"/>
      <c r="S124" s="61"/>
      <c r="T124" s="61"/>
      <c r="U124" s="61"/>
      <c r="V124" s="61"/>
      <c r="W124" s="61"/>
      <c r="X124" s="61"/>
      <c r="Y124" s="61"/>
      <c r="Z124" s="131"/>
      <c r="AA124" s="61"/>
      <c r="AB124" s="61"/>
      <c r="AC124" s="61"/>
      <c r="AD124" s="61"/>
      <c r="AE124" s="61"/>
      <c r="AF124" s="61"/>
      <c r="AG124" s="61"/>
    </row>
    <row r="125" s="8" customFormat="1" hidden="1" customHeight="1" spans="1:33">
      <c r="A125" s="61"/>
      <c r="B125" s="61"/>
      <c r="C125" s="127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131"/>
      <c r="S125" s="61"/>
      <c r="T125" s="61"/>
      <c r="U125" s="61"/>
      <c r="V125" s="61"/>
      <c r="W125" s="61"/>
      <c r="X125" s="61"/>
      <c r="Y125" s="61"/>
      <c r="Z125" s="131"/>
      <c r="AA125" s="61"/>
      <c r="AB125" s="61"/>
      <c r="AC125" s="61"/>
      <c r="AD125" s="61"/>
      <c r="AE125" s="61"/>
      <c r="AF125" s="61"/>
      <c r="AG125" s="61"/>
    </row>
    <row r="126" s="8" customFormat="1" hidden="1" customHeight="1" spans="1:33">
      <c r="A126" s="61"/>
      <c r="B126" s="61"/>
      <c r="C126" s="127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131"/>
      <c r="S126" s="61"/>
      <c r="T126" s="61"/>
      <c r="U126" s="61"/>
      <c r="V126" s="61"/>
      <c r="W126" s="61"/>
      <c r="X126" s="61"/>
      <c r="Y126" s="61"/>
      <c r="Z126" s="131"/>
      <c r="AA126" s="61"/>
      <c r="AB126" s="61"/>
      <c r="AC126" s="61"/>
      <c r="AD126" s="61"/>
      <c r="AE126" s="61"/>
      <c r="AF126" s="61"/>
      <c r="AG126" s="61"/>
    </row>
    <row r="127" s="8" customFormat="1" hidden="1" customHeight="1" spans="1:33">
      <c r="A127" s="61"/>
      <c r="B127" s="61"/>
      <c r="C127" s="127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131"/>
      <c r="S127" s="61"/>
      <c r="T127" s="61"/>
      <c r="U127" s="61"/>
      <c r="V127" s="61"/>
      <c r="W127" s="61"/>
      <c r="X127" s="61"/>
      <c r="Y127" s="61"/>
      <c r="Z127" s="131"/>
      <c r="AA127" s="61"/>
      <c r="AB127" s="61"/>
      <c r="AC127" s="61"/>
      <c r="AD127" s="61"/>
      <c r="AE127" s="61"/>
      <c r="AF127" s="61"/>
      <c r="AG127" s="61"/>
    </row>
    <row r="128" s="8" customFormat="1" hidden="1" customHeight="1" spans="1:33">
      <c r="A128" s="61"/>
      <c r="B128" s="61"/>
      <c r="C128" s="127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131"/>
      <c r="S128" s="61"/>
      <c r="T128" s="61"/>
      <c r="U128" s="61"/>
      <c r="V128" s="61"/>
      <c r="W128" s="61"/>
      <c r="X128" s="61"/>
      <c r="Y128" s="61"/>
      <c r="Z128" s="131"/>
      <c r="AA128" s="61"/>
      <c r="AB128" s="61"/>
      <c r="AC128" s="61"/>
      <c r="AD128" s="61"/>
      <c r="AE128" s="61"/>
      <c r="AF128" s="61"/>
      <c r="AG128" s="61"/>
    </row>
    <row r="129" s="8" customFormat="1" hidden="1" customHeight="1" spans="1:33">
      <c r="A129" s="61"/>
      <c r="B129" s="61"/>
      <c r="C129" s="127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131"/>
      <c r="S129" s="61"/>
      <c r="T129" s="61"/>
      <c r="U129" s="61"/>
      <c r="V129" s="61"/>
      <c r="W129" s="61"/>
      <c r="X129" s="61"/>
      <c r="Y129" s="61"/>
      <c r="Z129" s="131"/>
      <c r="AA129" s="61"/>
      <c r="AB129" s="61"/>
      <c r="AC129" s="61"/>
      <c r="AD129" s="61"/>
      <c r="AE129" s="61"/>
      <c r="AF129" s="61"/>
      <c r="AG129" s="61"/>
    </row>
    <row r="130" s="8" customFormat="1" hidden="1" customHeight="1" spans="1:33">
      <c r="A130" s="61"/>
      <c r="B130" s="61"/>
      <c r="C130" s="127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131"/>
      <c r="S130" s="61"/>
      <c r="T130" s="61"/>
      <c r="U130" s="61"/>
      <c r="V130" s="61"/>
      <c r="W130" s="61"/>
      <c r="X130" s="61"/>
      <c r="Y130" s="61"/>
      <c r="Z130" s="131"/>
      <c r="AA130" s="61"/>
      <c r="AB130" s="61"/>
      <c r="AC130" s="61"/>
      <c r="AD130" s="61"/>
      <c r="AE130" s="61"/>
      <c r="AF130" s="61"/>
      <c r="AG130" s="61"/>
    </row>
    <row r="131" s="8" customFormat="1" hidden="1" customHeight="1" spans="1:33">
      <c r="A131" s="61"/>
      <c r="B131" s="61"/>
      <c r="C131" s="127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131"/>
      <c r="S131" s="61"/>
      <c r="T131" s="61"/>
      <c r="U131" s="61"/>
      <c r="V131" s="61"/>
      <c r="W131" s="61"/>
      <c r="X131" s="61"/>
      <c r="Y131" s="61"/>
      <c r="Z131" s="131"/>
      <c r="AA131" s="61"/>
      <c r="AB131" s="61"/>
      <c r="AC131" s="61"/>
      <c r="AD131" s="61"/>
      <c r="AE131" s="61"/>
      <c r="AF131" s="61"/>
      <c r="AG131" s="61"/>
    </row>
    <row r="132" s="8" customFormat="1" hidden="1" customHeight="1" spans="1:33">
      <c r="A132" s="61"/>
      <c r="B132" s="61"/>
      <c r="C132" s="127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131"/>
      <c r="S132" s="61"/>
      <c r="T132" s="61"/>
      <c r="U132" s="61"/>
      <c r="V132" s="61"/>
      <c r="W132" s="61"/>
      <c r="X132" s="61"/>
      <c r="Y132" s="61"/>
      <c r="Z132" s="131"/>
      <c r="AA132" s="61"/>
      <c r="AB132" s="61"/>
      <c r="AC132" s="61"/>
      <c r="AD132" s="61"/>
      <c r="AE132" s="61"/>
      <c r="AF132" s="61"/>
      <c r="AG132" s="61"/>
    </row>
    <row r="133" s="8" customFormat="1" hidden="1" customHeight="1" spans="1:33">
      <c r="A133" s="61"/>
      <c r="B133" s="61"/>
      <c r="C133" s="127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131"/>
      <c r="S133" s="61"/>
      <c r="T133" s="61"/>
      <c r="U133" s="61"/>
      <c r="V133" s="61"/>
      <c r="W133" s="61"/>
      <c r="X133" s="61"/>
      <c r="Y133" s="61"/>
      <c r="Z133" s="131"/>
      <c r="AA133" s="61"/>
      <c r="AB133" s="61"/>
      <c r="AC133" s="61"/>
      <c r="AD133" s="61"/>
      <c r="AE133" s="61"/>
      <c r="AF133" s="61"/>
      <c r="AG133" s="61"/>
    </row>
    <row r="134" s="8" customFormat="1" hidden="1" customHeight="1" spans="1:33">
      <c r="A134" s="61"/>
      <c r="B134" s="61"/>
      <c r="C134" s="127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131"/>
      <c r="S134" s="61"/>
      <c r="T134" s="61"/>
      <c r="U134" s="61"/>
      <c r="V134" s="61"/>
      <c r="W134" s="61"/>
      <c r="X134" s="61"/>
      <c r="Y134" s="61"/>
      <c r="Z134" s="131"/>
      <c r="AA134" s="61"/>
      <c r="AB134" s="61"/>
      <c r="AC134" s="61"/>
      <c r="AD134" s="61"/>
      <c r="AE134" s="61"/>
      <c r="AF134" s="61"/>
      <c r="AG134" s="61"/>
    </row>
    <row r="135" s="8" customFormat="1" hidden="1" customHeight="1" spans="1:33">
      <c r="A135" s="61"/>
      <c r="B135" s="61"/>
      <c r="C135" s="127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131"/>
      <c r="S135" s="61"/>
      <c r="T135" s="61"/>
      <c r="U135" s="61"/>
      <c r="V135" s="61"/>
      <c r="W135" s="61"/>
      <c r="X135" s="61"/>
      <c r="Y135" s="61"/>
      <c r="Z135" s="131"/>
      <c r="AA135" s="61"/>
      <c r="AB135" s="61"/>
      <c r="AC135" s="61"/>
      <c r="AD135" s="61"/>
      <c r="AE135" s="61"/>
      <c r="AF135" s="61"/>
      <c r="AG135" s="61"/>
    </row>
    <row r="136" s="8" customFormat="1" hidden="1" customHeight="1" spans="1:33">
      <c r="A136" s="61"/>
      <c r="B136" s="61"/>
      <c r="C136" s="127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131"/>
      <c r="S136" s="61"/>
      <c r="T136" s="61"/>
      <c r="U136" s="61"/>
      <c r="V136" s="61"/>
      <c r="W136" s="61"/>
      <c r="X136" s="61"/>
      <c r="Y136" s="61"/>
      <c r="Z136" s="131"/>
      <c r="AA136" s="61"/>
      <c r="AB136" s="61"/>
      <c r="AC136" s="61"/>
      <c r="AD136" s="61"/>
      <c r="AE136" s="61"/>
      <c r="AF136" s="61"/>
      <c r="AG136" s="61"/>
    </row>
    <row r="137" s="8" customFormat="1" hidden="1" customHeight="1" spans="1:33">
      <c r="A137" s="61"/>
      <c r="B137" s="61"/>
      <c r="C137" s="127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131"/>
      <c r="S137" s="61"/>
      <c r="T137" s="61"/>
      <c r="U137" s="61"/>
      <c r="V137" s="61"/>
      <c r="W137" s="61"/>
      <c r="X137" s="61"/>
      <c r="Y137" s="61"/>
      <c r="Z137" s="131"/>
      <c r="AA137" s="61"/>
      <c r="AB137" s="61"/>
      <c r="AC137" s="61"/>
      <c r="AD137" s="61"/>
      <c r="AE137" s="61"/>
      <c r="AF137" s="61"/>
      <c r="AG137" s="61"/>
    </row>
    <row r="138" s="8" customFormat="1" hidden="1" customHeight="1" spans="1:33">
      <c r="A138" s="61"/>
      <c r="B138" s="61"/>
      <c r="C138" s="127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131"/>
      <c r="S138" s="61"/>
      <c r="T138" s="61"/>
      <c r="U138" s="61"/>
      <c r="V138" s="61"/>
      <c r="W138" s="61"/>
      <c r="X138" s="61"/>
      <c r="Y138" s="61"/>
      <c r="Z138" s="131"/>
      <c r="AA138" s="61"/>
      <c r="AB138" s="61"/>
      <c r="AC138" s="61"/>
      <c r="AD138" s="61"/>
      <c r="AE138" s="61"/>
      <c r="AF138" s="61"/>
      <c r="AG138" s="61"/>
    </row>
    <row r="139" s="8" customFormat="1" hidden="1" customHeight="1" spans="1:33">
      <c r="A139" s="61"/>
      <c r="B139" s="61"/>
      <c r="C139" s="127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131"/>
      <c r="S139" s="61"/>
      <c r="T139" s="61"/>
      <c r="U139" s="61"/>
      <c r="V139" s="61"/>
      <c r="W139" s="61"/>
      <c r="X139" s="61"/>
      <c r="Y139" s="61"/>
      <c r="Z139" s="131"/>
      <c r="AA139" s="61"/>
      <c r="AB139" s="61"/>
      <c r="AC139" s="61"/>
      <c r="AD139" s="61"/>
      <c r="AE139" s="61"/>
      <c r="AF139" s="61"/>
      <c r="AG139" s="61"/>
    </row>
    <row r="140" s="8" customFormat="1" hidden="1" customHeight="1" spans="1:33">
      <c r="A140" s="61"/>
      <c r="B140" s="61"/>
      <c r="C140" s="127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131"/>
      <c r="S140" s="61"/>
      <c r="T140" s="61"/>
      <c r="U140" s="61"/>
      <c r="V140" s="61"/>
      <c r="W140" s="61"/>
      <c r="X140" s="61"/>
      <c r="Y140" s="61"/>
      <c r="Z140" s="131"/>
      <c r="AA140" s="61"/>
      <c r="AB140" s="61"/>
      <c r="AC140" s="61"/>
      <c r="AD140" s="61"/>
      <c r="AE140" s="61"/>
      <c r="AF140" s="61"/>
      <c r="AG140" s="61"/>
    </row>
    <row r="141" s="8" customFormat="1" hidden="1" customHeight="1" spans="1:33">
      <c r="A141" s="61"/>
      <c r="B141" s="61"/>
      <c r="C141" s="127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131"/>
      <c r="S141" s="61"/>
      <c r="T141" s="61"/>
      <c r="U141" s="61"/>
      <c r="V141" s="61"/>
      <c r="W141" s="61"/>
      <c r="X141" s="61"/>
      <c r="Y141" s="61"/>
      <c r="Z141" s="131"/>
      <c r="AA141" s="61"/>
      <c r="AB141" s="61"/>
      <c r="AC141" s="61"/>
      <c r="AD141" s="61"/>
      <c r="AE141" s="61"/>
      <c r="AF141" s="61"/>
      <c r="AG141" s="61"/>
    </row>
    <row r="142" s="8" customFormat="1" hidden="1" customHeight="1" spans="1:33">
      <c r="A142" s="61"/>
      <c r="B142" s="61"/>
      <c r="C142" s="127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131"/>
      <c r="S142" s="61"/>
      <c r="T142" s="61"/>
      <c r="U142" s="61"/>
      <c r="V142" s="61"/>
      <c r="W142" s="61"/>
      <c r="X142" s="61"/>
      <c r="Y142" s="61"/>
      <c r="Z142" s="131"/>
      <c r="AA142" s="61"/>
      <c r="AB142" s="61"/>
      <c r="AC142" s="61"/>
      <c r="AD142" s="61"/>
      <c r="AE142" s="61"/>
      <c r="AF142" s="61"/>
      <c r="AG142" s="61"/>
    </row>
    <row r="143" s="8" customFormat="1" hidden="1" customHeight="1" spans="1:33">
      <c r="A143" s="61"/>
      <c r="B143" s="61"/>
      <c r="C143" s="127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131"/>
      <c r="S143" s="61"/>
      <c r="T143" s="61"/>
      <c r="U143" s="61"/>
      <c r="V143" s="61"/>
      <c r="W143" s="61"/>
      <c r="X143" s="61"/>
      <c r="Y143" s="61"/>
      <c r="Z143" s="131"/>
      <c r="AA143" s="61"/>
      <c r="AB143" s="61"/>
      <c r="AC143" s="61"/>
      <c r="AD143" s="61"/>
      <c r="AE143" s="61"/>
      <c r="AF143" s="61"/>
      <c r="AG143" s="61"/>
    </row>
    <row r="144" s="8" customFormat="1" hidden="1" customHeight="1" spans="1:33">
      <c r="A144" s="61"/>
      <c r="B144" s="61"/>
      <c r="C144" s="127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131"/>
      <c r="S144" s="61"/>
      <c r="T144" s="61"/>
      <c r="U144" s="61"/>
      <c r="V144" s="61"/>
      <c r="W144" s="61"/>
      <c r="X144" s="61"/>
      <c r="Y144" s="61"/>
      <c r="Z144" s="131"/>
      <c r="AA144" s="61"/>
      <c r="AB144" s="61"/>
      <c r="AC144" s="61"/>
      <c r="AD144" s="61"/>
      <c r="AE144" s="61"/>
      <c r="AF144" s="61"/>
      <c r="AG144" s="61"/>
    </row>
    <row r="145" s="8" customFormat="1" hidden="1" customHeight="1" spans="1:33">
      <c r="A145" s="61"/>
      <c r="B145" s="61"/>
      <c r="C145" s="127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131"/>
      <c r="S145" s="61"/>
      <c r="T145" s="61"/>
      <c r="U145" s="61"/>
      <c r="V145" s="61"/>
      <c r="W145" s="61"/>
      <c r="X145" s="61"/>
      <c r="Y145" s="61"/>
      <c r="Z145" s="131"/>
      <c r="AA145" s="61"/>
      <c r="AB145" s="61"/>
      <c r="AC145" s="61"/>
      <c r="AD145" s="61"/>
      <c r="AE145" s="61"/>
      <c r="AF145" s="61"/>
      <c r="AG145" s="61"/>
    </row>
    <row r="146" s="8" customFormat="1" hidden="1" customHeight="1" spans="1:33">
      <c r="A146" s="61"/>
      <c r="B146" s="61"/>
      <c r="C146" s="127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131"/>
      <c r="S146" s="61"/>
      <c r="T146" s="61"/>
      <c r="U146" s="61"/>
      <c r="V146" s="61"/>
      <c r="W146" s="61"/>
      <c r="X146" s="61"/>
      <c r="Y146" s="61"/>
      <c r="Z146" s="131"/>
      <c r="AA146" s="61"/>
      <c r="AB146" s="61"/>
      <c r="AC146" s="61"/>
      <c r="AD146" s="61"/>
      <c r="AE146" s="61"/>
      <c r="AF146" s="61"/>
      <c r="AG146" s="61"/>
    </row>
    <row r="147" s="8" customFormat="1" hidden="1" customHeight="1" spans="1:33">
      <c r="A147" s="61"/>
      <c r="B147" s="61"/>
      <c r="C147" s="127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131"/>
      <c r="S147" s="61"/>
      <c r="T147" s="61"/>
      <c r="U147" s="61"/>
      <c r="V147" s="61"/>
      <c r="W147" s="61"/>
      <c r="X147" s="61"/>
      <c r="Y147" s="61"/>
      <c r="Z147" s="131"/>
      <c r="AA147" s="61"/>
      <c r="AB147" s="61"/>
      <c r="AC147" s="61"/>
      <c r="AD147" s="61"/>
      <c r="AE147" s="61"/>
      <c r="AF147" s="61"/>
      <c r="AG147" s="61"/>
    </row>
    <row r="148" s="8" customFormat="1" hidden="1" customHeight="1" spans="1:33">
      <c r="A148" s="61"/>
      <c r="B148" s="61"/>
      <c r="C148" s="127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131"/>
      <c r="S148" s="61"/>
      <c r="T148" s="61"/>
      <c r="U148" s="61"/>
      <c r="V148" s="61"/>
      <c r="W148" s="61"/>
      <c r="X148" s="61"/>
      <c r="Y148" s="61"/>
      <c r="Z148" s="131"/>
      <c r="AA148" s="61"/>
      <c r="AB148" s="61"/>
      <c r="AC148" s="61"/>
      <c r="AD148" s="61"/>
      <c r="AE148" s="61"/>
      <c r="AF148" s="61"/>
      <c r="AG148" s="61"/>
    </row>
    <row r="149" s="8" customFormat="1" hidden="1" customHeight="1" spans="1:33">
      <c r="A149" s="61"/>
      <c r="B149" s="61"/>
      <c r="C149" s="127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131"/>
      <c r="S149" s="61"/>
      <c r="T149" s="61"/>
      <c r="U149" s="61"/>
      <c r="V149" s="61"/>
      <c r="W149" s="61"/>
      <c r="X149" s="61"/>
      <c r="Y149" s="61"/>
      <c r="Z149" s="131"/>
      <c r="AA149" s="61"/>
      <c r="AB149" s="61"/>
      <c r="AC149" s="61"/>
      <c r="AD149" s="61"/>
      <c r="AE149" s="61"/>
      <c r="AF149" s="61"/>
      <c r="AG149" s="61"/>
    </row>
    <row r="150" s="8" customFormat="1" hidden="1" customHeight="1" spans="1:33">
      <c r="A150" s="61"/>
      <c r="B150" s="61"/>
      <c r="C150" s="127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131"/>
      <c r="S150" s="61"/>
      <c r="T150" s="61"/>
      <c r="U150" s="61"/>
      <c r="V150" s="61"/>
      <c r="W150" s="61"/>
      <c r="X150" s="61"/>
      <c r="Y150" s="61"/>
      <c r="Z150" s="131"/>
      <c r="AA150" s="61"/>
      <c r="AB150" s="61"/>
      <c r="AC150" s="61"/>
      <c r="AD150" s="61"/>
      <c r="AE150" s="61"/>
      <c r="AF150" s="61"/>
      <c r="AG150" s="61"/>
    </row>
    <row r="151" s="8" customFormat="1" hidden="1" customHeight="1" spans="1:33">
      <c r="A151" s="61"/>
      <c r="B151" s="61"/>
      <c r="C151" s="127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131"/>
      <c r="S151" s="61"/>
      <c r="T151" s="61"/>
      <c r="U151" s="61"/>
      <c r="V151" s="61"/>
      <c r="W151" s="61"/>
      <c r="X151" s="61"/>
      <c r="Y151" s="61"/>
      <c r="Z151" s="131"/>
      <c r="AA151" s="61"/>
      <c r="AB151" s="61"/>
      <c r="AC151" s="61"/>
      <c r="AD151" s="61"/>
      <c r="AE151" s="61"/>
      <c r="AF151" s="61"/>
      <c r="AG151" s="61"/>
    </row>
    <row r="152" s="8" customFormat="1" hidden="1" customHeight="1" spans="1:33">
      <c r="A152" s="61"/>
      <c r="B152" s="61"/>
      <c r="C152" s="127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131"/>
      <c r="S152" s="61"/>
      <c r="T152" s="61"/>
      <c r="U152" s="61"/>
      <c r="V152" s="61"/>
      <c r="W152" s="61"/>
      <c r="X152" s="61"/>
      <c r="Y152" s="61"/>
      <c r="Z152" s="131"/>
      <c r="AA152" s="61"/>
      <c r="AB152" s="61"/>
      <c r="AC152" s="61"/>
      <c r="AD152" s="61"/>
      <c r="AE152" s="61"/>
      <c r="AF152" s="61"/>
      <c r="AG152" s="61"/>
    </row>
    <row r="153" s="8" customFormat="1" hidden="1" customHeight="1" spans="1:33">
      <c r="A153" s="61"/>
      <c r="B153" s="61"/>
      <c r="C153" s="127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131"/>
      <c r="S153" s="61"/>
      <c r="T153" s="61"/>
      <c r="U153" s="61"/>
      <c r="V153" s="61"/>
      <c r="W153" s="61"/>
      <c r="X153" s="61"/>
      <c r="Y153" s="61"/>
      <c r="Z153" s="131"/>
      <c r="AA153" s="61"/>
      <c r="AB153" s="61"/>
      <c r="AC153" s="61"/>
      <c r="AD153" s="61"/>
      <c r="AE153" s="61"/>
      <c r="AF153" s="61"/>
      <c r="AG153" s="61"/>
    </row>
    <row r="154" s="8" customFormat="1" hidden="1" customHeight="1" spans="1:33">
      <c r="A154" s="61"/>
      <c r="B154" s="61"/>
      <c r="C154" s="127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131"/>
      <c r="S154" s="61"/>
      <c r="T154" s="61"/>
      <c r="U154" s="61"/>
      <c r="V154" s="61"/>
      <c r="W154" s="61"/>
      <c r="X154" s="61"/>
      <c r="Y154" s="61"/>
      <c r="Z154" s="131"/>
      <c r="AA154" s="61"/>
      <c r="AB154" s="61"/>
      <c r="AC154" s="61"/>
      <c r="AD154" s="61"/>
      <c r="AE154" s="61"/>
      <c r="AF154" s="61"/>
      <c r="AG154" s="61"/>
    </row>
    <row r="155" s="8" customFormat="1" hidden="1" customHeight="1" spans="1:33">
      <c r="A155" s="61"/>
      <c r="B155" s="61"/>
      <c r="C155" s="127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131"/>
      <c r="S155" s="61"/>
      <c r="T155" s="61"/>
      <c r="U155" s="61"/>
      <c r="V155" s="61"/>
      <c r="W155" s="61"/>
      <c r="X155" s="61"/>
      <c r="Y155" s="61"/>
      <c r="Z155" s="131"/>
      <c r="AA155" s="61"/>
      <c r="AB155" s="61"/>
      <c r="AC155" s="61"/>
      <c r="AD155" s="61"/>
      <c r="AE155" s="61"/>
      <c r="AF155" s="61"/>
      <c r="AG155" s="61"/>
    </row>
    <row r="156" s="8" customFormat="1" hidden="1" customHeight="1" spans="1:33">
      <c r="A156" s="61"/>
      <c r="B156" s="61"/>
      <c r="C156" s="127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131"/>
      <c r="S156" s="61"/>
      <c r="T156" s="61"/>
      <c r="U156" s="61"/>
      <c r="V156" s="61"/>
      <c r="W156" s="61"/>
      <c r="X156" s="61"/>
      <c r="Y156" s="61"/>
      <c r="Z156" s="131"/>
      <c r="AA156" s="61"/>
      <c r="AB156" s="61"/>
      <c r="AC156" s="61"/>
      <c r="AD156" s="61"/>
      <c r="AE156" s="61"/>
      <c r="AF156" s="61"/>
      <c r="AG156" s="61"/>
    </row>
    <row r="157" s="8" customFormat="1" hidden="1" customHeight="1" spans="1:33">
      <c r="A157" s="61"/>
      <c r="B157" s="61"/>
      <c r="C157" s="127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131"/>
      <c r="S157" s="61"/>
      <c r="T157" s="61"/>
      <c r="U157" s="61"/>
      <c r="V157" s="61"/>
      <c r="W157" s="61"/>
      <c r="X157" s="61"/>
      <c r="Y157" s="61"/>
      <c r="Z157" s="131"/>
      <c r="AA157" s="61"/>
      <c r="AB157" s="61"/>
      <c r="AC157" s="61"/>
      <c r="AD157" s="61"/>
      <c r="AE157" s="61"/>
      <c r="AF157" s="61"/>
      <c r="AG157" s="61"/>
    </row>
    <row r="158" s="8" customFormat="1" hidden="1" customHeight="1" spans="1:33">
      <c r="A158" s="61"/>
      <c r="B158" s="61"/>
      <c r="C158" s="127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131"/>
      <c r="S158" s="61"/>
      <c r="T158" s="61"/>
      <c r="U158" s="61"/>
      <c r="V158" s="61"/>
      <c r="W158" s="61"/>
      <c r="X158" s="61"/>
      <c r="Y158" s="61"/>
      <c r="Z158" s="131"/>
      <c r="AA158" s="61"/>
      <c r="AB158" s="61"/>
      <c r="AC158" s="61"/>
      <c r="AD158" s="61"/>
      <c r="AE158" s="61"/>
      <c r="AF158" s="61"/>
      <c r="AG158" s="61"/>
    </row>
    <row r="159" s="8" customFormat="1" hidden="1" customHeight="1" spans="1:33">
      <c r="A159" s="61"/>
      <c r="B159" s="61"/>
      <c r="C159" s="127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131"/>
      <c r="S159" s="61"/>
      <c r="T159" s="61"/>
      <c r="U159" s="61"/>
      <c r="V159" s="61"/>
      <c r="W159" s="61"/>
      <c r="X159" s="61"/>
      <c r="Y159" s="61"/>
      <c r="Z159" s="131"/>
      <c r="AA159" s="61"/>
      <c r="AB159" s="61"/>
      <c r="AC159" s="61"/>
      <c r="AD159" s="61"/>
      <c r="AE159" s="61"/>
      <c r="AF159" s="61"/>
      <c r="AG159" s="61"/>
    </row>
    <row r="160" s="8" customFormat="1" hidden="1" customHeight="1" spans="1:33">
      <c r="A160" s="61"/>
      <c r="B160" s="61"/>
      <c r="C160" s="127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131"/>
      <c r="S160" s="61"/>
      <c r="T160" s="61"/>
      <c r="U160" s="61"/>
      <c r="V160" s="61"/>
      <c r="W160" s="61"/>
      <c r="X160" s="61"/>
      <c r="Y160" s="61"/>
      <c r="Z160" s="131"/>
      <c r="AA160" s="61"/>
      <c r="AB160" s="61"/>
      <c r="AC160" s="61"/>
      <c r="AD160" s="61"/>
      <c r="AE160" s="61"/>
      <c r="AF160" s="61"/>
      <c r="AG160" s="61"/>
    </row>
    <row r="161" s="8" customFormat="1" hidden="1" customHeight="1" spans="1:33">
      <c r="A161" s="61"/>
      <c r="B161" s="61"/>
      <c r="C161" s="127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131"/>
      <c r="S161" s="61"/>
      <c r="T161" s="61"/>
      <c r="U161" s="61"/>
      <c r="V161" s="61"/>
      <c r="W161" s="61"/>
      <c r="X161" s="61"/>
      <c r="Y161" s="61"/>
      <c r="Z161" s="131"/>
      <c r="AA161" s="61"/>
      <c r="AB161" s="61"/>
      <c r="AC161" s="61"/>
      <c r="AD161" s="61"/>
      <c r="AE161" s="61"/>
      <c r="AF161" s="61"/>
      <c r="AG161" s="61"/>
    </row>
    <row r="162" s="8" customFormat="1" hidden="1" customHeight="1" spans="1:33">
      <c r="A162" s="61"/>
      <c r="B162" s="61"/>
      <c r="C162" s="127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131"/>
      <c r="S162" s="61"/>
      <c r="T162" s="61"/>
      <c r="U162" s="61"/>
      <c r="V162" s="61"/>
      <c r="W162" s="61"/>
      <c r="X162" s="61"/>
      <c r="Y162" s="61"/>
      <c r="Z162" s="131"/>
      <c r="AA162" s="61"/>
      <c r="AB162" s="61"/>
      <c r="AC162" s="61"/>
      <c r="AD162" s="61"/>
      <c r="AE162" s="61"/>
      <c r="AF162" s="61"/>
      <c r="AG162" s="61"/>
    </row>
    <row r="163" s="8" customFormat="1" hidden="1" customHeight="1" spans="1:33">
      <c r="A163" s="61"/>
      <c r="B163" s="61"/>
      <c r="C163" s="127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131"/>
      <c r="S163" s="61"/>
      <c r="T163" s="61"/>
      <c r="U163" s="61"/>
      <c r="V163" s="61"/>
      <c r="W163" s="61"/>
      <c r="X163" s="61"/>
      <c r="Y163" s="61"/>
      <c r="Z163" s="131"/>
      <c r="AA163" s="61"/>
      <c r="AB163" s="61"/>
      <c r="AC163" s="61"/>
      <c r="AD163" s="61"/>
      <c r="AE163" s="61"/>
      <c r="AF163" s="61"/>
      <c r="AG163" s="61"/>
    </row>
    <row r="164" s="8" customFormat="1" hidden="1" customHeight="1" spans="1:33">
      <c r="A164" s="61"/>
      <c r="B164" s="61"/>
      <c r="C164" s="127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131"/>
      <c r="S164" s="61"/>
      <c r="T164" s="61"/>
      <c r="U164" s="61"/>
      <c r="V164" s="61"/>
      <c r="W164" s="61"/>
      <c r="X164" s="61"/>
      <c r="Y164" s="61"/>
      <c r="Z164" s="131"/>
      <c r="AA164" s="61"/>
      <c r="AB164" s="61"/>
      <c r="AC164" s="61"/>
      <c r="AD164" s="61"/>
      <c r="AE164" s="61"/>
      <c r="AF164" s="61"/>
      <c r="AG164" s="61"/>
    </row>
    <row r="165" s="8" customFormat="1" hidden="1" customHeight="1" spans="1:33">
      <c r="A165" s="61"/>
      <c r="B165" s="61"/>
      <c r="C165" s="127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131"/>
      <c r="S165" s="61"/>
      <c r="T165" s="61"/>
      <c r="U165" s="61"/>
      <c r="V165" s="61"/>
      <c r="W165" s="61"/>
      <c r="X165" s="61"/>
      <c r="Y165" s="61"/>
      <c r="Z165" s="131"/>
      <c r="AA165" s="61"/>
      <c r="AB165" s="61"/>
      <c r="AC165" s="61"/>
      <c r="AD165" s="61"/>
      <c r="AE165" s="61"/>
      <c r="AF165" s="61"/>
      <c r="AG165" s="61"/>
    </row>
    <row r="166" s="8" customFormat="1" hidden="1" customHeight="1" spans="1:33">
      <c r="A166" s="61"/>
      <c r="B166" s="61"/>
      <c r="C166" s="127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131"/>
      <c r="S166" s="61"/>
      <c r="T166" s="61"/>
      <c r="U166" s="61"/>
      <c r="V166" s="61"/>
      <c r="W166" s="61"/>
      <c r="X166" s="61"/>
      <c r="Y166" s="61"/>
      <c r="Z166" s="131"/>
      <c r="AA166" s="61"/>
      <c r="AB166" s="61"/>
      <c r="AC166" s="61"/>
      <c r="AD166" s="61"/>
      <c r="AE166" s="61"/>
      <c r="AF166" s="61"/>
      <c r="AG166" s="61"/>
    </row>
    <row r="167" s="8" customFormat="1" hidden="1" customHeight="1" spans="1:33">
      <c r="A167" s="61"/>
      <c r="B167" s="61"/>
      <c r="C167" s="127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131"/>
      <c r="S167" s="61"/>
      <c r="T167" s="61"/>
      <c r="U167" s="61"/>
      <c r="V167" s="61"/>
      <c r="W167" s="61"/>
      <c r="X167" s="61"/>
      <c r="Y167" s="61"/>
      <c r="Z167" s="131"/>
      <c r="AA167" s="61"/>
      <c r="AB167" s="61"/>
      <c r="AC167" s="61"/>
      <c r="AD167" s="61"/>
      <c r="AE167" s="61"/>
      <c r="AF167" s="61"/>
      <c r="AG167" s="61"/>
    </row>
    <row r="168" s="8" customFormat="1" hidden="1" customHeight="1" spans="1:33">
      <c r="A168" s="61"/>
      <c r="B168" s="61"/>
      <c r="C168" s="127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131"/>
      <c r="S168" s="61"/>
      <c r="T168" s="61"/>
      <c r="U168" s="61"/>
      <c r="V168" s="61"/>
      <c r="W168" s="61"/>
      <c r="X168" s="61"/>
      <c r="Y168" s="61"/>
      <c r="Z168" s="131"/>
      <c r="AA168" s="61"/>
      <c r="AB168" s="61"/>
      <c r="AC168" s="61"/>
      <c r="AD168" s="61"/>
      <c r="AE168" s="61"/>
      <c r="AF168" s="61"/>
      <c r="AG168" s="61"/>
    </row>
    <row r="169" s="8" customFormat="1" hidden="1" customHeight="1" spans="1:33">
      <c r="A169" s="61"/>
      <c r="B169" s="61"/>
      <c r="C169" s="127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131"/>
      <c r="S169" s="61"/>
      <c r="T169" s="61"/>
      <c r="U169" s="61"/>
      <c r="V169" s="61"/>
      <c r="W169" s="61"/>
      <c r="X169" s="61"/>
      <c r="Y169" s="61"/>
      <c r="Z169" s="131"/>
      <c r="AA169" s="61"/>
      <c r="AB169" s="61"/>
      <c r="AC169" s="61"/>
      <c r="AD169" s="61"/>
      <c r="AE169" s="61"/>
      <c r="AF169" s="61"/>
      <c r="AG169" s="61"/>
    </row>
    <row r="170" s="8" customFormat="1" hidden="1" customHeight="1" spans="1:33">
      <c r="A170" s="61"/>
      <c r="B170" s="61"/>
      <c r="C170" s="127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131"/>
      <c r="S170" s="61"/>
      <c r="T170" s="61"/>
      <c r="U170" s="61"/>
      <c r="V170" s="61"/>
      <c r="W170" s="61"/>
      <c r="X170" s="61"/>
      <c r="Y170" s="61"/>
      <c r="Z170" s="131"/>
      <c r="AA170" s="61"/>
      <c r="AB170" s="61"/>
      <c r="AC170" s="61"/>
      <c r="AD170" s="61"/>
      <c r="AE170" s="61"/>
      <c r="AF170" s="61"/>
      <c r="AG170" s="61"/>
    </row>
    <row r="171" s="8" customFormat="1" hidden="1" customHeight="1" spans="1:33">
      <c r="A171" s="61"/>
      <c r="B171" s="61"/>
      <c r="C171" s="127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131"/>
      <c r="S171" s="61"/>
      <c r="T171" s="61"/>
      <c r="U171" s="61"/>
      <c r="V171" s="61"/>
      <c r="W171" s="61"/>
      <c r="X171" s="61"/>
      <c r="Y171" s="61"/>
      <c r="Z171" s="131"/>
      <c r="AA171" s="61"/>
      <c r="AB171" s="61"/>
      <c r="AC171" s="61"/>
      <c r="AD171" s="61"/>
      <c r="AE171" s="61"/>
      <c r="AF171" s="61"/>
      <c r="AG171" s="61"/>
    </row>
    <row r="172" s="8" customFormat="1" hidden="1" customHeight="1" spans="1:33">
      <c r="A172" s="61"/>
      <c r="B172" s="61"/>
      <c r="C172" s="127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131"/>
      <c r="S172" s="61"/>
      <c r="T172" s="61"/>
      <c r="U172" s="61"/>
      <c r="V172" s="61"/>
      <c r="W172" s="61"/>
      <c r="X172" s="61"/>
      <c r="Y172" s="61"/>
      <c r="Z172" s="131"/>
      <c r="AA172" s="61"/>
      <c r="AB172" s="61"/>
      <c r="AC172" s="61"/>
      <c r="AD172" s="61"/>
      <c r="AE172" s="61"/>
      <c r="AF172" s="61"/>
      <c r="AG172" s="61"/>
    </row>
    <row r="173" s="8" customFormat="1" hidden="1" customHeight="1" spans="1:33">
      <c r="A173" s="61"/>
      <c r="B173" s="61"/>
      <c r="C173" s="127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131"/>
      <c r="S173" s="61"/>
      <c r="T173" s="61"/>
      <c r="U173" s="61"/>
      <c r="V173" s="61"/>
      <c r="W173" s="61"/>
      <c r="X173" s="61"/>
      <c r="Y173" s="61"/>
      <c r="Z173" s="131"/>
      <c r="AA173" s="61"/>
      <c r="AB173" s="61"/>
      <c r="AC173" s="61"/>
      <c r="AD173" s="61"/>
      <c r="AE173" s="61"/>
      <c r="AF173" s="61"/>
      <c r="AG173" s="61"/>
    </row>
    <row r="174" s="8" customFormat="1" hidden="1" customHeight="1" spans="1:33">
      <c r="A174" s="61"/>
      <c r="B174" s="61"/>
      <c r="C174" s="127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131"/>
      <c r="S174" s="61"/>
      <c r="T174" s="61"/>
      <c r="U174" s="61"/>
      <c r="V174" s="61"/>
      <c r="W174" s="61"/>
      <c r="X174" s="61"/>
      <c r="Y174" s="61"/>
      <c r="Z174" s="131"/>
      <c r="AA174" s="61"/>
      <c r="AB174" s="61"/>
      <c r="AC174" s="61"/>
      <c r="AD174" s="61"/>
      <c r="AE174" s="61"/>
      <c r="AF174" s="61"/>
      <c r="AG174" s="61"/>
    </row>
    <row r="175" s="8" customFormat="1" hidden="1" customHeight="1" spans="1:33">
      <c r="A175" s="61"/>
      <c r="B175" s="61"/>
      <c r="C175" s="127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131"/>
      <c r="S175" s="61"/>
      <c r="T175" s="61"/>
      <c r="U175" s="61"/>
      <c r="V175" s="61"/>
      <c r="W175" s="61"/>
      <c r="X175" s="61"/>
      <c r="Y175" s="61"/>
      <c r="Z175" s="131"/>
      <c r="AA175" s="61"/>
      <c r="AB175" s="61"/>
      <c r="AC175" s="61"/>
      <c r="AD175" s="61"/>
      <c r="AE175" s="61"/>
      <c r="AF175" s="61"/>
      <c r="AG175" s="61"/>
    </row>
    <row r="176" s="8" customFormat="1" hidden="1" customHeight="1" spans="1:33">
      <c r="A176" s="61"/>
      <c r="B176" s="61"/>
      <c r="C176" s="127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131"/>
      <c r="S176" s="61"/>
      <c r="T176" s="61"/>
      <c r="U176" s="61"/>
      <c r="V176" s="61"/>
      <c r="W176" s="61"/>
      <c r="X176" s="61"/>
      <c r="Y176" s="61"/>
      <c r="Z176" s="131"/>
      <c r="AA176" s="61"/>
      <c r="AB176" s="61"/>
      <c r="AC176" s="61"/>
      <c r="AD176" s="61"/>
      <c r="AE176" s="61"/>
      <c r="AF176" s="61"/>
      <c r="AG176" s="61"/>
    </row>
    <row r="177" s="8" customFormat="1" hidden="1" customHeight="1" spans="1:33">
      <c r="A177" s="61"/>
      <c r="B177" s="61"/>
      <c r="C177" s="127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131"/>
      <c r="S177" s="61"/>
      <c r="T177" s="61"/>
      <c r="U177" s="61"/>
      <c r="V177" s="61"/>
      <c r="W177" s="61"/>
      <c r="X177" s="61"/>
      <c r="Y177" s="61"/>
      <c r="Z177" s="131"/>
      <c r="AA177" s="61"/>
      <c r="AB177" s="61"/>
      <c r="AC177" s="61"/>
      <c r="AD177" s="61"/>
      <c r="AE177" s="61"/>
      <c r="AF177" s="61"/>
      <c r="AG177" s="61"/>
    </row>
    <row r="178" s="8" customFormat="1" hidden="1" customHeight="1" spans="1:33">
      <c r="A178" s="61"/>
      <c r="B178" s="61"/>
      <c r="C178" s="127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131"/>
      <c r="S178" s="61"/>
      <c r="T178" s="61"/>
      <c r="U178" s="61"/>
      <c r="V178" s="61"/>
      <c r="W178" s="61"/>
      <c r="X178" s="61"/>
      <c r="Y178" s="61"/>
      <c r="Z178" s="131"/>
      <c r="AA178" s="61"/>
      <c r="AB178" s="61"/>
      <c r="AC178" s="61"/>
      <c r="AD178" s="61"/>
      <c r="AE178" s="61"/>
      <c r="AF178" s="61"/>
      <c r="AG178" s="61"/>
    </row>
    <row r="179" s="8" customFormat="1" hidden="1" customHeight="1" spans="1:33">
      <c r="A179" s="61"/>
      <c r="B179" s="61"/>
      <c r="C179" s="127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131"/>
      <c r="S179" s="61"/>
      <c r="T179" s="61"/>
      <c r="U179" s="61"/>
      <c r="V179" s="61"/>
      <c r="W179" s="61"/>
      <c r="X179" s="61"/>
      <c r="Y179" s="61"/>
      <c r="Z179" s="131"/>
      <c r="AA179" s="61"/>
      <c r="AB179" s="61"/>
      <c r="AC179" s="61"/>
      <c r="AD179" s="61"/>
      <c r="AE179" s="61"/>
      <c r="AF179" s="61"/>
      <c r="AG179" s="61"/>
    </row>
    <row r="180" s="8" customFormat="1" hidden="1" customHeight="1" spans="1:33">
      <c r="A180" s="61"/>
      <c r="B180" s="61"/>
      <c r="C180" s="127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131"/>
      <c r="S180" s="61"/>
      <c r="T180" s="61"/>
      <c r="U180" s="61"/>
      <c r="V180" s="61"/>
      <c r="W180" s="61"/>
      <c r="X180" s="61"/>
      <c r="Y180" s="61"/>
      <c r="Z180" s="131"/>
      <c r="AA180" s="61"/>
      <c r="AB180" s="61"/>
      <c r="AC180" s="61"/>
      <c r="AD180" s="61"/>
      <c r="AE180" s="61"/>
      <c r="AF180" s="61"/>
      <c r="AG180" s="61"/>
    </row>
    <row r="181" s="8" customFormat="1" hidden="1" customHeight="1" spans="1:33">
      <c r="A181" s="61"/>
      <c r="B181" s="61"/>
      <c r="C181" s="127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131"/>
      <c r="S181" s="61"/>
      <c r="T181" s="61"/>
      <c r="U181" s="61"/>
      <c r="V181" s="61"/>
      <c r="W181" s="61"/>
      <c r="X181" s="61"/>
      <c r="Y181" s="61"/>
      <c r="Z181" s="131"/>
      <c r="AA181" s="61"/>
      <c r="AB181" s="61"/>
      <c r="AC181" s="61"/>
      <c r="AD181" s="61"/>
      <c r="AE181" s="61"/>
      <c r="AF181" s="61"/>
      <c r="AG181" s="61"/>
    </row>
    <row r="182" s="8" customFormat="1" hidden="1" customHeight="1" spans="1:33">
      <c r="A182" s="61"/>
      <c r="B182" s="61"/>
      <c r="C182" s="127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131"/>
      <c r="S182" s="61"/>
      <c r="T182" s="61"/>
      <c r="U182" s="61"/>
      <c r="V182" s="61"/>
      <c r="W182" s="61"/>
      <c r="X182" s="61"/>
      <c r="Y182" s="61"/>
      <c r="Z182" s="131"/>
      <c r="AA182" s="61"/>
      <c r="AB182" s="61"/>
      <c r="AC182" s="61"/>
      <c r="AD182" s="61"/>
      <c r="AE182" s="61"/>
      <c r="AF182" s="61"/>
      <c r="AG182" s="61"/>
    </row>
    <row r="183" s="8" customFormat="1" hidden="1" customHeight="1" spans="1:33">
      <c r="A183" s="61"/>
      <c r="B183" s="61"/>
      <c r="C183" s="127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131"/>
      <c r="S183" s="61"/>
      <c r="T183" s="61"/>
      <c r="U183" s="61"/>
      <c r="V183" s="61"/>
      <c r="W183" s="61"/>
      <c r="X183" s="61"/>
      <c r="Y183" s="61"/>
      <c r="Z183" s="131"/>
      <c r="AA183" s="61"/>
      <c r="AB183" s="61"/>
      <c r="AC183" s="61"/>
      <c r="AD183" s="61"/>
      <c r="AE183" s="61"/>
      <c r="AF183" s="61"/>
      <c r="AG183" s="61"/>
    </row>
    <row r="184" s="8" customFormat="1" hidden="1" customHeight="1" spans="1:33">
      <c r="A184" s="61"/>
      <c r="B184" s="61"/>
      <c r="C184" s="127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131"/>
      <c r="S184" s="61"/>
      <c r="T184" s="61"/>
      <c r="U184" s="61"/>
      <c r="V184" s="61"/>
      <c r="W184" s="61"/>
      <c r="X184" s="61"/>
      <c r="Y184" s="61"/>
      <c r="Z184" s="131"/>
      <c r="AA184" s="61"/>
      <c r="AB184" s="61"/>
      <c r="AC184" s="61"/>
      <c r="AD184" s="61"/>
      <c r="AE184" s="61"/>
      <c r="AF184" s="61"/>
      <c r="AG184" s="61"/>
    </row>
    <row r="185" s="8" customFormat="1" hidden="1" customHeight="1" spans="1:33">
      <c r="A185" s="61"/>
      <c r="B185" s="61"/>
      <c r="C185" s="127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131"/>
      <c r="S185" s="61"/>
      <c r="T185" s="61"/>
      <c r="U185" s="61"/>
      <c r="V185" s="61"/>
      <c r="W185" s="61"/>
      <c r="X185" s="61"/>
      <c r="Y185" s="61"/>
      <c r="Z185" s="131"/>
      <c r="AA185" s="61"/>
      <c r="AB185" s="61"/>
      <c r="AC185" s="61"/>
      <c r="AD185" s="61"/>
      <c r="AE185" s="61"/>
      <c r="AF185" s="61"/>
      <c r="AG185" s="61"/>
    </row>
    <row r="186" s="8" customFormat="1" hidden="1" customHeight="1" spans="1:33">
      <c r="A186" s="61"/>
      <c r="B186" s="61"/>
      <c r="C186" s="127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131"/>
      <c r="S186" s="61"/>
      <c r="T186" s="61"/>
      <c r="U186" s="61"/>
      <c r="V186" s="61"/>
      <c r="W186" s="61"/>
      <c r="X186" s="61"/>
      <c r="Y186" s="61"/>
      <c r="Z186" s="131"/>
      <c r="AA186" s="61"/>
      <c r="AB186" s="61"/>
      <c r="AC186" s="61"/>
      <c r="AD186" s="61"/>
      <c r="AE186" s="61"/>
      <c r="AF186" s="61"/>
      <c r="AG186" s="61"/>
    </row>
    <row r="187" s="8" customFormat="1" hidden="1" customHeight="1" spans="1:33">
      <c r="A187" s="61"/>
      <c r="B187" s="61"/>
      <c r="C187" s="127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131"/>
      <c r="S187" s="61"/>
      <c r="T187" s="61"/>
      <c r="U187" s="61"/>
      <c r="V187" s="61"/>
      <c r="W187" s="61"/>
      <c r="X187" s="61"/>
      <c r="Y187" s="61"/>
      <c r="Z187" s="131"/>
      <c r="AA187" s="61"/>
      <c r="AB187" s="61"/>
      <c r="AC187" s="61"/>
      <c r="AD187" s="61"/>
      <c r="AE187" s="61"/>
      <c r="AF187" s="61"/>
      <c r="AG187" s="61"/>
    </row>
    <row r="188" s="8" customFormat="1" hidden="1" customHeight="1" spans="1:33">
      <c r="A188" s="61"/>
      <c r="B188" s="61"/>
      <c r="C188" s="127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131"/>
      <c r="S188" s="61"/>
      <c r="T188" s="61"/>
      <c r="U188" s="61"/>
      <c r="V188" s="61"/>
      <c r="W188" s="61"/>
      <c r="X188" s="61"/>
      <c r="Y188" s="61"/>
      <c r="Z188" s="131"/>
      <c r="AA188" s="61"/>
      <c r="AB188" s="61"/>
      <c r="AC188" s="61"/>
      <c r="AD188" s="61"/>
      <c r="AE188" s="61"/>
      <c r="AF188" s="61"/>
      <c r="AG188" s="61"/>
    </row>
    <row r="189" s="8" customFormat="1" hidden="1" customHeight="1" spans="1:33">
      <c r="A189" s="61"/>
      <c r="B189" s="61"/>
      <c r="C189" s="127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131"/>
      <c r="S189" s="61"/>
      <c r="T189" s="61"/>
      <c r="U189" s="61"/>
      <c r="V189" s="61"/>
      <c r="W189" s="61"/>
      <c r="X189" s="61"/>
      <c r="Y189" s="61"/>
      <c r="Z189" s="131"/>
      <c r="AA189" s="61"/>
      <c r="AB189" s="61"/>
      <c r="AC189" s="61"/>
      <c r="AD189" s="61"/>
      <c r="AE189" s="61"/>
      <c r="AF189" s="61"/>
      <c r="AG189" s="61"/>
    </row>
    <row r="190" s="8" customFormat="1" hidden="1" customHeight="1" spans="1:33">
      <c r="A190" s="61"/>
      <c r="B190" s="61"/>
      <c r="C190" s="127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131"/>
      <c r="S190" s="61"/>
      <c r="T190" s="61"/>
      <c r="U190" s="61"/>
      <c r="V190" s="61"/>
      <c r="W190" s="61"/>
      <c r="X190" s="61"/>
      <c r="Y190" s="61"/>
      <c r="Z190" s="131"/>
      <c r="AA190" s="61"/>
      <c r="AB190" s="61"/>
      <c r="AC190" s="61"/>
      <c r="AD190" s="61"/>
      <c r="AE190" s="61"/>
      <c r="AF190" s="61"/>
      <c r="AG190" s="61"/>
    </row>
    <row r="191" s="8" customFormat="1" hidden="1" customHeight="1" spans="1:33">
      <c r="A191" s="61"/>
      <c r="B191" s="61"/>
      <c r="C191" s="127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131"/>
      <c r="S191" s="61"/>
      <c r="T191" s="61"/>
      <c r="U191" s="61"/>
      <c r="V191" s="61"/>
      <c r="W191" s="61"/>
      <c r="X191" s="61"/>
      <c r="Y191" s="61"/>
      <c r="Z191" s="131"/>
      <c r="AA191" s="61"/>
      <c r="AB191" s="61"/>
      <c r="AC191" s="61"/>
      <c r="AD191" s="61"/>
      <c r="AE191" s="61"/>
      <c r="AF191" s="61"/>
      <c r="AG191" s="61"/>
    </row>
    <row r="192" s="8" customFormat="1" hidden="1" customHeight="1" spans="1:33">
      <c r="A192" s="61"/>
      <c r="B192" s="61"/>
      <c r="C192" s="127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131"/>
      <c r="S192" s="61"/>
      <c r="T192" s="61"/>
      <c r="U192" s="61"/>
      <c r="V192" s="61"/>
      <c r="W192" s="61"/>
      <c r="X192" s="61"/>
      <c r="Y192" s="61"/>
      <c r="Z192" s="131"/>
      <c r="AA192" s="61"/>
      <c r="AB192" s="61"/>
      <c r="AC192" s="61"/>
      <c r="AD192" s="61"/>
      <c r="AE192" s="61"/>
      <c r="AF192" s="61"/>
      <c r="AG192" s="61"/>
    </row>
    <row r="193" s="8" customFormat="1" hidden="1" customHeight="1" spans="1:33">
      <c r="A193" s="61"/>
      <c r="B193" s="61"/>
      <c r="C193" s="127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131"/>
      <c r="S193" s="61"/>
      <c r="T193" s="61"/>
      <c r="U193" s="61"/>
      <c r="V193" s="61"/>
      <c r="W193" s="61"/>
      <c r="X193" s="61"/>
      <c r="Y193" s="61"/>
      <c r="Z193" s="131"/>
      <c r="AA193" s="61"/>
      <c r="AB193" s="61"/>
      <c r="AC193" s="61"/>
      <c r="AD193" s="61"/>
      <c r="AE193" s="61"/>
      <c r="AF193" s="61"/>
      <c r="AG193" s="61"/>
    </row>
    <row r="194" s="8" customFormat="1" hidden="1" customHeight="1" spans="1:33">
      <c r="A194" s="61"/>
      <c r="B194" s="61"/>
      <c r="C194" s="127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131"/>
      <c r="S194" s="61"/>
      <c r="T194" s="61"/>
      <c r="U194" s="61"/>
      <c r="V194" s="61"/>
      <c r="W194" s="61"/>
      <c r="X194" s="61"/>
      <c r="Y194" s="61"/>
      <c r="Z194" s="131"/>
      <c r="AA194" s="61"/>
      <c r="AB194" s="61"/>
      <c r="AC194" s="61"/>
      <c r="AD194" s="61"/>
      <c r="AE194" s="61"/>
      <c r="AF194" s="61"/>
      <c r="AG194" s="61"/>
    </row>
    <row r="195" s="8" customFormat="1" hidden="1" customHeight="1" spans="1:33">
      <c r="A195" s="61"/>
      <c r="B195" s="61"/>
      <c r="C195" s="127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131"/>
      <c r="S195" s="61"/>
      <c r="T195" s="61"/>
      <c r="U195" s="61"/>
      <c r="V195" s="61"/>
      <c r="W195" s="61"/>
      <c r="X195" s="61"/>
      <c r="Y195" s="61"/>
      <c r="Z195" s="131"/>
      <c r="AA195" s="61"/>
      <c r="AB195" s="61"/>
      <c r="AC195" s="61"/>
      <c r="AD195" s="61"/>
      <c r="AE195" s="61"/>
      <c r="AF195" s="61"/>
      <c r="AG195" s="61"/>
    </row>
    <row r="196" s="8" customFormat="1" hidden="1" customHeight="1" spans="1:33">
      <c r="A196" s="61"/>
      <c r="B196" s="61"/>
      <c r="C196" s="127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131"/>
      <c r="S196" s="61"/>
      <c r="T196" s="61"/>
      <c r="U196" s="61"/>
      <c r="V196" s="61"/>
      <c r="W196" s="61"/>
      <c r="X196" s="61"/>
      <c r="Y196" s="61"/>
      <c r="Z196" s="131"/>
      <c r="AA196" s="61"/>
      <c r="AB196" s="61"/>
      <c r="AC196" s="61"/>
      <c r="AD196" s="61"/>
      <c r="AE196" s="61"/>
      <c r="AF196" s="61"/>
      <c r="AG196" s="61"/>
    </row>
    <row r="197" s="8" customFormat="1" hidden="1" customHeight="1" spans="1:33">
      <c r="A197" s="61"/>
      <c r="B197" s="61"/>
      <c r="C197" s="127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131"/>
      <c r="S197" s="61"/>
      <c r="T197" s="61"/>
      <c r="U197" s="61"/>
      <c r="V197" s="61"/>
      <c r="W197" s="61"/>
      <c r="X197" s="61"/>
      <c r="Y197" s="61"/>
      <c r="Z197" s="131"/>
      <c r="AA197" s="61"/>
      <c r="AB197" s="61"/>
      <c r="AC197" s="61"/>
      <c r="AD197" s="61"/>
      <c r="AE197" s="61"/>
      <c r="AF197" s="61"/>
      <c r="AG197" s="61"/>
    </row>
    <row r="198" s="8" customFormat="1" hidden="1" customHeight="1" spans="1:33">
      <c r="A198" s="61"/>
      <c r="B198" s="61"/>
      <c r="C198" s="127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131"/>
      <c r="S198" s="61"/>
      <c r="T198" s="61"/>
      <c r="U198" s="61"/>
      <c r="V198" s="61"/>
      <c r="W198" s="61"/>
      <c r="X198" s="61"/>
      <c r="Y198" s="61"/>
      <c r="Z198" s="131"/>
      <c r="AA198" s="61"/>
      <c r="AB198" s="61"/>
      <c r="AC198" s="61"/>
      <c r="AD198" s="61"/>
      <c r="AE198" s="61"/>
      <c r="AF198" s="61"/>
      <c r="AG198" s="61"/>
    </row>
    <row r="199" s="8" customFormat="1" hidden="1" customHeight="1" spans="1:33">
      <c r="A199" s="61"/>
      <c r="B199" s="61"/>
      <c r="C199" s="127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131"/>
      <c r="S199" s="61"/>
      <c r="T199" s="61"/>
      <c r="U199" s="61"/>
      <c r="V199" s="61"/>
      <c r="W199" s="61"/>
      <c r="X199" s="61"/>
      <c r="Y199" s="61"/>
      <c r="Z199" s="131"/>
      <c r="AA199" s="61"/>
      <c r="AB199" s="61"/>
      <c r="AC199" s="61"/>
      <c r="AD199" s="61"/>
      <c r="AE199" s="61"/>
      <c r="AF199" s="61"/>
      <c r="AG199" s="61"/>
    </row>
    <row r="200" s="8" customFormat="1" hidden="1" customHeight="1" spans="1:33">
      <c r="A200" s="61"/>
      <c r="B200" s="61"/>
      <c r="C200" s="127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131"/>
      <c r="S200" s="61"/>
      <c r="T200" s="61"/>
      <c r="U200" s="61"/>
      <c r="V200" s="61"/>
      <c r="W200" s="61"/>
      <c r="X200" s="61"/>
      <c r="Y200" s="61"/>
      <c r="Z200" s="131"/>
      <c r="AA200" s="61"/>
      <c r="AB200" s="61"/>
      <c r="AC200" s="61"/>
      <c r="AD200" s="61"/>
      <c r="AE200" s="61"/>
      <c r="AF200" s="61"/>
      <c r="AG200" s="61"/>
    </row>
    <row r="201" s="8" customFormat="1" hidden="1" customHeight="1" spans="1:33">
      <c r="A201" s="61"/>
      <c r="B201" s="61"/>
      <c r="C201" s="127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131"/>
      <c r="S201" s="61"/>
      <c r="T201" s="61"/>
      <c r="U201" s="61"/>
      <c r="V201" s="61"/>
      <c r="W201" s="61"/>
      <c r="X201" s="61"/>
      <c r="Y201" s="61"/>
      <c r="Z201" s="131"/>
      <c r="AA201" s="61"/>
      <c r="AB201" s="61"/>
      <c r="AC201" s="61"/>
      <c r="AD201" s="61"/>
      <c r="AE201" s="61"/>
      <c r="AF201" s="61"/>
      <c r="AG201" s="61"/>
    </row>
    <row r="202" s="8" customFormat="1" hidden="1" customHeight="1" spans="1:33">
      <c r="A202" s="61"/>
      <c r="B202" s="61"/>
      <c r="C202" s="127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131"/>
      <c r="S202" s="61"/>
      <c r="T202" s="61"/>
      <c r="U202" s="61"/>
      <c r="V202" s="61"/>
      <c r="W202" s="61"/>
      <c r="X202" s="61"/>
      <c r="Y202" s="61"/>
      <c r="Z202" s="131"/>
      <c r="AA202" s="61"/>
      <c r="AB202" s="61"/>
      <c r="AC202" s="61"/>
      <c r="AD202" s="61"/>
      <c r="AE202" s="61"/>
      <c r="AF202" s="61"/>
      <c r="AG202" s="61"/>
    </row>
    <row r="203" s="8" customFormat="1" hidden="1" customHeight="1" spans="1:33">
      <c r="A203" s="61"/>
      <c r="B203" s="61"/>
      <c r="C203" s="127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131"/>
      <c r="S203" s="61"/>
      <c r="T203" s="61"/>
      <c r="U203" s="61"/>
      <c r="V203" s="61"/>
      <c r="W203" s="61"/>
      <c r="X203" s="61"/>
      <c r="Y203" s="61"/>
      <c r="Z203" s="131"/>
      <c r="AA203" s="61"/>
      <c r="AB203" s="61"/>
      <c r="AC203" s="61"/>
      <c r="AD203" s="61"/>
      <c r="AE203" s="61"/>
      <c r="AF203" s="61"/>
      <c r="AG203" s="61"/>
    </row>
    <row r="204" s="8" customFormat="1" hidden="1" customHeight="1" spans="1:33">
      <c r="A204" s="61"/>
      <c r="B204" s="61"/>
      <c r="C204" s="127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131"/>
      <c r="S204" s="61"/>
      <c r="T204" s="61"/>
      <c r="U204" s="61"/>
      <c r="V204" s="61"/>
      <c r="W204" s="61"/>
      <c r="X204" s="61"/>
      <c r="Y204" s="61"/>
      <c r="Z204" s="131"/>
      <c r="AA204" s="61"/>
      <c r="AB204" s="61"/>
      <c r="AC204" s="61"/>
      <c r="AD204" s="61"/>
      <c r="AE204" s="61"/>
      <c r="AF204" s="61"/>
      <c r="AG204" s="61"/>
    </row>
    <row r="205" s="8" customFormat="1" hidden="1" customHeight="1" spans="1:33">
      <c r="A205" s="61"/>
      <c r="B205" s="61"/>
      <c r="C205" s="127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131"/>
      <c r="S205" s="61"/>
      <c r="T205" s="61"/>
      <c r="U205" s="61"/>
      <c r="V205" s="61"/>
      <c r="W205" s="61"/>
      <c r="X205" s="61"/>
      <c r="Y205" s="61"/>
      <c r="Z205" s="131"/>
      <c r="AA205" s="61"/>
      <c r="AB205" s="61"/>
      <c r="AC205" s="61"/>
      <c r="AD205" s="61"/>
      <c r="AE205" s="61"/>
      <c r="AF205" s="61"/>
      <c r="AG205" s="61"/>
    </row>
    <row r="206" s="8" customFormat="1" hidden="1" customHeight="1" spans="1:33">
      <c r="A206" s="61"/>
      <c r="B206" s="61"/>
      <c r="C206" s="127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131"/>
      <c r="S206" s="61"/>
      <c r="T206" s="61"/>
      <c r="U206" s="61"/>
      <c r="V206" s="61"/>
      <c r="W206" s="61"/>
      <c r="X206" s="61"/>
      <c r="Y206" s="61"/>
      <c r="Z206" s="131"/>
      <c r="AA206" s="61"/>
      <c r="AB206" s="61"/>
      <c r="AC206" s="61"/>
      <c r="AD206" s="61"/>
      <c r="AE206" s="61"/>
      <c r="AF206" s="61"/>
      <c r="AG206" s="61"/>
    </row>
    <row r="207" s="8" customFormat="1" hidden="1" customHeight="1" spans="1:33">
      <c r="A207" s="61"/>
      <c r="B207" s="61"/>
      <c r="C207" s="127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131"/>
      <c r="S207" s="61"/>
      <c r="T207" s="61"/>
      <c r="U207" s="61"/>
      <c r="V207" s="61"/>
      <c r="W207" s="61"/>
      <c r="X207" s="61"/>
      <c r="Y207" s="61"/>
      <c r="Z207" s="131"/>
      <c r="AA207" s="61"/>
      <c r="AB207" s="61"/>
      <c r="AC207" s="61"/>
      <c r="AD207" s="61"/>
      <c r="AE207" s="61"/>
      <c r="AF207" s="61"/>
      <c r="AG207" s="61"/>
    </row>
    <row r="208" s="8" customFormat="1" hidden="1" customHeight="1" spans="1:33">
      <c r="A208" s="61"/>
      <c r="B208" s="61"/>
      <c r="C208" s="127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131"/>
      <c r="S208" s="61"/>
      <c r="T208" s="61"/>
      <c r="U208" s="61"/>
      <c r="V208" s="61"/>
      <c r="W208" s="61"/>
      <c r="X208" s="61"/>
      <c r="Y208" s="61"/>
      <c r="Z208" s="131"/>
      <c r="AA208" s="61"/>
      <c r="AB208" s="61"/>
      <c r="AC208" s="61"/>
      <c r="AD208" s="61"/>
      <c r="AE208" s="61"/>
      <c r="AF208" s="61"/>
      <c r="AG208" s="61"/>
    </row>
    <row r="209" s="8" customFormat="1" hidden="1" customHeight="1" spans="1:33">
      <c r="A209" s="61"/>
      <c r="B209" s="61"/>
      <c r="C209" s="127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131"/>
      <c r="S209" s="61"/>
      <c r="T209" s="61"/>
      <c r="U209" s="61"/>
      <c r="V209" s="61"/>
      <c r="W209" s="61"/>
      <c r="X209" s="61"/>
      <c r="Y209" s="61"/>
      <c r="Z209" s="131"/>
      <c r="AA209" s="61"/>
      <c r="AB209" s="61"/>
      <c r="AC209" s="61"/>
      <c r="AD209" s="61"/>
      <c r="AE209" s="61"/>
      <c r="AF209" s="61"/>
      <c r="AG209" s="61"/>
    </row>
    <row r="210" s="8" customFormat="1" hidden="1" customHeight="1" spans="1:33">
      <c r="A210" s="61"/>
      <c r="B210" s="61"/>
      <c r="C210" s="127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131"/>
      <c r="S210" s="61"/>
      <c r="T210" s="61"/>
      <c r="U210" s="61"/>
      <c r="V210" s="61"/>
      <c r="W210" s="61"/>
      <c r="X210" s="61"/>
      <c r="Y210" s="61"/>
      <c r="Z210" s="131"/>
      <c r="AA210" s="61"/>
      <c r="AB210" s="61"/>
      <c r="AC210" s="61"/>
      <c r="AD210" s="61"/>
      <c r="AE210" s="61"/>
      <c r="AF210" s="61"/>
      <c r="AG210" s="61"/>
    </row>
    <row r="211" s="8" customFormat="1" hidden="1" customHeight="1" spans="1:33">
      <c r="A211" s="61"/>
      <c r="B211" s="61"/>
      <c r="C211" s="127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131"/>
      <c r="S211" s="61"/>
      <c r="T211" s="61"/>
      <c r="U211" s="61"/>
      <c r="V211" s="61"/>
      <c r="W211" s="61"/>
      <c r="X211" s="61"/>
      <c r="Y211" s="61"/>
      <c r="Z211" s="131"/>
      <c r="AA211" s="61"/>
      <c r="AB211" s="61"/>
      <c r="AC211" s="61"/>
      <c r="AD211" s="61"/>
      <c r="AE211" s="61"/>
      <c r="AF211" s="61"/>
      <c r="AG211" s="61"/>
    </row>
    <row r="212" s="22" customFormat="1" hidden="1" customHeight="1" spans="1:33">
      <c r="A212" s="141"/>
      <c r="B212" s="141"/>
      <c r="C212" s="142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5"/>
      <c r="S212" s="141"/>
      <c r="T212" s="141"/>
      <c r="U212" s="141"/>
      <c r="V212" s="141"/>
      <c r="W212" s="141"/>
      <c r="X212" s="141"/>
      <c r="Y212" s="141"/>
      <c r="Z212" s="145"/>
      <c r="AA212" s="141"/>
      <c r="AB212" s="141"/>
      <c r="AC212" s="141"/>
      <c r="AD212" s="141"/>
      <c r="AE212" s="141"/>
      <c r="AF212" s="141"/>
      <c r="AG212" s="141"/>
    </row>
    <row r="213" s="22" customFormat="1" hidden="1" customHeight="1" spans="1:33">
      <c r="A213" s="141"/>
      <c r="B213" s="141"/>
      <c r="C213" s="142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5"/>
      <c r="S213" s="141"/>
      <c r="T213" s="141"/>
      <c r="U213" s="141"/>
      <c r="V213" s="141"/>
      <c r="W213" s="141"/>
      <c r="X213" s="141"/>
      <c r="Y213" s="141"/>
      <c r="Z213" s="145"/>
      <c r="AA213" s="141"/>
      <c r="AB213" s="141"/>
      <c r="AC213" s="141"/>
      <c r="AD213" s="141"/>
      <c r="AE213" s="141"/>
      <c r="AF213" s="141"/>
      <c r="AG213" s="141"/>
    </row>
    <row r="214" s="22" customFormat="1" hidden="1" customHeight="1" spans="1:33">
      <c r="A214" s="141"/>
      <c r="B214" s="141"/>
      <c r="C214" s="142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5"/>
      <c r="S214" s="141"/>
      <c r="T214" s="141"/>
      <c r="U214" s="141"/>
      <c r="V214" s="141"/>
      <c r="W214" s="141"/>
      <c r="X214" s="141"/>
      <c r="Y214" s="141"/>
      <c r="Z214" s="145"/>
      <c r="AA214" s="141"/>
      <c r="AB214" s="141"/>
      <c r="AC214" s="141"/>
      <c r="AD214" s="141"/>
      <c r="AE214" s="141"/>
      <c r="AF214" s="141"/>
      <c r="AG214" s="141"/>
    </row>
    <row r="215" s="22" customFormat="1" hidden="1" customHeight="1" spans="1:33">
      <c r="A215" s="141"/>
      <c r="B215" s="141"/>
      <c r="C215" s="142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5"/>
      <c r="S215" s="141"/>
      <c r="T215" s="141"/>
      <c r="U215" s="141"/>
      <c r="V215" s="141"/>
      <c r="W215" s="141"/>
      <c r="X215" s="141"/>
      <c r="Y215" s="141"/>
      <c r="Z215" s="145"/>
      <c r="AA215" s="141"/>
      <c r="AB215" s="141"/>
      <c r="AC215" s="141"/>
      <c r="AD215" s="141"/>
      <c r="AE215" s="141"/>
      <c r="AF215" s="141"/>
      <c r="AG215" s="141"/>
    </row>
    <row r="216" s="22" customFormat="1" hidden="1" customHeight="1" spans="1:33">
      <c r="A216" s="141"/>
      <c r="B216" s="141"/>
      <c r="C216" s="142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5"/>
      <c r="S216" s="141"/>
      <c r="T216" s="141"/>
      <c r="U216" s="141"/>
      <c r="V216" s="141"/>
      <c r="W216" s="141"/>
      <c r="X216" s="141"/>
      <c r="Y216" s="141"/>
      <c r="Z216" s="145"/>
      <c r="AA216" s="141"/>
      <c r="AB216" s="141"/>
      <c r="AC216" s="141"/>
      <c r="AD216" s="141"/>
      <c r="AE216" s="141"/>
      <c r="AF216" s="141"/>
      <c r="AG216" s="141"/>
    </row>
    <row r="217" s="22" customFormat="1" hidden="1" customHeight="1" spans="1:33">
      <c r="A217" s="141"/>
      <c r="B217" s="141"/>
      <c r="C217" s="142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5"/>
      <c r="S217" s="141"/>
      <c r="T217" s="141"/>
      <c r="U217" s="141"/>
      <c r="V217" s="141"/>
      <c r="W217" s="141"/>
      <c r="X217" s="141"/>
      <c r="Y217" s="141"/>
      <c r="Z217" s="145"/>
      <c r="AA217" s="141"/>
      <c r="AB217" s="141"/>
      <c r="AC217" s="141"/>
      <c r="AD217" s="141"/>
      <c r="AE217" s="141"/>
      <c r="AF217" s="141"/>
      <c r="AG217" s="141"/>
    </row>
    <row r="218" s="22" customFormat="1" hidden="1" customHeight="1" spans="1:33">
      <c r="A218" s="141"/>
      <c r="B218" s="141"/>
      <c r="C218" s="142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5"/>
      <c r="S218" s="141"/>
      <c r="T218" s="141"/>
      <c r="U218" s="141"/>
      <c r="V218" s="141"/>
      <c r="W218" s="141"/>
      <c r="X218" s="141"/>
      <c r="Y218" s="141"/>
      <c r="Z218" s="145"/>
      <c r="AA218" s="141"/>
      <c r="AB218" s="141"/>
      <c r="AC218" s="141"/>
      <c r="AD218" s="141"/>
      <c r="AE218" s="141"/>
      <c r="AF218" s="141"/>
      <c r="AG218" s="141"/>
    </row>
    <row r="219" s="22" customFormat="1" hidden="1" customHeight="1" spans="1:33">
      <c r="A219" s="141"/>
      <c r="B219" s="141"/>
      <c r="C219" s="142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5"/>
      <c r="S219" s="141"/>
      <c r="T219" s="141"/>
      <c r="U219" s="141"/>
      <c r="V219" s="141"/>
      <c r="W219" s="141"/>
      <c r="X219" s="141"/>
      <c r="Y219" s="141"/>
      <c r="Z219" s="145"/>
      <c r="AA219" s="141"/>
      <c r="AB219" s="141"/>
      <c r="AC219" s="141"/>
      <c r="AD219" s="141"/>
      <c r="AE219" s="141"/>
      <c r="AF219" s="141"/>
      <c r="AG219" s="141"/>
    </row>
    <row r="220" s="22" customFormat="1" hidden="1" customHeight="1" spans="1:33">
      <c r="A220" s="141"/>
      <c r="B220" s="141"/>
      <c r="C220" s="142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5"/>
      <c r="S220" s="141"/>
      <c r="T220" s="141"/>
      <c r="U220" s="141"/>
      <c r="V220" s="141"/>
      <c r="W220" s="141"/>
      <c r="X220" s="141"/>
      <c r="Y220" s="141"/>
      <c r="Z220" s="145"/>
      <c r="AA220" s="141"/>
      <c r="AB220" s="141"/>
      <c r="AC220" s="141"/>
      <c r="AD220" s="141"/>
      <c r="AE220" s="141"/>
      <c r="AF220" s="141"/>
      <c r="AG220" s="141"/>
    </row>
    <row r="221" s="22" customFormat="1" hidden="1" customHeight="1" spans="1:33">
      <c r="A221" s="141"/>
      <c r="B221" s="141"/>
      <c r="C221" s="142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5"/>
      <c r="S221" s="141"/>
      <c r="T221" s="141"/>
      <c r="U221" s="141"/>
      <c r="V221" s="141"/>
      <c r="W221" s="141"/>
      <c r="X221" s="141"/>
      <c r="Y221" s="141"/>
      <c r="Z221" s="145"/>
      <c r="AA221" s="141"/>
      <c r="AB221" s="141"/>
      <c r="AC221" s="141"/>
      <c r="AD221" s="141"/>
      <c r="AE221" s="141"/>
      <c r="AF221" s="141"/>
      <c r="AG221" s="141"/>
    </row>
    <row r="222" s="22" customFormat="1" hidden="1" customHeight="1" spans="1:33">
      <c r="A222" s="141"/>
      <c r="B222" s="141"/>
      <c r="C222" s="142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5"/>
      <c r="S222" s="141"/>
      <c r="T222" s="141"/>
      <c r="U222" s="141"/>
      <c r="V222" s="141"/>
      <c r="W222" s="141"/>
      <c r="X222" s="141"/>
      <c r="Y222" s="141"/>
      <c r="Z222" s="145"/>
      <c r="AA222" s="141"/>
      <c r="AB222" s="141"/>
      <c r="AC222" s="141"/>
      <c r="AD222" s="141"/>
      <c r="AE222" s="141"/>
      <c r="AF222" s="141"/>
      <c r="AG222" s="141"/>
    </row>
    <row r="223" s="22" customFormat="1" hidden="1" customHeight="1" spans="1:33">
      <c r="A223" s="141"/>
      <c r="B223" s="141"/>
      <c r="C223" s="142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5"/>
      <c r="S223" s="141"/>
      <c r="T223" s="141"/>
      <c r="U223" s="141"/>
      <c r="V223" s="141"/>
      <c r="W223" s="141"/>
      <c r="X223" s="141"/>
      <c r="Y223" s="141"/>
      <c r="Z223" s="145"/>
      <c r="AA223" s="141"/>
      <c r="AB223" s="141"/>
      <c r="AC223" s="141"/>
      <c r="AD223" s="141"/>
      <c r="AE223" s="141"/>
      <c r="AF223" s="141"/>
      <c r="AG223" s="141"/>
    </row>
    <row r="224" s="22" customFormat="1" hidden="1" customHeight="1" spans="1:33">
      <c r="A224" s="141"/>
      <c r="B224" s="141"/>
      <c r="C224" s="142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5"/>
      <c r="S224" s="141"/>
      <c r="T224" s="141"/>
      <c r="U224" s="141"/>
      <c r="V224" s="141"/>
      <c r="W224" s="141"/>
      <c r="X224" s="141"/>
      <c r="Y224" s="141"/>
      <c r="Z224" s="145"/>
      <c r="AA224" s="141"/>
      <c r="AB224" s="141"/>
      <c r="AC224" s="141"/>
      <c r="AD224" s="141"/>
      <c r="AE224" s="141"/>
      <c r="AF224" s="141"/>
      <c r="AG224" s="141"/>
    </row>
    <row r="225" s="22" customFormat="1" hidden="1" customHeight="1" spans="1:33">
      <c r="A225" s="141"/>
      <c r="B225" s="141"/>
      <c r="C225" s="142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5"/>
      <c r="S225" s="141"/>
      <c r="T225" s="141"/>
      <c r="U225" s="141"/>
      <c r="V225" s="141"/>
      <c r="W225" s="141"/>
      <c r="X225" s="141"/>
      <c r="Y225" s="141"/>
      <c r="Z225" s="145"/>
      <c r="AA225" s="141"/>
      <c r="AB225" s="141"/>
      <c r="AC225" s="141"/>
      <c r="AD225" s="141"/>
      <c r="AE225" s="141"/>
      <c r="AF225" s="141"/>
      <c r="AG225" s="141"/>
    </row>
    <row r="226" s="22" customFormat="1" hidden="1" customHeight="1" spans="1:33">
      <c r="A226" s="141"/>
      <c r="B226" s="141"/>
      <c r="C226" s="142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5"/>
      <c r="S226" s="141"/>
      <c r="T226" s="141"/>
      <c r="U226" s="141"/>
      <c r="V226" s="141"/>
      <c r="W226" s="141"/>
      <c r="X226" s="141"/>
      <c r="Y226" s="141"/>
      <c r="Z226" s="145"/>
      <c r="AA226" s="141"/>
      <c r="AB226" s="141"/>
      <c r="AC226" s="141"/>
      <c r="AD226" s="141"/>
      <c r="AE226" s="141"/>
      <c r="AF226" s="141"/>
      <c r="AG226" s="141"/>
    </row>
    <row r="227" s="22" customFormat="1" hidden="1" customHeight="1" spans="1:33">
      <c r="A227" s="141"/>
      <c r="B227" s="141"/>
      <c r="C227" s="142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5"/>
      <c r="S227" s="141"/>
      <c r="T227" s="141"/>
      <c r="U227" s="141"/>
      <c r="V227" s="141"/>
      <c r="W227" s="141"/>
      <c r="X227" s="141"/>
      <c r="Y227" s="141"/>
      <c r="Z227" s="145"/>
      <c r="AA227" s="141"/>
      <c r="AB227" s="141"/>
      <c r="AC227" s="141"/>
      <c r="AD227" s="141"/>
      <c r="AE227" s="141"/>
      <c r="AF227" s="141"/>
      <c r="AG227" s="141"/>
    </row>
    <row r="228" s="22" customFormat="1" hidden="1" customHeight="1" spans="1:33">
      <c r="A228" s="141"/>
      <c r="B228" s="141"/>
      <c r="C228" s="142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5"/>
      <c r="S228" s="141"/>
      <c r="T228" s="141"/>
      <c r="U228" s="141"/>
      <c r="V228" s="141"/>
      <c r="W228" s="141"/>
      <c r="X228" s="141"/>
      <c r="Y228" s="141"/>
      <c r="Z228" s="145"/>
      <c r="AA228" s="141"/>
      <c r="AB228" s="141"/>
      <c r="AC228" s="141"/>
      <c r="AD228" s="141"/>
      <c r="AE228" s="141"/>
      <c r="AF228" s="141"/>
      <c r="AG228" s="141"/>
    </row>
    <row r="229" s="22" customFormat="1" hidden="1" customHeight="1" spans="1:33">
      <c r="A229" s="141"/>
      <c r="B229" s="141"/>
      <c r="C229" s="142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5"/>
      <c r="S229" s="141"/>
      <c r="T229" s="141"/>
      <c r="U229" s="141"/>
      <c r="V229" s="141"/>
      <c r="W229" s="141"/>
      <c r="X229" s="141"/>
      <c r="Y229" s="141"/>
      <c r="Z229" s="145"/>
      <c r="AA229" s="141"/>
      <c r="AB229" s="141"/>
      <c r="AC229" s="141"/>
      <c r="AD229" s="141"/>
      <c r="AE229" s="141"/>
      <c r="AF229" s="141"/>
      <c r="AG229" s="141"/>
    </row>
    <row r="230" s="22" customFormat="1" hidden="1" customHeight="1" spans="1:33">
      <c r="A230" s="141"/>
      <c r="B230" s="141"/>
      <c r="C230" s="142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5"/>
      <c r="S230" s="141"/>
      <c r="T230" s="141"/>
      <c r="U230" s="141"/>
      <c r="V230" s="141"/>
      <c r="W230" s="141"/>
      <c r="X230" s="141"/>
      <c r="Y230" s="141"/>
      <c r="Z230" s="145"/>
      <c r="AA230" s="141"/>
      <c r="AB230" s="141"/>
      <c r="AC230" s="141"/>
      <c r="AD230" s="141"/>
      <c r="AE230" s="141"/>
      <c r="AF230" s="141"/>
      <c r="AG230" s="141"/>
    </row>
    <row r="231" s="22" customFormat="1" hidden="1" customHeight="1" spans="1:33">
      <c r="A231" s="141"/>
      <c r="B231" s="141"/>
      <c r="C231" s="142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5"/>
      <c r="S231" s="141"/>
      <c r="T231" s="141"/>
      <c r="U231" s="141"/>
      <c r="V231" s="141"/>
      <c r="W231" s="141"/>
      <c r="X231" s="141"/>
      <c r="Y231" s="141"/>
      <c r="Z231" s="145"/>
      <c r="AA231" s="141"/>
      <c r="AB231" s="141"/>
      <c r="AC231" s="141"/>
      <c r="AD231" s="141"/>
      <c r="AE231" s="141"/>
      <c r="AF231" s="141"/>
      <c r="AG231" s="141"/>
    </row>
    <row r="232" s="22" customFormat="1" hidden="1" customHeight="1" spans="1:33">
      <c r="A232" s="141"/>
      <c r="B232" s="141"/>
      <c r="C232" s="142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5"/>
      <c r="S232" s="141"/>
      <c r="T232" s="141"/>
      <c r="U232" s="141"/>
      <c r="V232" s="141"/>
      <c r="W232" s="141"/>
      <c r="X232" s="141"/>
      <c r="Y232" s="141"/>
      <c r="Z232" s="145"/>
      <c r="AA232" s="141"/>
      <c r="AB232" s="141"/>
      <c r="AC232" s="141"/>
      <c r="AD232" s="141"/>
      <c r="AE232" s="141"/>
      <c r="AF232" s="141"/>
      <c r="AG232" s="141"/>
    </row>
    <row r="233" s="22" customFormat="1" hidden="1" customHeight="1" spans="1:33">
      <c r="A233" s="141"/>
      <c r="B233" s="141"/>
      <c r="C233" s="142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5"/>
      <c r="S233" s="141"/>
      <c r="T233" s="141"/>
      <c r="U233" s="141"/>
      <c r="V233" s="141"/>
      <c r="W233" s="141"/>
      <c r="X233" s="141"/>
      <c r="Y233" s="141"/>
      <c r="Z233" s="145"/>
      <c r="AA233" s="141"/>
      <c r="AB233" s="141"/>
      <c r="AC233" s="141"/>
      <c r="AD233" s="141"/>
      <c r="AE233" s="141"/>
      <c r="AF233" s="141"/>
      <c r="AG233" s="141"/>
    </row>
    <row r="234" s="22" customFormat="1" hidden="1" customHeight="1" spans="1:33">
      <c r="A234" s="141"/>
      <c r="B234" s="141"/>
      <c r="C234" s="142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5"/>
      <c r="S234" s="141"/>
      <c r="T234" s="141"/>
      <c r="U234" s="141"/>
      <c r="V234" s="141"/>
      <c r="W234" s="141"/>
      <c r="X234" s="141"/>
      <c r="Y234" s="141"/>
      <c r="Z234" s="145"/>
      <c r="AA234" s="141"/>
      <c r="AB234" s="141"/>
      <c r="AC234" s="141"/>
      <c r="AD234" s="141"/>
      <c r="AE234" s="141"/>
      <c r="AF234" s="141"/>
      <c r="AG234" s="141"/>
    </row>
    <row r="235" s="22" customFormat="1" hidden="1" customHeight="1" spans="1:33">
      <c r="A235" s="141"/>
      <c r="B235" s="141"/>
      <c r="C235" s="142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5"/>
      <c r="S235" s="141"/>
      <c r="T235" s="141"/>
      <c r="U235" s="141"/>
      <c r="V235" s="141"/>
      <c r="W235" s="141"/>
      <c r="X235" s="141"/>
      <c r="Y235" s="141"/>
      <c r="Z235" s="145"/>
      <c r="AA235" s="141"/>
      <c r="AB235" s="141"/>
      <c r="AC235" s="141"/>
      <c r="AD235" s="141"/>
      <c r="AE235" s="141"/>
      <c r="AF235" s="141"/>
      <c r="AG235" s="141"/>
    </row>
    <row r="236" s="22" customFormat="1" hidden="1" customHeight="1" spans="1:33">
      <c r="A236" s="141"/>
      <c r="B236" s="141"/>
      <c r="C236" s="142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5"/>
      <c r="S236" s="141"/>
      <c r="T236" s="141"/>
      <c r="U236" s="141"/>
      <c r="V236" s="141"/>
      <c r="W236" s="141"/>
      <c r="X236" s="141"/>
      <c r="Y236" s="141"/>
      <c r="Z236" s="145"/>
      <c r="AA236" s="141"/>
      <c r="AB236" s="141"/>
      <c r="AC236" s="141"/>
      <c r="AD236" s="141"/>
      <c r="AE236" s="141"/>
      <c r="AF236" s="141"/>
      <c r="AG236" s="141"/>
    </row>
    <row r="237" s="22" customFormat="1" hidden="1" customHeight="1" spans="1:33">
      <c r="A237" s="141"/>
      <c r="B237" s="141"/>
      <c r="C237" s="142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5"/>
      <c r="S237" s="141"/>
      <c r="T237" s="141"/>
      <c r="U237" s="141"/>
      <c r="V237" s="141"/>
      <c r="W237" s="141"/>
      <c r="X237" s="141"/>
      <c r="Y237" s="141"/>
      <c r="Z237" s="145"/>
      <c r="AA237" s="141"/>
      <c r="AB237" s="141"/>
      <c r="AC237" s="141"/>
      <c r="AD237" s="141"/>
      <c r="AE237" s="141"/>
      <c r="AF237" s="141"/>
      <c r="AG237" s="141"/>
    </row>
    <row r="238" s="22" customFormat="1" hidden="1" customHeight="1" spans="1:33">
      <c r="A238" s="141"/>
      <c r="B238" s="141"/>
      <c r="C238" s="142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5"/>
      <c r="S238" s="141"/>
      <c r="T238" s="141"/>
      <c r="U238" s="141"/>
      <c r="V238" s="141"/>
      <c r="W238" s="141"/>
      <c r="X238" s="141"/>
      <c r="Y238" s="141"/>
      <c r="Z238" s="145"/>
      <c r="AA238" s="141"/>
      <c r="AB238" s="141"/>
      <c r="AC238" s="141"/>
      <c r="AD238" s="141"/>
      <c r="AE238" s="141"/>
      <c r="AF238" s="141"/>
      <c r="AG238" s="141"/>
    </row>
    <row r="239" s="22" customFormat="1" hidden="1" customHeight="1" spans="1:33">
      <c r="A239" s="141"/>
      <c r="B239" s="141"/>
      <c r="C239" s="142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5"/>
      <c r="S239" s="141"/>
      <c r="T239" s="141"/>
      <c r="U239" s="141"/>
      <c r="V239" s="141"/>
      <c r="W239" s="141"/>
      <c r="X239" s="141"/>
      <c r="Y239" s="141"/>
      <c r="Z239" s="145"/>
      <c r="AA239" s="141"/>
      <c r="AB239" s="141"/>
      <c r="AC239" s="141"/>
      <c r="AD239" s="141"/>
      <c r="AE239" s="141"/>
      <c r="AF239" s="141"/>
      <c r="AG239" s="141"/>
    </row>
    <row r="240" s="22" customFormat="1" hidden="1" customHeight="1" spans="1:33">
      <c r="A240" s="141"/>
      <c r="B240" s="141"/>
      <c r="C240" s="142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5"/>
      <c r="S240" s="141"/>
      <c r="T240" s="141"/>
      <c r="U240" s="141"/>
      <c r="V240" s="141"/>
      <c r="W240" s="141"/>
      <c r="X240" s="141"/>
      <c r="Y240" s="141"/>
      <c r="Z240" s="145"/>
      <c r="AA240" s="141"/>
      <c r="AB240" s="141"/>
      <c r="AC240" s="141"/>
      <c r="AD240" s="141"/>
      <c r="AE240" s="141"/>
      <c r="AF240" s="141"/>
      <c r="AG240" s="141"/>
    </row>
    <row r="241" s="22" customFormat="1" hidden="1" customHeight="1" spans="1:33">
      <c r="A241" s="141"/>
      <c r="B241" s="141"/>
      <c r="C241" s="142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5"/>
      <c r="S241" s="141"/>
      <c r="T241" s="141"/>
      <c r="U241" s="141"/>
      <c r="V241" s="141"/>
      <c r="W241" s="141"/>
      <c r="X241" s="141"/>
      <c r="Y241" s="141"/>
      <c r="Z241" s="145"/>
      <c r="AA241" s="141"/>
      <c r="AB241" s="141"/>
      <c r="AC241" s="141"/>
      <c r="AD241" s="141"/>
      <c r="AE241" s="141"/>
      <c r="AF241" s="141"/>
      <c r="AG241" s="141"/>
    </row>
    <row r="242" s="22" customFormat="1" hidden="1" customHeight="1" spans="1:33">
      <c r="A242" s="141"/>
      <c r="B242" s="141"/>
      <c r="C242" s="142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5"/>
      <c r="S242" s="141"/>
      <c r="T242" s="141"/>
      <c r="U242" s="141"/>
      <c r="V242" s="141"/>
      <c r="W242" s="141"/>
      <c r="X242" s="141"/>
      <c r="Y242" s="141"/>
      <c r="Z242" s="145"/>
      <c r="AA242" s="141"/>
      <c r="AB242" s="141"/>
      <c r="AC242" s="141"/>
      <c r="AD242" s="141"/>
      <c r="AE242" s="141"/>
      <c r="AF242" s="141"/>
      <c r="AG242" s="141"/>
    </row>
    <row r="243" s="22" customFormat="1" hidden="1" customHeight="1" spans="1:33">
      <c r="A243" s="141"/>
      <c r="B243" s="141"/>
      <c r="C243" s="142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5"/>
      <c r="S243" s="141"/>
      <c r="T243" s="141"/>
      <c r="U243" s="141"/>
      <c r="V243" s="141"/>
      <c r="W243" s="141"/>
      <c r="X243" s="141"/>
      <c r="Y243" s="141"/>
      <c r="Z243" s="145"/>
      <c r="AA243" s="141"/>
      <c r="AB243" s="141"/>
      <c r="AC243" s="141"/>
      <c r="AD243" s="141"/>
      <c r="AE243" s="141"/>
      <c r="AF243" s="141"/>
      <c r="AG243" s="141"/>
    </row>
    <row r="244" s="22" customFormat="1" hidden="1" customHeight="1" spans="1:33">
      <c r="A244" s="141"/>
      <c r="B244" s="141"/>
      <c r="C244" s="142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5"/>
      <c r="S244" s="141"/>
      <c r="T244" s="141"/>
      <c r="U244" s="141"/>
      <c r="V244" s="141"/>
      <c r="W244" s="141"/>
      <c r="X244" s="141"/>
      <c r="Y244" s="141"/>
      <c r="Z244" s="145"/>
      <c r="AA244" s="141"/>
      <c r="AB244" s="141"/>
      <c r="AC244" s="141"/>
      <c r="AD244" s="141"/>
      <c r="AE244" s="141"/>
      <c r="AF244" s="141"/>
      <c r="AG244" s="141"/>
    </row>
    <row r="245" s="22" customFormat="1" hidden="1" customHeight="1" spans="1:33">
      <c r="A245" s="141"/>
      <c r="B245" s="141"/>
      <c r="C245" s="142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5"/>
      <c r="S245" s="141"/>
      <c r="T245" s="141"/>
      <c r="U245" s="141"/>
      <c r="V245" s="141"/>
      <c r="W245" s="141"/>
      <c r="X245" s="141"/>
      <c r="Y245" s="141"/>
      <c r="Z245" s="145"/>
      <c r="AA245" s="141"/>
      <c r="AB245" s="141"/>
      <c r="AC245" s="141"/>
      <c r="AD245" s="141"/>
      <c r="AE245" s="141"/>
      <c r="AF245" s="141"/>
      <c r="AG245" s="141"/>
    </row>
    <row r="246" s="22" customFormat="1" hidden="1" customHeight="1" spans="1:33">
      <c r="A246" s="141"/>
      <c r="B246" s="141"/>
      <c r="C246" s="142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5"/>
      <c r="S246" s="141"/>
      <c r="T246" s="141"/>
      <c r="U246" s="141"/>
      <c r="V246" s="141"/>
      <c r="W246" s="141"/>
      <c r="X246" s="141"/>
      <c r="Y246" s="141"/>
      <c r="Z246" s="145"/>
      <c r="AA246" s="141"/>
      <c r="AB246" s="141"/>
      <c r="AC246" s="141"/>
      <c r="AD246" s="141"/>
      <c r="AE246" s="141"/>
      <c r="AF246" s="141"/>
      <c r="AG246" s="141"/>
    </row>
    <row r="247" s="23" customFormat="1" hidden="1" customHeight="1" spans="1:122">
      <c r="A247" s="143"/>
      <c r="B247" s="143"/>
      <c r="C247" s="144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6"/>
      <c r="S247" s="143"/>
      <c r="T247" s="143"/>
      <c r="U247" s="143"/>
      <c r="V247" s="143"/>
      <c r="W247" s="143"/>
      <c r="X247" s="143"/>
      <c r="Y247" s="143"/>
      <c r="Z247" s="146"/>
      <c r="AA247" s="143"/>
      <c r="AB247" s="143"/>
      <c r="AC247" s="143"/>
      <c r="AD247" s="143"/>
      <c r="AE247" s="143"/>
      <c r="AF247" s="143"/>
      <c r="AG247" s="143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</row>
    <row r="248" s="23" customFormat="1" hidden="1" customHeight="1" spans="1:122">
      <c r="A248" s="143"/>
      <c r="B248" s="143"/>
      <c r="C248" s="144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6"/>
      <c r="S248" s="143"/>
      <c r="T248" s="143"/>
      <c r="U248" s="143"/>
      <c r="V248" s="143"/>
      <c r="W248" s="143"/>
      <c r="X248" s="143"/>
      <c r="Y248" s="143"/>
      <c r="Z248" s="146"/>
      <c r="AA248" s="143"/>
      <c r="AB248" s="143"/>
      <c r="AC248" s="143"/>
      <c r="AD248" s="143"/>
      <c r="AE248" s="143"/>
      <c r="AF248" s="143"/>
      <c r="AG248" s="143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</row>
    <row r="249" s="23" customFormat="1" hidden="1" customHeight="1" spans="1:122">
      <c r="A249" s="143"/>
      <c r="B249" s="143"/>
      <c r="C249" s="144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6"/>
      <c r="S249" s="143"/>
      <c r="T249" s="143"/>
      <c r="U249" s="143"/>
      <c r="V249" s="143"/>
      <c r="W249" s="143"/>
      <c r="X249" s="143"/>
      <c r="Y249" s="143"/>
      <c r="Z249" s="146"/>
      <c r="AA249" s="143"/>
      <c r="AB249" s="143"/>
      <c r="AC249" s="143"/>
      <c r="AD249" s="143"/>
      <c r="AE249" s="143"/>
      <c r="AF249" s="143"/>
      <c r="AG249" s="143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</row>
    <row r="250" s="23" customFormat="1" hidden="1" customHeight="1" spans="1:122">
      <c r="A250" s="143"/>
      <c r="B250" s="143"/>
      <c r="C250" s="144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6"/>
      <c r="S250" s="143"/>
      <c r="T250" s="143"/>
      <c r="U250" s="143"/>
      <c r="V250" s="143"/>
      <c r="W250" s="143"/>
      <c r="X250" s="143"/>
      <c r="Y250" s="143"/>
      <c r="Z250" s="146"/>
      <c r="AA250" s="143"/>
      <c r="AB250" s="143"/>
      <c r="AC250" s="143"/>
      <c r="AD250" s="143"/>
      <c r="AE250" s="143"/>
      <c r="AF250" s="143"/>
      <c r="AG250" s="143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</row>
    <row r="251" s="23" customFormat="1" hidden="1" customHeight="1" spans="1:122">
      <c r="A251" s="143"/>
      <c r="B251" s="143"/>
      <c r="C251" s="144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6"/>
      <c r="S251" s="143"/>
      <c r="T251" s="143"/>
      <c r="U251" s="143"/>
      <c r="V251" s="143"/>
      <c r="W251" s="143"/>
      <c r="X251" s="143"/>
      <c r="Y251" s="143"/>
      <c r="Z251" s="146"/>
      <c r="AA251" s="143"/>
      <c r="AB251" s="143"/>
      <c r="AC251" s="143"/>
      <c r="AD251" s="143"/>
      <c r="AE251" s="143"/>
      <c r="AF251" s="143"/>
      <c r="AG251" s="143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</row>
    <row r="252" s="23" customFormat="1" hidden="1" customHeight="1" spans="1:122">
      <c r="A252" s="143"/>
      <c r="B252" s="143"/>
      <c r="C252" s="144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6"/>
      <c r="S252" s="143"/>
      <c r="T252" s="143"/>
      <c r="U252" s="143"/>
      <c r="V252" s="143"/>
      <c r="W252" s="143"/>
      <c r="X252" s="143"/>
      <c r="Y252" s="143"/>
      <c r="Z252" s="146"/>
      <c r="AA252" s="143"/>
      <c r="AB252" s="143"/>
      <c r="AC252" s="143"/>
      <c r="AD252" s="143"/>
      <c r="AE252" s="143"/>
      <c r="AF252" s="143"/>
      <c r="AG252" s="143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</row>
    <row r="253" s="23" customFormat="1" hidden="1" customHeight="1" spans="1:122">
      <c r="A253" s="143"/>
      <c r="B253" s="143"/>
      <c r="C253" s="144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6"/>
      <c r="S253" s="143"/>
      <c r="T253" s="143"/>
      <c r="U253" s="143"/>
      <c r="V253" s="143"/>
      <c r="W253" s="143"/>
      <c r="X253" s="143"/>
      <c r="Y253" s="143"/>
      <c r="Z253" s="146"/>
      <c r="AA253" s="143"/>
      <c r="AB253" s="143"/>
      <c r="AC253" s="143"/>
      <c r="AD253" s="143"/>
      <c r="AE253" s="143"/>
      <c r="AF253" s="143"/>
      <c r="AG253" s="143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</row>
    <row r="254" s="23" customFormat="1" hidden="1" customHeight="1" spans="1:122">
      <c r="A254" s="143"/>
      <c r="B254" s="143"/>
      <c r="C254" s="144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6"/>
      <c r="S254" s="143"/>
      <c r="T254" s="143"/>
      <c r="U254" s="143"/>
      <c r="V254" s="143"/>
      <c r="W254" s="143"/>
      <c r="X254" s="143"/>
      <c r="Y254" s="143"/>
      <c r="Z254" s="146"/>
      <c r="AA254" s="143"/>
      <c r="AB254" s="143"/>
      <c r="AC254" s="143"/>
      <c r="AD254" s="143"/>
      <c r="AE254" s="143"/>
      <c r="AF254" s="143"/>
      <c r="AG254" s="143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</row>
    <row r="255" s="23" customFormat="1" hidden="1" customHeight="1" spans="1:122">
      <c r="A255" s="143"/>
      <c r="B255" s="143"/>
      <c r="C255" s="144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6"/>
      <c r="S255" s="143"/>
      <c r="T255" s="143"/>
      <c r="U255" s="143"/>
      <c r="V255" s="143"/>
      <c r="W255" s="143"/>
      <c r="X255" s="143"/>
      <c r="Y255" s="143"/>
      <c r="Z255" s="146"/>
      <c r="AA255" s="143"/>
      <c r="AB255" s="143"/>
      <c r="AC255" s="143"/>
      <c r="AD255" s="143"/>
      <c r="AE255" s="143"/>
      <c r="AF255" s="143"/>
      <c r="AG255" s="143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</row>
    <row r="256" s="24" customFormat="1" hidden="1" customHeight="1" spans="1:122">
      <c r="A256" s="61"/>
      <c r="B256" s="61"/>
      <c r="C256" s="127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131"/>
      <c r="S256" s="61"/>
      <c r="T256" s="61"/>
      <c r="U256" s="61"/>
      <c r="V256" s="61"/>
      <c r="W256" s="61"/>
      <c r="X256" s="61"/>
      <c r="Y256" s="61"/>
      <c r="Z256" s="131"/>
      <c r="AA256" s="61"/>
      <c r="AB256" s="61"/>
      <c r="AC256" s="61"/>
      <c r="AD256" s="61"/>
      <c r="AE256" s="61"/>
      <c r="AF256" s="61"/>
      <c r="AG256" s="61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</row>
    <row r="257" s="24" customFormat="1" hidden="1" customHeight="1" spans="1:122">
      <c r="A257" s="61"/>
      <c r="B257" s="61"/>
      <c r="C257" s="127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131"/>
      <c r="S257" s="61"/>
      <c r="T257" s="61"/>
      <c r="U257" s="61"/>
      <c r="V257" s="61"/>
      <c r="W257" s="61"/>
      <c r="X257" s="61"/>
      <c r="Y257" s="61"/>
      <c r="Z257" s="131"/>
      <c r="AA257" s="61"/>
      <c r="AB257" s="61"/>
      <c r="AC257" s="61"/>
      <c r="AD257" s="61"/>
      <c r="AE257" s="61"/>
      <c r="AF257" s="61"/>
      <c r="AG257" s="61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</row>
    <row r="258" s="24" customFormat="1" hidden="1" customHeight="1" spans="1:122">
      <c r="A258" s="61"/>
      <c r="B258" s="61"/>
      <c r="C258" s="127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131"/>
      <c r="S258" s="61"/>
      <c r="T258" s="61"/>
      <c r="U258" s="61"/>
      <c r="V258" s="61"/>
      <c r="W258" s="61"/>
      <c r="X258" s="61"/>
      <c r="Y258" s="61"/>
      <c r="Z258" s="131"/>
      <c r="AA258" s="61"/>
      <c r="AB258" s="61"/>
      <c r="AC258" s="61"/>
      <c r="AD258" s="61"/>
      <c r="AE258" s="61"/>
      <c r="AF258" s="61"/>
      <c r="AG258" s="61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</row>
    <row r="259" s="24" customFormat="1" hidden="1" customHeight="1" spans="1:122">
      <c r="A259" s="61"/>
      <c r="B259" s="61"/>
      <c r="C259" s="127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131"/>
      <c r="S259" s="61"/>
      <c r="T259" s="61"/>
      <c r="U259" s="61"/>
      <c r="V259" s="61"/>
      <c r="W259" s="61"/>
      <c r="X259" s="61"/>
      <c r="Y259" s="61"/>
      <c r="Z259" s="131"/>
      <c r="AA259" s="61"/>
      <c r="AB259" s="61"/>
      <c r="AC259" s="61"/>
      <c r="AD259" s="61"/>
      <c r="AE259" s="61"/>
      <c r="AF259" s="61"/>
      <c r="AG259" s="61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</row>
    <row r="260" s="24" customFormat="1" hidden="1" customHeight="1" spans="1:122">
      <c r="A260" s="61"/>
      <c r="B260" s="61"/>
      <c r="C260" s="127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131"/>
      <c r="S260" s="61"/>
      <c r="T260" s="61"/>
      <c r="U260" s="61"/>
      <c r="V260" s="61"/>
      <c r="W260" s="61"/>
      <c r="X260" s="61"/>
      <c r="Y260" s="61"/>
      <c r="Z260" s="131"/>
      <c r="AA260" s="61"/>
      <c r="AB260" s="61"/>
      <c r="AC260" s="61"/>
      <c r="AD260" s="61"/>
      <c r="AE260" s="61"/>
      <c r="AF260" s="61"/>
      <c r="AG260" s="61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</row>
    <row r="261" s="24" customFormat="1" hidden="1" customHeight="1" spans="1:122">
      <c r="A261" s="61"/>
      <c r="B261" s="61"/>
      <c r="C261" s="127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131"/>
      <c r="S261" s="61"/>
      <c r="T261" s="61"/>
      <c r="U261" s="61"/>
      <c r="V261" s="61"/>
      <c r="W261" s="61"/>
      <c r="X261" s="61"/>
      <c r="Y261" s="61"/>
      <c r="Z261" s="131"/>
      <c r="AA261" s="61"/>
      <c r="AB261" s="61"/>
      <c r="AC261" s="61"/>
      <c r="AD261" s="61"/>
      <c r="AE261" s="61"/>
      <c r="AF261" s="61"/>
      <c r="AG261" s="61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</row>
    <row r="262" s="24" customFormat="1" hidden="1" customHeight="1" spans="1:122">
      <c r="A262" s="61"/>
      <c r="B262" s="61"/>
      <c r="C262" s="127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131"/>
      <c r="S262" s="61"/>
      <c r="T262" s="61"/>
      <c r="U262" s="61"/>
      <c r="V262" s="61"/>
      <c r="W262" s="61"/>
      <c r="X262" s="61"/>
      <c r="Y262" s="61"/>
      <c r="Z262" s="131"/>
      <c r="AA262" s="61"/>
      <c r="AB262" s="61"/>
      <c r="AC262" s="61"/>
      <c r="AD262" s="61"/>
      <c r="AE262" s="61"/>
      <c r="AF262" s="61"/>
      <c r="AG262" s="61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</row>
    <row r="263" s="24" customFormat="1" hidden="1" customHeight="1" spans="1:122">
      <c r="A263" s="61"/>
      <c r="B263" s="61"/>
      <c r="C263" s="127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131"/>
      <c r="S263" s="61"/>
      <c r="T263" s="61"/>
      <c r="U263" s="61"/>
      <c r="V263" s="61"/>
      <c r="W263" s="61"/>
      <c r="X263" s="61"/>
      <c r="Y263" s="61"/>
      <c r="Z263" s="131"/>
      <c r="AA263" s="61"/>
      <c r="AB263" s="61"/>
      <c r="AC263" s="61"/>
      <c r="AD263" s="61"/>
      <c r="AE263" s="61"/>
      <c r="AF263" s="61"/>
      <c r="AG263" s="61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</row>
    <row r="264" s="24" customFormat="1" hidden="1" customHeight="1" spans="1:122">
      <c r="A264" s="61"/>
      <c r="B264" s="61"/>
      <c r="C264" s="127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131"/>
      <c r="S264" s="61"/>
      <c r="T264" s="61"/>
      <c r="U264" s="61"/>
      <c r="V264" s="61"/>
      <c r="W264" s="61"/>
      <c r="X264" s="61"/>
      <c r="Y264" s="61"/>
      <c r="Z264" s="131"/>
      <c r="AA264" s="61"/>
      <c r="AB264" s="61"/>
      <c r="AC264" s="61"/>
      <c r="AD264" s="61"/>
      <c r="AE264" s="61"/>
      <c r="AF264" s="61"/>
      <c r="AG264" s="61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</row>
    <row r="265" s="24" customFormat="1" hidden="1" customHeight="1" spans="1:122">
      <c r="A265" s="61"/>
      <c r="B265" s="61"/>
      <c r="C265" s="127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131"/>
      <c r="S265" s="61"/>
      <c r="T265" s="61"/>
      <c r="U265" s="61"/>
      <c r="V265" s="61"/>
      <c r="W265" s="61"/>
      <c r="X265" s="61"/>
      <c r="Y265" s="61"/>
      <c r="Z265" s="131"/>
      <c r="AA265" s="61"/>
      <c r="AB265" s="61"/>
      <c r="AC265" s="61"/>
      <c r="AD265" s="61"/>
      <c r="AE265" s="61"/>
      <c r="AF265" s="61"/>
      <c r="AG265" s="61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</row>
    <row r="266" s="24" customFormat="1" hidden="1" customHeight="1" spans="1:122">
      <c r="A266" s="61"/>
      <c r="B266" s="61"/>
      <c r="C266" s="127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131"/>
      <c r="S266" s="61"/>
      <c r="T266" s="61"/>
      <c r="U266" s="61"/>
      <c r="V266" s="61"/>
      <c r="W266" s="61"/>
      <c r="X266" s="61"/>
      <c r="Y266" s="61"/>
      <c r="Z266" s="131"/>
      <c r="AA266" s="61"/>
      <c r="AB266" s="61"/>
      <c r="AC266" s="61"/>
      <c r="AD266" s="61"/>
      <c r="AE266" s="61"/>
      <c r="AF266" s="61"/>
      <c r="AG266" s="61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</row>
    <row r="267" s="24" customFormat="1" hidden="1" customHeight="1" spans="1:122">
      <c r="A267" s="61"/>
      <c r="B267" s="61"/>
      <c r="C267" s="127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131"/>
      <c r="S267" s="61"/>
      <c r="T267" s="61"/>
      <c r="U267" s="61"/>
      <c r="V267" s="61"/>
      <c r="W267" s="61"/>
      <c r="X267" s="61"/>
      <c r="Y267" s="61"/>
      <c r="Z267" s="131"/>
      <c r="AA267" s="61"/>
      <c r="AB267" s="61"/>
      <c r="AC267" s="61"/>
      <c r="AD267" s="61"/>
      <c r="AE267" s="61"/>
      <c r="AF267" s="61"/>
      <c r="AG267" s="61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</row>
    <row r="268" s="24" customFormat="1" hidden="1" customHeight="1" spans="1:122">
      <c r="A268" s="61"/>
      <c r="B268" s="61"/>
      <c r="C268" s="127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131"/>
      <c r="S268" s="61"/>
      <c r="T268" s="61"/>
      <c r="U268" s="61"/>
      <c r="V268" s="61"/>
      <c r="W268" s="61"/>
      <c r="X268" s="61"/>
      <c r="Y268" s="61"/>
      <c r="Z268" s="131"/>
      <c r="AA268" s="61"/>
      <c r="AB268" s="61"/>
      <c r="AC268" s="61"/>
      <c r="AD268" s="61"/>
      <c r="AE268" s="61"/>
      <c r="AF268" s="61"/>
      <c r="AG268" s="61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</row>
    <row r="269" s="24" customFormat="1" hidden="1" customHeight="1" spans="1:122">
      <c r="A269" s="61"/>
      <c r="B269" s="61"/>
      <c r="C269" s="127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131"/>
      <c r="S269" s="61"/>
      <c r="T269" s="61"/>
      <c r="U269" s="61"/>
      <c r="V269" s="61"/>
      <c r="W269" s="61"/>
      <c r="X269" s="61"/>
      <c r="Y269" s="61"/>
      <c r="Z269" s="131"/>
      <c r="AA269" s="61"/>
      <c r="AB269" s="61"/>
      <c r="AC269" s="61"/>
      <c r="AD269" s="61"/>
      <c r="AE269" s="61"/>
      <c r="AF269" s="61"/>
      <c r="AG269" s="61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</row>
    <row r="270" s="24" customFormat="1" hidden="1" customHeight="1" spans="1:122">
      <c r="A270" s="61"/>
      <c r="B270" s="61"/>
      <c r="C270" s="127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131"/>
      <c r="S270" s="61"/>
      <c r="T270" s="61"/>
      <c r="U270" s="61"/>
      <c r="V270" s="61"/>
      <c r="W270" s="61"/>
      <c r="X270" s="61"/>
      <c r="Y270" s="61"/>
      <c r="Z270" s="131"/>
      <c r="AA270" s="61"/>
      <c r="AB270" s="61"/>
      <c r="AC270" s="61"/>
      <c r="AD270" s="61"/>
      <c r="AE270" s="61"/>
      <c r="AF270" s="61"/>
      <c r="AG270" s="61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</row>
    <row r="271" s="24" customFormat="1" hidden="1" customHeight="1" spans="1:122">
      <c r="A271" s="61"/>
      <c r="B271" s="61"/>
      <c r="C271" s="127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131"/>
      <c r="S271" s="61"/>
      <c r="T271" s="61"/>
      <c r="U271" s="61"/>
      <c r="V271" s="61"/>
      <c r="W271" s="61"/>
      <c r="X271" s="61"/>
      <c r="Y271" s="61"/>
      <c r="Z271" s="131"/>
      <c r="AA271" s="61"/>
      <c r="AB271" s="61"/>
      <c r="AC271" s="61"/>
      <c r="AD271" s="61"/>
      <c r="AE271" s="61"/>
      <c r="AF271" s="61"/>
      <c r="AG271" s="61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</row>
    <row r="272" s="24" customFormat="1" hidden="1" customHeight="1" spans="1:122">
      <c r="A272" s="61"/>
      <c r="B272" s="61"/>
      <c r="C272" s="127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131"/>
      <c r="S272" s="61"/>
      <c r="T272" s="61"/>
      <c r="U272" s="61"/>
      <c r="V272" s="61"/>
      <c r="W272" s="61"/>
      <c r="X272" s="61"/>
      <c r="Y272" s="61"/>
      <c r="Z272" s="131"/>
      <c r="AA272" s="61"/>
      <c r="AB272" s="61"/>
      <c r="AC272" s="61"/>
      <c r="AD272" s="61"/>
      <c r="AE272" s="61"/>
      <c r="AF272" s="61"/>
      <c r="AG272" s="61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</row>
    <row r="273" s="24" customFormat="1" hidden="1" customHeight="1" spans="1:122">
      <c r="A273" s="61"/>
      <c r="B273" s="61"/>
      <c r="C273" s="127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131"/>
      <c r="S273" s="61"/>
      <c r="T273" s="61"/>
      <c r="U273" s="61"/>
      <c r="V273" s="61"/>
      <c r="W273" s="61"/>
      <c r="X273" s="61"/>
      <c r="Y273" s="61"/>
      <c r="Z273" s="131"/>
      <c r="AA273" s="61"/>
      <c r="AB273" s="61"/>
      <c r="AC273" s="61"/>
      <c r="AD273" s="61"/>
      <c r="AE273" s="61"/>
      <c r="AF273" s="61"/>
      <c r="AG273" s="61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</row>
    <row r="274" s="24" customFormat="1" hidden="1" customHeight="1" spans="1:122">
      <c r="A274" s="61"/>
      <c r="B274" s="61"/>
      <c r="C274" s="127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131"/>
      <c r="S274" s="61"/>
      <c r="T274" s="61"/>
      <c r="U274" s="61"/>
      <c r="V274" s="61"/>
      <c r="W274" s="61"/>
      <c r="X274" s="61"/>
      <c r="Y274" s="61"/>
      <c r="Z274" s="131"/>
      <c r="AA274" s="61"/>
      <c r="AB274" s="61"/>
      <c r="AC274" s="61"/>
      <c r="AD274" s="61"/>
      <c r="AE274" s="61"/>
      <c r="AF274" s="61"/>
      <c r="AG274" s="61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</row>
    <row r="275" s="24" customFormat="1" hidden="1" customHeight="1" spans="1:122">
      <c r="A275" s="61"/>
      <c r="B275" s="61"/>
      <c r="C275" s="127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131"/>
      <c r="S275" s="61"/>
      <c r="T275" s="61"/>
      <c r="U275" s="61"/>
      <c r="V275" s="61"/>
      <c r="W275" s="61"/>
      <c r="X275" s="61"/>
      <c r="Y275" s="61"/>
      <c r="Z275" s="131"/>
      <c r="AA275" s="61"/>
      <c r="AB275" s="61"/>
      <c r="AC275" s="61"/>
      <c r="AD275" s="61"/>
      <c r="AE275" s="61"/>
      <c r="AF275" s="61"/>
      <c r="AG275" s="61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</row>
    <row r="276" s="24" customFormat="1" hidden="1" customHeight="1" spans="1:122">
      <c r="A276" s="61"/>
      <c r="B276" s="61"/>
      <c r="C276" s="127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131"/>
      <c r="S276" s="61"/>
      <c r="T276" s="61"/>
      <c r="U276" s="61"/>
      <c r="V276" s="61"/>
      <c r="W276" s="61"/>
      <c r="X276" s="61"/>
      <c r="Y276" s="61"/>
      <c r="Z276" s="131"/>
      <c r="AA276" s="61"/>
      <c r="AB276" s="61"/>
      <c r="AC276" s="61"/>
      <c r="AD276" s="61"/>
      <c r="AE276" s="61"/>
      <c r="AF276" s="61"/>
      <c r="AG276" s="61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</row>
    <row r="277" s="24" customFormat="1" hidden="1" customHeight="1" spans="1:122">
      <c r="A277" s="61"/>
      <c r="B277" s="61"/>
      <c r="C277" s="127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131"/>
      <c r="S277" s="61"/>
      <c r="T277" s="61"/>
      <c r="U277" s="61"/>
      <c r="V277" s="61"/>
      <c r="W277" s="61"/>
      <c r="X277" s="61"/>
      <c r="Y277" s="61"/>
      <c r="Z277" s="131"/>
      <c r="AA277" s="61"/>
      <c r="AB277" s="61"/>
      <c r="AC277" s="61"/>
      <c r="AD277" s="61"/>
      <c r="AE277" s="61"/>
      <c r="AF277" s="61"/>
      <c r="AG277" s="61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</row>
    <row r="278" s="24" customFormat="1" hidden="1" customHeight="1" spans="1:122">
      <c r="A278" s="61"/>
      <c r="B278" s="61"/>
      <c r="C278" s="127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131"/>
      <c r="S278" s="61"/>
      <c r="T278" s="61"/>
      <c r="U278" s="61"/>
      <c r="V278" s="61"/>
      <c r="W278" s="61"/>
      <c r="X278" s="61"/>
      <c r="Y278" s="61"/>
      <c r="Z278" s="131"/>
      <c r="AA278" s="61"/>
      <c r="AB278" s="61"/>
      <c r="AC278" s="61"/>
      <c r="AD278" s="61"/>
      <c r="AE278" s="61"/>
      <c r="AF278" s="61"/>
      <c r="AG278" s="61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</row>
    <row r="279" s="24" customFormat="1" hidden="1" customHeight="1" spans="1:122">
      <c r="A279" s="61"/>
      <c r="B279" s="61"/>
      <c r="C279" s="127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131"/>
      <c r="S279" s="61"/>
      <c r="T279" s="61"/>
      <c r="U279" s="61"/>
      <c r="V279" s="61"/>
      <c r="W279" s="61"/>
      <c r="X279" s="61"/>
      <c r="Y279" s="61"/>
      <c r="Z279" s="131"/>
      <c r="AA279" s="61"/>
      <c r="AB279" s="61"/>
      <c r="AC279" s="61"/>
      <c r="AD279" s="61"/>
      <c r="AE279" s="61"/>
      <c r="AF279" s="61"/>
      <c r="AG279" s="61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</row>
    <row r="280" s="24" customFormat="1" hidden="1" customHeight="1" spans="1:122">
      <c r="A280" s="61"/>
      <c r="B280" s="61"/>
      <c r="C280" s="127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131"/>
      <c r="S280" s="61"/>
      <c r="T280" s="61"/>
      <c r="U280" s="61"/>
      <c r="V280" s="61"/>
      <c r="W280" s="61"/>
      <c r="X280" s="61"/>
      <c r="Y280" s="61"/>
      <c r="Z280" s="131"/>
      <c r="AA280" s="61"/>
      <c r="AB280" s="61"/>
      <c r="AC280" s="61"/>
      <c r="AD280" s="61"/>
      <c r="AE280" s="61"/>
      <c r="AF280" s="61"/>
      <c r="AG280" s="61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</row>
    <row r="281" s="24" customFormat="1" hidden="1" customHeight="1" spans="1:122">
      <c r="A281" s="61"/>
      <c r="B281" s="61"/>
      <c r="C281" s="127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131"/>
      <c r="S281" s="61"/>
      <c r="T281" s="61"/>
      <c r="U281" s="61"/>
      <c r="V281" s="61"/>
      <c r="W281" s="61"/>
      <c r="X281" s="61"/>
      <c r="Y281" s="61"/>
      <c r="Z281" s="131"/>
      <c r="AA281" s="61"/>
      <c r="AB281" s="61"/>
      <c r="AC281" s="61"/>
      <c r="AD281" s="61"/>
      <c r="AE281" s="61"/>
      <c r="AF281" s="61"/>
      <c r="AG281" s="61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</row>
    <row r="282" s="24" customFormat="1" hidden="1" customHeight="1" spans="1:122">
      <c r="A282" s="61"/>
      <c r="B282" s="61"/>
      <c r="C282" s="127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131"/>
      <c r="S282" s="61"/>
      <c r="T282" s="61"/>
      <c r="U282" s="61"/>
      <c r="V282" s="61"/>
      <c r="W282" s="61"/>
      <c r="X282" s="61"/>
      <c r="Y282" s="61"/>
      <c r="Z282" s="131"/>
      <c r="AA282" s="61"/>
      <c r="AB282" s="61"/>
      <c r="AC282" s="61"/>
      <c r="AD282" s="61"/>
      <c r="AE282" s="61"/>
      <c r="AF282" s="61"/>
      <c r="AG282" s="61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</row>
    <row r="283" s="24" customFormat="1" hidden="1" customHeight="1" spans="1:122">
      <c r="A283" s="61"/>
      <c r="B283" s="61"/>
      <c r="C283" s="127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131"/>
      <c r="S283" s="61"/>
      <c r="T283" s="61"/>
      <c r="U283" s="61"/>
      <c r="V283" s="61"/>
      <c r="W283" s="61"/>
      <c r="X283" s="61"/>
      <c r="Y283" s="61"/>
      <c r="Z283" s="131"/>
      <c r="AA283" s="61"/>
      <c r="AB283" s="61"/>
      <c r="AC283" s="61"/>
      <c r="AD283" s="61"/>
      <c r="AE283" s="61"/>
      <c r="AF283" s="61"/>
      <c r="AG283" s="61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</row>
    <row r="284" s="24" customFormat="1" hidden="1" customHeight="1" spans="1:122">
      <c r="A284" s="61"/>
      <c r="B284" s="61"/>
      <c r="C284" s="127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131"/>
      <c r="S284" s="61"/>
      <c r="T284" s="61"/>
      <c r="U284" s="61"/>
      <c r="V284" s="61"/>
      <c r="W284" s="61"/>
      <c r="X284" s="61"/>
      <c r="Y284" s="61"/>
      <c r="Z284" s="131"/>
      <c r="AA284" s="61"/>
      <c r="AB284" s="61"/>
      <c r="AC284" s="61"/>
      <c r="AD284" s="61"/>
      <c r="AE284" s="61"/>
      <c r="AF284" s="61"/>
      <c r="AG284" s="61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</row>
    <row r="285" s="24" customFormat="1" hidden="1" customHeight="1" spans="1:122">
      <c r="A285" s="61"/>
      <c r="B285" s="61"/>
      <c r="C285" s="127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131"/>
      <c r="S285" s="61"/>
      <c r="T285" s="61"/>
      <c r="U285" s="61"/>
      <c r="V285" s="61"/>
      <c r="W285" s="61"/>
      <c r="X285" s="61"/>
      <c r="Y285" s="61"/>
      <c r="Z285" s="131"/>
      <c r="AA285" s="61"/>
      <c r="AB285" s="61"/>
      <c r="AC285" s="61"/>
      <c r="AD285" s="61"/>
      <c r="AE285" s="61"/>
      <c r="AF285" s="61"/>
      <c r="AG285" s="61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</row>
    <row r="286" s="24" customFormat="1" hidden="1" customHeight="1" spans="1:122">
      <c r="A286" s="61"/>
      <c r="B286" s="61"/>
      <c r="C286" s="127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131"/>
      <c r="S286" s="61"/>
      <c r="T286" s="61"/>
      <c r="U286" s="61"/>
      <c r="V286" s="61"/>
      <c r="W286" s="61"/>
      <c r="X286" s="61"/>
      <c r="Y286" s="61"/>
      <c r="Z286" s="131"/>
      <c r="AA286" s="61"/>
      <c r="AB286" s="61"/>
      <c r="AC286" s="61"/>
      <c r="AD286" s="61"/>
      <c r="AE286" s="61"/>
      <c r="AF286" s="61"/>
      <c r="AG286" s="61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</row>
    <row r="287" s="24" customFormat="1" hidden="1" customHeight="1" spans="1:122">
      <c r="A287" s="61"/>
      <c r="B287" s="61"/>
      <c r="C287" s="127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131"/>
      <c r="S287" s="61"/>
      <c r="T287" s="61"/>
      <c r="U287" s="61"/>
      <c r="V287" s="61"/>
      <c r="W287" s="61"/>
      <c r="X287" s="61"/>
      <c r="Y287" s="61"/>
      <c r="Z287" s="131"/>
      <c r="AA287" s="61"/>
      <c r="AB287" s="61"/>
      <c r="AC287" s="61"/>
      <c r="AD287" s="61"/>
      <c r="AE287" s="61"/>
      <c r="AF287" s="61"/>
      <c r="AG287" s="61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</row>
    <row r="288" s="24" customFormat="1" hidden="1" customHeight="1" spans="1:122">
      <c r="A288" s="61"/>
      <c r="B288" s="61"/>
      <c r="C288" s="127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131"/>
      <c r="S288" s="61"/>
      <c r="T288" s="61"/>
      <c r="U288" s="61"/>
      <c r="V288" s="61"/>
      <c r="W288" s="61"/>
      <c r="X288" s="61"/>
      <c r="Y288" s="61"/>
      <c r="Z288" s="131"/>
      <c r="AA288" s="61"/>
      <c r="AB288" s="61"/>
      <c r="AC288" s="61"/>
      <c r="AD288" s="61"/>
      <c r="AE288" s="61"/>
      <c r="AF288" s="61"/>
      <c r="AG288" s="61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</row>
    <row r="289" s="24" customFormat="1" hidden="1" customHeight="1" spans="1:122">
      <c r="A289" s="61"/>
      <c r="B289" s="61"/>
      <c r="C289" s="127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131"/>
      <c r="S289" s="61"/>
      <c r="T289" s="61"/>
      <c r="U289" s="61"/>
      <c r="V289" s="61"/>
      <c r="W289" s="61"/>
      <c r="X289" s="61"/>
      <c r="Y289" s="61"/>
      <c r="Z289" s="131"/>
      <c r="AA289" s="61"/>
      <c r="AB289" s="61"/>
      <c r="AC289" s="61"/>
      <c r="AD289" s="61"/>
      <c r="AE289" s="61"/>
      <c r="AF289" s="61"/>
      <c r="AG289" s="61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</row>
    <row r="290" s="24" customFormat="1" hidden="1" customHeight="1" spans="1:122">
      <c r="A290" s="61"/>
      <c r="B290" s="61"/>
      <c r="C290" s="127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131"/>
      <c r="S290" s="61"/>
      <c r="T290" s="61"/>
      <c r="U290" s="61"/>
      <c r="V290" s="61"/>
      <c r="W290" s="61"/>
      <c r="X290" s="61"/>
      <c r="Y290" s="61"/>
      <c r="Z290" s="131"/>
      <c r="AA290" s="61"/>
      <c r="AB290" s="61"/>
      <c r="AC290" s="61"/>
      <c r="AD290" s="61"/>
      <c r="AE290" s="61"/>
      <c r="AF290" s="61"/>
      <c r="AG290" s="61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</row>
    <row r="291" s="24" customFormat="1" hidden="1" customHeight="1" spans="1:122">
      <c r="A291" s="61"/>
      <c r="B291" s="61"/>
      <c r="C291" s="127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131"/>
      <c r="S291" s="61"/>
      <c r="T291" s="61"/>
      <c r="U291" s="61"/>
      <c r="V291" s="61"/>
      <c r="W291" s="61"/>
      <c r="X291" s="61"/>
      <c r="Y291" s="61"/>
      <c r="Z291" s="131"/>
      <c r="AA291" s="61"/>
      <c r="AB291" s="61"/>
      <c r="AC291" s="61"/>
      <c r="AD291" s="61"/>
      <c r="AE291" s="61"/>
      <c r="AF291" s="61"/>
      <c r="AG291" s="61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</row>
    <row r="292" s="24" customFormat="1" hidden="1" customHeight="1" spans="1:122">
      <c r="A292" s="61"/>
      <c r="B292" s="61"/>
      <c r="C292" s="127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131"/>
      <c r="S292" s="61"/>
      <c r="T292" s="61"/>
      <c r="U292" s="61"/>
      <c r="V292" s="61"/>
      <c r="W292" s="61"/>
      <c r="X292" s="61"/>
      <c r="Y292" s="61"/>
      <c r="Z292" s="131"/>
      <c r="AA292" s="61"/>
      <c r="AB292" s="61"/>
      <c r="AC292" s="61"/>
      <c r="AD292" s="61"/>
      <c r="AE292" s="61"/>
      <c r="AF292" s="61"/>
      <c r="AG292" s="61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</row>
    <row r="293" s="24" customFormat="1" hidden="1" customHeight="1" spans="1:122">
      <c r="A293" s="61"/>
      <c r="B293" s="61"/>
      <c r="C293" s="127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131"/>
      <c r="S293" s="61"/>
      <c r="T293" s="61"/>
      <c r="U293" s="61"/>
      <c r="V293" s="61"/>
      <c r="W293" s="61"/>
      <c r="X293" s="61"/>
      <c r="Y293" s="61"/>
      <c r="Z293" s="131"/>
      <c r="AA293" s="61"/>
      <c r="AB293" s="61"/>
      <c r="AC293" s="61"/>
      <c r="AD293" s="61"/>
      <c r="AE293" s="61"/>
      <c r="AF293" s="61"/>
      <c r="AG293" s="61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</row>
    <row r="294" s="24" customFormat="1" hidden="1" customHeight="1" spans="1:122">
      <c r="A294" s="61"/>
      <c r="B294" s="61"/>
      <c r="C294" s="127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131"/>
      <c r="S294" s="61"/>
      <c r="T294" s="61"/>
      <c r="U294" s="61"/>
      <c r="V294" s="61"/>
      <c r="W294" s="61"/>
      <c r="X294" s="61"/>
      <c r="Y294" s="61"/>
      <c r="Z294" s="131"/>
      <c r="AA294" s="61"/>
      <c r="AB294" s="61"/>
      <c r="AC294" s="61"/>
      <c r="AD294" s="61"/>
      <c r="AE294" s="61"/>
      <c r="AF294" s="61"/>
      <c r="AG294" s="61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</row>
    <row r="295" s="24" customFormat="1" hidden="1" customHeight="1" spans="1:122">
      <c r="A295" s="61"/>
      <c r="B295" s="61"/>
      <c r="C295" s="127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131"/>
      <c r="S295" s="61"/>
      <c r="T295" s="61"/>
      <c r="U295" s="61"/>
      <c r="V295" s="61"/>
      <c r="W295" s="61"/>
      <c r="X295" s="61"/>
      <c r="Y295" s="61"/>
      <c r="Z295" s="131"/>
      <c r="AA295" s="61"/>
      <c r="AB295" s="61"/>
      <c r="AC295" s="61"/>
      <c r="AD295" s="61"/>
      <c r="AE295" s="61"/>
      <c r="AF295" s="61"/>
      <c r="AG295" s="61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</row>
    <row r="296" s="24" customFormat="1" hidden="1" customHeight="1" spans="1:122">
      <c r="A296" s="61"/>
      <c r="B296" s="61"/>
      <c r="C296" s="127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131"/>
      <c r="S296" s="61"/>
      <c r="T296" s="61"/>
      <c r="U296" s="61"/>
      <c r="V296" s="61"/>
      <c r="W296" s="61"/>
      <c r="X296" s="61"/>
      <c r="Y296" s="61"/>
      <c r="Z296" s="131"/>
      <c r="AA296" s="61"/>
      <c r="AB296" s="61"/>
      <c r="AC296" s="61"/>
      <c r="AD296" s="61"/>
      <c r="AE296" s="61"/>
      <c r="AF296" s="61"/>
      <c r="AG296" s="61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</row>
    <row r="297" s="24" customFormat="1" hidden="1" customHeight="1" spans="1:122">
      <c r="A297" s="61"/>
      <c r="B297" s="61"/>
      <c r="C297" s="127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131"/>
      <c r="S297" s="61"/>
      <c r="T297" s="61"/>
      <c r="U297" s="61"/>
      <c r="V297" s="61"/>
      <c r="W297" s="61"/>
      <c r="X297" s="61"/>
      <c r="Y297" s="61"/>
      <c r="Z297" s="131"/>
      <c r="AA297" s="61"/>
      <c r="AB297" s="61"/>
      <c r="AC297" s="61"/>
      <c r="AD297" s="61"/>
      <c r="AE297" s="61"/>
      <c r="AF297" s="61"/>
      <c r="AG297" s="61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</row>
    <row r="298" s="24" customFormat="1" hidden="1" customHeight="1" spans="1:122">
      <c r="A298" s="61"/>
      <c r="B298" s="61"/>
      <c r="C298" s="127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131"/>
      <c r="S298" s="61"/>
      <c r="T298" s="61"/>
      <c r="U298" s="61"/>
      <c r="V298" s="61"/>
      <c r="W298" s="61"/>
      <c r="X298" s="61"/>
      <c r="Y298" s="61"/>
      <c r="Z298" s="131"/>
      <c r="AA298" s="61"/>
      <c r="AB298" s="61"/>
      <c r="AC298" s="61"/>
      <c r="AD298" s="61"/>
      <c r="AE298" s="61"/>
      <c r="AF298" s="61"/>
      <c r="AG298" s="61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</row>
    <row r="299" s="24" customFormat="1" hidden="1" customHeight="1" spans="1:122">
      <c r="A299" s="61"/>
      <c r="B299" s="61"/>
      <c r="C299" s="127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131"/>
      <c r="S299" s="61"/>
      <c r="T299" s="61"/>
      <c r="U299" s="61"/>
      <c r="V299" s="61"/>
      <c r="W299" s="61"/>
      <c r="X299" s="61"/>
      <c r="Y299" s="61"/>
      <c r="Z299" s="131"/>
      <c r="AA299" s="61"/>
      <c r="AB299" s="61"/>
      <c r="AC299" s="61"/>
      <c r="AD299" s="61"/>
      <c r="AE299" s="61"/>
      <c r="AF299" s="61"/>
      <c r="AG299" s="61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</row>
    <row r="300" s="24" customFormat="1" hidden="1" customHeight="1" spans="1:122">
      <c r="A300" s="61"/>
      <c r="B300" s="61"/>
      <c r="C300" s="127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131"/>
      <c r="S300" s="61"/>
      <c r="T300" s="61"/>
      <c r="U300" s="61"/>
      <c r="V300" s="61"/>
      <c r="W300" s="61"/>
      <c r="X300" s="61"/>
      <c r="Y300" s="61"/>
      <c r="Z300" s="131"/>
      <c r="AA300" s="61"/>
      <c r="AB300" s="61"/>
      <c r="AC300" s="61"/>
      <c r="AD300" s="61"/>
      <c r="AE300" s="61"/>
      <c r="AF300" s="61"/>
      <c r="AG300" s="61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</row>
    <row r="301" s="24" customFormat="1" hidden="1" customHeight="1" spans="1:122">
      <c r="A301" s="61"/>
      <c r="B301" s="61"/>
      <c r="C301" s="127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131"/>
      <c r="S301" s="61"/>
      <c r="T301" s="61"/>
      <c r="U301" s="61"/>
      <c r="V301" s="61"/>
      <c r="W301" s="61"/>
      <c r="X301" s="61"/>
      <c r="Y301" s="61"/>
      <c r="Z301" s="131"/>
      <c r="AA301" s="61"/>
      <c r="AB301" s="61"/>
      <c r="AC301" s="61"/>
      <c r="AD301" s="61"/>
      <c r="AE301" s="61"/>
      <c r="AF301" s="61"/>
      <c r="AG301" s="61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</row>
    <row r="302" s="24" customFormat="1" hidden="1" customHeight="1" spans="1:122">
      <c r="A302" s="61"/>
      <c r="B302" s="61"/>
      <c r="C302" s="127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131"/>
      <c r="S302" s="61"/>
      <c r="T302" s="61"/>
      <c r="U302" s="61"/>
      <c r="V302" s="61"/>
      <c r="W302" s="61"/>
      <c r="X302" s="61"/>
      <c r="Y302" s="61"/>
      <c r="Z302" s="131"/>
      <c r="AA302" s="61"/>
      <c r="AB302" s="61"/>
      <c r="AC302" s="61"/>
      <c r="AD302" s="61"/>
      <c r="AE302" s="61"/>
      <c r="AF302" s="61"/>
      <c r="AG302" s="61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</row>
    <row r="303" s="24" customFormat="1" hidden="1" customHeight="1" spans="1:122">
      <c r="A303" s="61"/>
      <c r="B303" s="61"/>
      <c r="C303" s="127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131"/>
      <c r="S303" s="61"/>
      <c r="T303" s="61"/>
      <c r="U303" s="61"/>
      <c r="V303" s="61"/>
      <c r="W303" s="61"/>
      <c r="X303" s="61"/>
      <c r="Y303" s="61"/>
      <c r="Z303" s="131"/>
      <c r="AA303" s="61"/>
      <c r="AB303" s="61"/>
      <c r="AC303" s="61"/>
      <c r="AD303" s="61"/>
      <c r="AE303" s="61"/>
      <c r="AF303" s="61"/>
      <c r="AG303" s="61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</row>
    <row r="304" s="24" customFormat="1" hidden="1" customHeight="1" spans="1:122">
      <c r="A304" s="61"/>
      <c r="B304" s="61"/>
      <c r="C304" s="127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131"/>
      <c r="S304" s="61"/>
      <c r="T304" s="61"/>
      <c r="U304" s="61"/>
      <c r="V304" s="61"/>
      <c r="W304" s="61"/>
      <c r="X304" s="61"/>
      <c r="Y304" s="61"/>
      <c r="Z304" s="131"/>
      <c r="AA304" s="61"/>
      <c r="AB304" s="61"/>
      <c r="AC304" s="61"/>
      <c r="AD304" s="61"/>
      <c r="AE304" s="61"/>
      <c r="AF304" s="61"/>
      <c r="AG304" s="61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</row>
    <row r="305" s="24" customFormat="1" hidden="1" customHeight="1" spans="1:122">
      <c r="A305" s="61"/>
      <c r="B305" s="61"/>
      <c r="C305" s="127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131"/>
      <c r="S305" s="61"/>
      <c r="T305" s="61"/>
      <c r="U305" s="61"/>
      <c r="V305" s="61"/>
      <c r="W305" s="61"/>
      <c r="X305" s="61"/>
      <c r="Y305" s="61"/>
      <c r="Z305" s="131"/>
      <c r="AA305" s="61"/>
      <c r="AB305" s="61"/>
      <c r="AC305" s="61"/>
      <c r="AD305" s="61"/>
      <c r="AE305" s="61"/>
      <c r="AF305" s="61"/>
      <c r="AG305" s="61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</row>
    <row r="306" s="24" customFormat="1" hidden="1" customHeight="1" spans="1:122">
      <c r="A306" s="61"/>
      <c r="B306" s="61"/>
      <c r="C306" s="127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131"/>
      <c r="S306" s="61"/>
      <c r="T306" s="61"/>
      <c r="U306" s="61"/>
      <c r="V306" s="61"/>
      <c r="W306" s="61"/>
      <c r="X306" s="61"/>
      <c r="Y306" s="61"/>
      <c r="Z306" s="131"/>
      <c r="AA306" s="61"/>
      <c r="AB306" s="61"/>
      <c r="AC306" s="61"/>
      <c r="AD306" s="61"/>
      <c r="AE306" s="61"/>
      <c r="AF306" s="61"/>
      <c r="AG306" s="61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</row>
    <row r="307" s="24" customFormat="1" hidden="1" customHeight="1" spans="1:122">
      <c r="A307" s="61"/>
      <c r="B307" s="61"/>
      <c r="C307" s="127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131"/>
      <c r="S307" s="61"/>
      <c r="T307" s="61"/>
      <c r="U307" s="61"/>
      <c r="V307" s="61"/>
      <c r="W307" s="61"/>
      <c r="X307" s="61"/>
      <c r="Y307" s="61"/>
      <c r="Z307" s="131"/>
      <c r="AA307" s="61"/>
      <c r="AB307" s="61"/>
      <c r="AC307" s="61"/>
      <c r="AD307" s="61"/>
      <c r="AE307" s="61"/>
      <c r="AF307" s="61"/>
      <c r="AG307" s="61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</row>
    <row r="308" s="24" customFormat="1" hidden="1" customHeight="1" spans="1:122">
      <c r="A308" s="61"/>
      <c r="B308" s="61"/>
      <c r="C308" s="127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131"/>
      <c r="S308" s="61"/>
      <c r="T308" s="61"/>
      <c r="U308" s="61"/>
      <c r="V308" s="61"/>
      <c r="W308" s="61"/>
      <c r="X308" s="61"/>
      <c r="Y308" s="61"/>
      <c r="Z308" s="131"/>
      <c r="AA308" s="61"/>
      <c r="AB308" s="61"/>
      <c r="AC308" s="61"/>
      <c r="AD308" s="61"/>
      <c r="AE308" s="61"/>
      <c r="AF308" s="61"/>
      <c r="AG308" s="61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</row>
    <row r="309" s="24" customFormat="1" hidden="1" customHeight="1" spans="1:122">
      <c r="A309" s="61"/>
      <c r="B309" s="61"/>
      <c r="C309" s="127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131"/>
      <c r="S309" s="61"/>
      <c r="T309" s="61"/>
      <c r="U309" s="61"/>
      <c r="V309" s="61"/>
      <c r="W309" s="61"/>
      <c r="X309" s="61"/>
      <c r="Y309" s="61"/>
      <c r="Z309" s="131"/>
      <c r="AA309" s="61"/>
      <c r="AB309" s="61"/>
      <c r="AC309" s="61"/>
      <c r="AD309" s="61"/>
      <c r="AE309" s="61"/>
      <c r="AF309" s="61"/>
      <c r="AG309" s="61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</row>
    <row r="310" s="24" customFormat="1" hidden="1" customHeight="1" spans="1:122">
      <c r="A310" s="61"/>
      <c r="B310" s="61"/>
      <c r="C310" s="127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131"/>
      <c r="S310" s="61"/>
      <c r="T310" s="61"/>
      <c r="U310" s="61"/>
      <c r="V310" s="61"/>
      <c r="W310" s="61"/>
      <c r="X310" s="61"/>
      <c r="Y310" s="61"/>
      <c r="Z310" s="131"/>
      <c r="AA310" s="61"/>
      <c r="AB310" s="61"/>
      <c r="AC310" s="61"/>
      <c r="AD310" s="61"/>
      <c r="AE310" s="61"/>
      <c r="AF310" s="61"/>
      <c r="AG310" s="61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</row>
    <row r="311" s="24" customFormat="1" hidden="1" customHeight="1" spans="1:122">
      <c r="A311" s="61"/>
      <c r="B311" s="61"/>
      <c r="C311" s="127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131"/>
      <c r="S311" s="61"/>
      <c r="T311" s="61"/>
      <c r="U311" s="61"/>
      <c r="V311" s="61"/>
      <c r="W311" s="61"/>
      <c r="X311" s="61"/>
      <c r="Y311" s="61"/>
      <c r="Z311" s="131"/>
      <c r="AA311" s="61"/>
      <c r="AB311" s="61"/>
      <c r="AC311" s="61"/>
      <c r="AD311" s="61"/>
      <c r="AE311" s="61"/>
      <c r="AF311" s="61"/>
      <c r="AG311" s="61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</row>
    <row r="312" s="24" customFormat="1" hidden="1" customHeight="1" spans="1:122">
      <c r="A312" s="61"/>
      <c r="B312" s="61"/>
      <c r="C312" s="127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131"/>
      <c r="S312" s="61"/>
      <c r="T312" s="61"/>
      <c r="U312" s="61"/>
      <c r="V312" s="61"/>
      <c r="W312" s="61"/>
      <c r="X312" s="61"/>
      <c r="Y312" s="61"/>
      <c r="Z312" s="131"/>
      <c r="AA312" s="61"/>
      <c r="AB312" s="61"/>
      <c r="AC312" s="61"/>
      <c r="AD312" s="61"/>
      <c r="AE312" s="61"/>
      <c r="AF312" s="61"/>
      <c r="AG312" s="61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</row>
    <row r="313" s="24" customFormat="1" hidden="1" customHeight="1" spans="1:122">
      <c r="A313" s="61"/>
      <c r="B313" s="61"/>
      <c r="C313" s="127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131"/>
      <c r="S313" s="61"/>
      <c r="T313" s="61"/>
      <c r="U313" s="61"/>
      <c r="V313" s="61"/>
      <c r="W313" s="61"/>
      <c r="X313" s="61"/>
      <c r="Y313" s="61"/>
      <c r="Z313" s="131"/>
      <c r="AA313" s="61"/>
      <c r="AB313" s="61"/>
      <c r="AC313" s="61"/>
      <c r="AD313" s="61"/>
      <c r="AE313" s="61"/>
      <c r="AF313" s="61"/>
      <c r="AG313" s="61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</row>
    <row r="314" s="24" customFormat="1" hidden="1" customHeight="1" spans="1:122">
      <c r="A314" s="61"/>
      <c r="B314" s="61"/>
      <c r="C314" s="127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131"/>
      <c r="S314" s="61"/>
      <c r="T314" s="61"/>
      <c r="U314" s="61"/>
      <c r="V314" s="61"/>
      <c r="W314" s="61"/>
      <c r="X314" s="61"/>
      <c r="Y314" s="61"/>
      <c r="Z314" s="131"/>
      <c r="AA314" s="61"/>
      <c r="AB314" s="61"/>
      <c r="AC314" s="61"/>
      <c r="AD314" s="61"/>
      <c r="AE314" s="61"/>
      <c r="AF314" s="61"/>
      <c r="AG314" s="61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</row>
    <row r="315" s="24" customFormat="1" hidden="1" customHeight="1" spans="1:122">
      <c r="A315" s="61"/>
      <c r="B315" s="61"/>
      <c r="C315" s="127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131"/>
      <c r="S315" s="61"/>
      <c r="T315" s="61"/>
      <c r="U315" s="61"/>
      <c r="V315" s="61"/>
      <c r="W315" s="61"/>
      <c r="X315" s="61"/>
      <c r="Y315" s="61"/>
      <c r="Z315" s="131"/>
      <c r="AA315" s="61"/>
      <c r="AB315" s="61"/>
      <c r="AC315" s="61"/>
      <c r="AD315" s="61"/>
      <c r="AE315" s="61"/>
      <c r="AF315" s="61"/>
      <c r="AG315" s="61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</row>
    <row r="316" s="24" customFormat="1" hidden="1" customHeight="1" spans="1:122">
      <c r="A316" s="61"/>
      <c r="B316" s="61"/>
      <c r="C316" s="127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131"/>
      <c r="S316" s="61"/>
      <c r="T316" s="61"/>
      <c r="U316" s="61"/>
      <c r="V316" s="61"/>
      <c r="W316" s="61"/>
      <c r="X316" s="61"/>
      <c r="Y316" s="61"/>
      <c r="Z316" s="131"/>
      <c r="AA316" s="61"/>
      <c r="AB316" s="61"/>
      <c r="AC316" s="61"/>
      <c r="AD316" s="61"/>
      <c r="AE316" s="61"/>
      <c r="AF316" s="61"/>
      <c r="AG316" s="61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</row>
    <row r="317" s="24" customFormat="1" hidden="1" customHeight="1" spans="1:122">
      <c r="A317" s="61"/>
      <c r="B317" s="61"/>
      <c r="C317" s="127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131"/>
      <c r="S317" s="61"/>
      <c r="T317" s="61"/>
      <c r="U317" s="61"/>
      <c r="V317" s="61"/>
      <c r="W317" s="61"/>
      <c r="X317" s="61"/>
      <c r="Y317" s="61"/>
      <c r="Z317" s="131"/>
      <c r="AA317" s="61"/>
      <c r="AB317" s="61"/>
      <c r="AC317" s="61"/>
      <c r="AD317" s="61"/>
      <c r="AE317" s="61"/>
      <c r="AF317" s="61"/>
      <c r="AG317" s="61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</row>
    <row r="318" s="24" customFormat="1" hidden="1" customHeight="1" spans="1:122">
      <c r="A318" s="61"/>
      <c r="B318" s="61"/>
      <c r="C318" s="127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131"/>
      <c r="S318" s="61"/>
      <c r="T318" s="61"/>
      <c r="U318" s="61"/>
      <c r="V318" s="61"/>
      <c r="W318" s="61"/>
      <c r="X318" s="61"/>
      <c r="Y318" s="61"/>
      <c r="Z318" s="131"/>
      <c r="AA318" s="61"/>
      <c r="AB318" s="61"/>
      <c r="AC318" s="61"/>
      <c r="AD318" s="61"/>
      <c r="AE318" s="61"/>
      <c r="AF318" s="61"/>
      <c r="AG318" s="61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</row>
    <row r="319" s="24" customFormat="1" hidden="1" customHeight="1" spans="1:122">
      <c r="A319" s="61"/>
      <c r="B319" s="61"/>
      <c r="C319" s="127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131"/>
      <c r="S319" s="61"/>
      <c r="T319" s="61"/>
      <c r="U319" s="61"/>
      <c r="V319" s="61"/>
      <c r="W319" s="61"/>
      <c r="X319" s="61"/>
      <c r="Y319" s="61"/>
      <c r="Z319" s="131"/>
      <c r="AA319" s="61"/>
      <c r="AB319" s="61"/>
      <c r="AC319" s="61"/>
      <c r="AD319" s="61"/>
      <c r="AE319" s="61"/>
      <c r="AF319" s="61"/>
      <c r="AG319" s="61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</row>
    <row r="320" s="24" customFormat="1" hidden="1" customHeight="1" spans="1:122">
      <c r="A320" s="61"/>
      <c r="B320" s="61"/>
      <c r="C320" s="127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131"/>
      <c r="S320" s="61"/>
      <c r="T320" s="61"/>
      <c r="U320" s="61"/>
      <c r="V320" s="61"/>
      <c r="W320" s="61"/>
      <c r="X320" s="61"/>
      <c r="Y320" s="61"/>
      <c r="Z320" s="131"/>
      <c r="AA320" s="61"/>
      <c r="AB320" s="61"/>
      <c r="AC320" s="61"/>
      <c r="AD320" s="61"/>
      <c r="AE320" s="61"/>
      <c r="AF320" s="61"/>
      <c r="AG320" s="61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</row>
    <row r="321" s="24" customFormat="1" hidden="1" customHeight="1" spans="1:122">
      <c r="A321" s="61"/>
      <c r="B321" s="61"/>
      <c r="C321" s="127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131"/>
      <c r="S321" s="61"/>
      <c r="T321" s="61"/>
      <c r="U321" s="61"/>
      <c r="V321" s="61"/>
      <c r="W321" s="61"/>
      <c r="X321" s="61"/>
      <c r="Y321" s="61"/>
      <c r="Z321" s="131"/>
      <c r="AA321" s="61"/>
      <c r="AB321" s="61"/>
      <c r="AC321" s="61"/>
      <c r="AD321" s="61"/>
      <c r="AE321" s="61"/>
      <c r="AF321" s="61"/>
      <c r="AG321" s="61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</row>
    <row r="322" s="24" customFormat="1" hidden="1" customHeight="1" spans="1:122">
      <c r="A322" s="61"/>
      <c r="B322" s="61"/>
      <c r="C322" s="127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131"/>
      <c r="S322" s="61"/>
      <c r="T322" s="61"/>
      <c r="U322" s="61"/>
      <c r="V322" s="61"/>
      <c r="W322" s="61"/>
      <c r="X322" s="61"/>
      <c r="Y322" s="61"/>
      <c r="Z322" s="131"/>
      <c r="AA322" s="61"/>
      <c r="AB322" s="61"/>
      <c r="AC322" s="61"/>
      <c r="AD322" s="61"/>
      <c r="AE322" s="61"/>
      <c r="AF322" s="61"/>
      <c r="AG322" s="61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</row>
    <row r="323" s="24" customFormat="1" hidden="1" customHeight="1" spans="1:122">
      <c r="A323" s="61"/>
      <c r="B323" s="61"/>
      <c r="C323" s="127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131"/>
      <c r="S323" s="61"/>
      <c r="T323" s="61"/>
      <c r="U323" s="61"/>
      <c r="V323" s="61"/>
      <c r="W323" s="61"/>
      <c r="X323" s="61"/>
      <c r="Y323" s="61"/>
      <c r="Z323" s="131"/>
      <c r="AA323" s="61"/>
      <c r="AB323" s="61"/>
      <c r="AC323" s="61"/>
      <c r="AD323" s="61"/>
      <c r="AE323" s="61"/>
      <c r="AF323" s="61"/>
      <c r="AG323" s="61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</row>
    <row r="324" s="24" customFormat="1" hidden="1" customHeight="1" spans="1:122">
      <c r="A324" s="61"/>
      <c r="B324" s="61"/>
      <c r="C324" s="127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131"/>
      <c r="S324" s="61"/>
      <c r="T324" s="61"/>
      <c r="U324" s="61"/>
      <c r="V324" s="61"/>
      <c r="W324" s="61"/>
      <c r="X324" s="61"/>
      <c r="Y324" s="61"/>
      <c r="Z324" s="131"/>
      <c r="AA324" s="61"/>
      <c r="AB324" s="61"/>
      <c r="AC324" s="61"/>
      <c r="AD324" s="61"/>
      <c r="AE324" s="61"/>
      <c r="AF324" s="61"/>
      <c r="AG324" s="61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</row>
    <row r="325" s="24" customFormat="1" hidden="1" customHeight="1" spans="1:122">
      <c r="A325" s="61"/>
      <c r="B325" s="61"/>
      <c r="C325" s="127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131"/>
      <c r="S325" s="61"/>
      <c r="T325" s="61"/>
      <c r="U325" s="61"/>
      <c r="V325" s="61"/>
      <c r="W325" s="61"/>
      <c r="X325" s="61"/>
      <c r="Y325" s="61"/>
      <c r="Z325" s="131"/>
      <c r="AA325" s="61"/>
      <c r="AB325" s="61"/>
      <c r="AC325" s="61"/>
      <c r="AD325" s="61"/>
      <c r="AE325" s="61"/>
      <c r="AF325" s="61"/>
      <c r="AG325" s="61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</row>
    <row r="326" s="24" customFormat="1" hidden="1" customHeight="1" spans="1:122">
      <c r="A326" s="61"/>
      <c r="B326" s="61"/>
      <c r="C326" s="127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131"/>
      <c r="S326" s="61"/>
      <c r="T326" s="61"/>
      <c r="U326" s="61"/>
      <c r="V326" s="61"/>
      <c r="W326" s="61"/>
      <c r="X326" s="61"/>
      <c r="Y326" s="61"/>
      <c r="Z326" s="131"/>
      <c r="AA326" s="61"/>
      <c r="AB326" s="61"/>
      <c r="AC326" s="61"/>
      <c r="AD326" s="61"/>
      <c r="AE326" s="61"/>
      <c r="AF326" s="61"/>
      <c r="AG326" s="61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</row>
    <row r="327" s="24" customFormat="1" hidden="1" customHeight="1" spans="1:122">
      <c r="A327" s="61"/>
      <c r="B327" s="61"/>
      <c r="C327" s="127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131"/>
      <c r="S327" s="61"/>
      <c r="T327" s="61"/>
      <c r="U327" s="61"/>
      <c r="V327" s="61"/>
      <c r="W327" s="61"/>
      <c r="X327" s="61"/>
      <c r="Y327" s="61"/>
      <c r="Z327" s="131"/>
      <c r="AA327" s="61"/>
      <c r="AB327" s="61"/>
      <c r="AC327" s="61"/>
      <c r="AD327" s="61"/>
      <c r="AE327" s="61"/>
      <c r="AF327" s="61"/>
      <c r="AG327" s="61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</row>
    <row r="328" s="24" customFormat="1" hidden="1" customHeight="1" spans="1:122">
      <c r="A328" s="61"/>
      <c r="B328" s="61"/>
      <c r="C328" s="127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131"/>
      <c r="S328" s="61"/>
      <c r="T328" s="61"/>
      <c r="U328" s="61"/>
      <c r="V328" s="61"/>
      <c r="W328" s="61"/>
      <c r="X328" s="61"/>
      <c r="Y328" s="61"/>
      <c r="Z328" s="131"/>
      <c r="AA328" s="61"/>
      <c r="AB328" s="61"/>
      <c r="AC328" s="61"/>
      <c r="AD328" s="61"/>
      <c r="AE328" s="61"/>
      <c r="AF328" s="61"/>
      <c r="AG328" s="61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</row>
    <row r="329" s="24" customFormat="1" hidden="1" customHeight="1" spans="1:122">
      <c r="A329" s="61"/>
      <c r="B329" s="61"/>
      <c r="C329" s="127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131"/>
      <c r="S329" s="61"/>
      <c r="T329" s="61"/>
      <c r="U329" s="61"/>
      <c r="V329" s="61"/>
      <c r="W329" s="61"/>
      <c r="X329" s="61"/>
      <c r="Y329" s="61"/>
      <c r="Z329" s="131"/>
      <c r="AA329" s="61"/>
      <c r="AB329" s="61"/>
      <c r="AC329" s="61"/>
      <c r="AD329" s="61"/>
      <c r="AE329" s="61"/>
      <c r="AF329" s="61"/>
      <c r="AG329" s="61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</row>
    <row r="330" s="24" customFormat="1" hidden="1" customHeight="1" spans="1:122">
      <c r="A330" s="61"/>
      <c r="B330" s="61"/>
      <c r="C330" s="127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131"/>
      <c r="S330" s="61"/>
      <c r="T330" s="61"/>
      <c r="U330" s="61"/>
      <c r="V330" s="61"/>
      <c r="W330" s="61"/>
      <c r="X330" s="61"/>
      <c r="Y330" s="61"/>
      <c r="Z330" s="131"/>
      <c r="AA330" s="61"/>
      <c r="AB330" s="61"/>
      <c r="AC330" s="61"/>
      <c r="AD330" s="61"/>
      <c r="AE330" s="61"/>
      <c r="AF330" s="61"/>
      <c r="AG330" s="61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</row>
    <row r="331" s="24" customFormat="1" hidden="1" customHeight="1" spans="1:122">
      <c r="A331" s="61"/>
      <c r="B331" s="61"/>
      <c r="C331" s="127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131"/>
      <c r="S331" s="61"/>
      <c r="T331" s="61"/>
      <c r="U331" s="61"/>
      <c r="V331" s="61"/>
      <c r="W331" s="61"/>
      <c r="X331" s="61"/>
      <c r="Y331" s="61"/>
      <c r="Z331" s="131"/>
      <c r="AA331" s="61"/>
      <c r="AB331" s="61"/>
      <c r="AC331" s="61"/>
      <c r="AD331" s="61"/>
      <c r="AE331" s="61"/>
      <c r="AF331" s="61"/>
      <c r="AG331" s="61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</row>
    <row r="332" s="24" customFormat="1" hidden="1" customHeight="1" spans="1:122">
      <c r="A332" s="61"/>
      <c r="B332" s="61"/>
      <c r="C332" s="127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131"/>
      <c r="S332" s="61"/>
      <c r="T332" s="61"/>
      <c r="U332" s="61"/>
      <c r="V332" s="61"/>
      <c r="W332" s="61"/>
      <c r="X332" s="61"/>
      <c r="Y332" s="61"/>
      <c r="Z332" s="131"/>
      <c r="AA332" s="61"/>
      <c r="AB332" s="61"/>
      <c r="AC332" s="61"/>
      <c r="AD332" s="61"/>
      <c r="AE332" s="61"/>
      <c r="AF332" s="61"/>
      <c r="AG332" s="61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</row>
    <row r="333" s="24" customFormat="1" hidden="1" customHeight="1" spans="1:122">
      <c r="A333" s="61"/>
      <c r="B333" s="61"/>
      <c r="C333" s="127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131"/>
      <c r="S333" s="61"/>
      <c r="T333" s="61"/>
      <c r="U333" s="61"/>
      <c r="V333" s="61"/>
      <c r="W333" s="61"/>
      <c r="X333" s="61"/>
      <c r="Y333" s="61"/>
      <c r="Z333" s="131"/>
      <c r="AA333" s="61"/>
      <c r="AB333" s="61"/>
      <c r="AC333" s="61"/>
      <c r="AD333" s="61"/>
      <c r="AE333" s="61"/>
      <c r="AF333" s="61"/>
      <c r="AG333" s="61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</row>
    <row r="334" s="24" customFormat="1" hidden="1" customHeight="1" spans="1:122">
      <c r="A334" s="61"/>
      <c r="B334" s="61"/>
      <c r="C334" s="127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131"/>
      <c r="S334" s="61"/>
      <c r="T334" s="61"/>
      <c r="U334" s="61"/>
      <c r="V334" s="61"/>
      <c r="W334" s="61"/>
      <c r="X334" s="61"/>
      <c r="Y334" s="61"/>
      <c r="Z334" s="131"/>
      <c r="AA334" s="61"/>
      <c r="AB334" s="61"/>
      <c r="AC334" s="61"/>
      <c r="AD334" s="61"/>
      <c r="AE334" s="61"/>
      <c r="AF334" s="61"/>
      <c r="AG334" s="61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</row>
    <row r="335" s="24" customFormat="1" hidden="1" customHeight="1" spans="1:122">
      <c r="A335" s="61"/>
      <c r="B335" s="61"/>
      <c r="C335" s="127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131"/>
      <c r="S335" s="61"/>
      <c r="T335" s="61"/>
      <c r="U335" s="61"/>
      <c r="V335" s="61"/>
      <c r="W335" s="61"/>
      <c r="X335" s="61"/>
      <c r="Y335" s="61"/>
      <c r="Z335" s="131"/>
      <c r="AA335" s="61"/>
      <c r="AB335" s="61"/>
      <c r="AC335" s="61"/>
      <c r="AD335" s="61"/>
      <c r="AE335" s="61"/>
      <c r="AF335" s="61"/>
      <c r="AG335" s="61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</row>
    <row r="336" s="24" customFormat="1" hidden="1" customHeight="1" spans="1:122">
      <c r="A336" s="61"/>
      <c r="B336" s="61"/>
      <c r="C336" s="127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131"/>
      <c r="S336" s="61"/>
      <c r="T336" s="61"/>
      <c r="U336" s="61"/>
      <c r="V336" s="61"/>
      <c r="W336" s="61"/>
      <c r="X336" s="61"/>
      <c r="Y336" s="61"/>
      <c r="Z336" s="131"/>
      <c r="AA336" s="61"/>
      <c r="AB336" s="61"/>
      <c r="AC336" s="61"/>
      <c r="AD336" s="61"/>
      <c r="AE336" s="61"/>
      <c r="AF336" s="61"/>
      <c r="AG336" s="61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</row>
    <row r="337" s="24" customFormat="1" hidden="1" customHeight="1" spans="1:122">
      <c r="A337" s="61"/>
      <c r="B337" s="61"/>
      <c r="C337" s="127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131"/>
      <c r="S337" s="61"/>
      <c r="T337" s="61"/>
      <c r="U337" s="61"/>
      <c r="V337" s="61"/>
      <c r="W337" s="61"/>
      <c r="X337" s="61"/>
      <c r="Y337" s="61"/>
      <c r="Z337" s="131"/>
      <c r="AA337" s="61"/>
      <c r="AB337" s="61"/>
      <c r="AC337" s="61"/>
      <c r="AD337" s="61"/>
      <c r="AE337" s="61"/>
      <c r="AF337" s="61"/>
      <c r="AG337" s="61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</row>
    <row r="338" s="24" customFormat="1" hidden="1" customHeight="1" spans="1:122">
      <c r="A338" s="61"/>
      <c r="B338" s="61"/>
      <c r="C338" s="127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131"/>
      <c r="S338" s="61"/>
      <c r="T338" s="61"/>
      <c r="U338" s="61"/>
      <c r="V338" s="61"/>
      <c r="W338" s="61"/>
      <c r="X338" s="61"/>
      <c r="Y338" s="61"/>
      <c r="Z338" s="131"/>
      <c r="AA338" s="61"/>
      <c r="AB338" s="61"/>
      <c r="AC338" s="61"/>
      <c r="AD338" s="61"/>
      <c r="AE338" s="61"/>
      <c r="AF338" s="61"/>
      <c r="AG338" s="61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</row>
    <row r="339" s="24" customFormat="1" hidden="1" customHeight="1" spans="1:122">
      <c r="A339" s="61"/>
      <c r="B339" s="61"/>
      <c r="C339" s="127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131"/>
      <c r="S339" s="61"/>
      <c r="T339" s="61"/>
      <c r="U339" s="61"/>
      <c r="V339" s="61"/>
      <c r="W339" s="61"/>
      <c r="X339" s="61"/>
      <c r="Y339" s="61"/>
      <c r="Z339" s="131"/>
      <c r="AA339" s="61"/>
      <c r="AB339" s="61"/>
      <c r="AC339" s="61"/>
      <c r="AD339" s="61"/>
      <c r="AE339" s="61"/>
      <c r="AF339" s="61"/>
      <c r="AG339" s="61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</row>
    <row r="340" s="24" customFormat="1" hidden="1" customHeight="1" spans="1:122">
      <c r="A340" s="61"/>
      <c r="B340" s="61"/>
      <c r="C340" s="127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131"/>
      <c r="S340" s="61"/>
      <c r="T340" s="61"/>
      <c r="U340" s="61"/>
      <c r="V340" s="61"/>
      <c r="W340" s="61"/>
      <c r="X340" s="61"/>
      <c r="Y340" s="61"/>
      <c r="Z340" s="131"/>
      <c r="AA340" s="61"/>
      <c r="AB340" s="61"/>
      <c r="AC340" s="61"/>
      <c r="AD340" s="61"/>
      <c r="AE340" s="61"/>
      <c r="AF340" s="61"/>
      <c r="AG340" s="61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</row>
    <row r="341" s="24" customFormat="1" hidden="1" customHeight="1" spans="1:122">
      <c r="A341" s="61"/>
      <c r="B341" s="61"/>
      <c r="C341" s="127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131"/>
      <c r="S341" s="61"/>
      <c r="T341" s="61"/>
      <c r="U341" s="61"/>
      <c r="V341" s="61"/>
      <c r="W341" s="61"/>
      <c r="X341" s="61"/>
      <c r="Y341" s="61"/>
      <c r="Z341" s="131"/>
      <c r="AA341" s="61"/>
      <c r="AB341" s="61"/>
      <c r="AC341" s="61"/>
      <c r="AD341" s="61"/>
      <c r="AE341" s="61"/>
      <c r="AF341" s="61"/>
      <c r="AG341" s="61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</row>
  </sheetData>
  <sheetProtection password="CE28" sheet="1" formatCells="0" formatColumns="0" objects="1" scenarios="1"/>
  <customSheetViews>
    <customSheetView guid="{0E659955-9737-492F-945A-95AC3E0C4088}" showPageBreaks="1" printArea="1" hiddenRows="1" hiddenColumns="1">
      <selection activeCell="AG1" sqref="AG1:AG62"/>
      <pageMargins left="0.1" right="0" top="0" bottom="0" header="0" footer="0"/>
      <printOptions verticalCentered="1"/>
      <pageSetup paperSize="9" scale="85" orientation="portrait" blackAndWhite="1"/>
      <headerFooter alignWithMargins="0">
        <oddHeader>&amp;R  </oddHeader>
      </headerFooter>
    </customSheetView>
    <customSheetView guid="{6B449CA7-43A5-4BFF-BFE3-4A3E3D45323D}" showGridLines="0" showRowCol="0" hiddenRows="1" hiddenColumns="1">
      <selection activeCell="AC1" sqref="AC1:AE1"/>
      <pageMargins left="0.63" right="0" top="0" bottom="0" header="0" footer="0"/>
      <printOptions verticalCentered="1"/>
      <pageSetup paperSize="9" scale="91" orientation="portrait" blackAndWhite="1"/>
      <headerFooter alignWithMargins="0">
        <oddHeader>&amp;R  </oddHeader>
      </headerFooter>
    </customSheetView>
  </customSheetViews>
  <mergeCells count="176">
    <mergeCell ref="A1:J1"/>
    <mergeCell ref="K1:L1"/>
    <mergeCell ref="M1:N1"/>
    <mergeCell ref="O1:AB1"/>
    <mergeCell ref="AC1:AE1"/>
    <mergeCell ref="C2:AE2"/>
    <mergeCell ref="C3:L3"/>
    <mergeCell ref="V3:AE3"/>
    <mergeCell ref="C4:E4"/>
    <mergeCell ref="R4:U4"/>
    <mergeCell ref="C6:E6"/>
    <mergeCell ref="R6:U6"/>
    <mergeCell ref="C8:H8"/>
    <mergeCell ref="I8:W8"/>
    <mergeCell ref="X8:Y8"/>
    <mergeCell ref="Z8:AE8"/>
    <mergeCell ref="C9:H9"/>
    <mergeCell ref="I9:U9"/>
    <mergeCell ref="V9:Y9"/>
    <mergeCell ref="Z9:AE9"/>
    <mergeCell ref="C10:H10"/>
    <mergeCell ref="I10:O10"/>
    <mergeCell ref="P10:Q10"/>
    <mergeCell ref="R10:U10"/>
    <mergeCell ref="V10:Y10"/>
    <mergeCell ref="Z10:AE10"/>
    <mergeCell ref="D13:Q13"/>
    <mergeCell ref="AA13:AE13"/>
    <mergeCell ref="D14:E14"/>
    <mergeCell ref="G14:Q14"/>
    <mergeCell ref="S14:V14"/>
    <mergeCell ref="G15:Q15"/>
    <mergeCell ref="S15:V15"/>
    <mergeCell ref="G16:Q16"/>
    <mergeCell ref="S16:V16"/>
    <mergeCell ref="G17:Q17"/>
    <mergeCell ref="S17:V17"/>
    <mergeCell ref="G18:Q18"/>
    <mergeCell ref="S18:V18"/>
    <mergeCell ref="W18:Y18"/>
    <mergeCell ref="AA18:AE18"/>
    <mergeCell ref="D19:P19"/>
    <mergeCell ref="AA19:AE19"/>
    <mergeCell ref="D20:P20"/>
    <mergeCell ref="E21:J21"/>
    <mergeCell ref="L21:N21"/>
    <mergeCell ref="Q21:V21"/>
    <mergeCell ref="X21:Z21"/>
    <mergeCell ref="E22:J22"/>
    <mergeCell ref="L22:N22"/>
    <mergeCell ref="Q22:V22"/>
    <mergeCell ref="X22:Z22"/>
    <mergeCell ref="E23:J23"/>
    <mergeCell ref="L23:N23"/>
    <mergeCell ref="Q23:V23"/>
    <mergeCell ref="X23:Z23"/>
    <mergeCell ref="E24:J24"/>
    <mergeCell ref="L24:N24"/>
    <mergeCell ref="Q24:V24"/>
    <mergeCell ref="X24:Z24"/>
    <mergeCell ref="E25:J25"/>
    <mergeCell ref="L25:N25"/>
    <mergeCell ref="Q25:V25"/>
    <mergeCell ref="X25:Z25"/>
    <mergeCell ref="E26:J26"/>
    <mergeCell ref="L26:N26"/>
    <mergeCell ref="Q26:V26"/>
    <mergeCell ref="X26:Z26"/>
    <mergeCell ref="E27:J27"/>
    <mergeCell ref="L27:N27"/>
    <mergeCell ref="Q27:V27"/>
    <mergeCell ref="X27:Z27"/>
    <mergeCell ref="C29:N29"/>
    <mergeCell ref="Q29:V29"/>
    <mergeCell ref="D30:P30"/>
    <mergeCell ref="E31:Q31"/>
    <mergeCell ref="S31:V31"/>
    <mergeCell ref="E32:Q32"/>
    <mergeCell ref="S32:V32"/>
    <mergeCell ref="E33:Q33"/>
    <mergeCell ref="S33:V33"/>
    <mergeCell ref="E34:Q34"/>
    <mergeCell ref="S34:V34"/>
    <mergeCell ref="E35:Q35"/>
    <mergeCell ref="S35:V35"/>
    <mergeCell ref="AB35:AE35"/>
    <mergeCell ref="E36:Q36"/>
    <mergeCell ref="S36:V36"/>
    <mergeCell ref="E37:Q37"/>
    <mergeCell ref="S37:V37"/>
    <mergeCell ref="E38:Q38"/>
    <mergeCell ref="S38:V38"/>
    <mergeCell ref="E39:Q39"/>
    <mergeCell ref="S39:V39"/>
    <mergeCell ref="W39:AA39"/>
    <mergeCell ref="AB39:AE39"/>
    <mergeCell ref="D41:J41"/>
    <mergeCell ref="Q41:X41"/>
    <mergeCell ref="Z41:AE41"/>
    <mergeCell ref="D42:P42"/>
    <mergeCell ref="J43:N43"/>
    <mergeCell ref="S43:V43"/>
    <mergeCell ref="S44:V44"/>
    <mergeCell ref="S45:V45"/>
    <mergeCell ref="K46:P46"/>
    <mergeCell ref="S46:V46"/>
    <mergeCell ref="K47:P47"/>
    <mergeCell ref="S47:V47"/>
    <mergeCell ref="K48:P48"/>
    <mergeCell ref="S48:V48"/>
    <mergeCell ref="C49:X49"/>
    <mergeCell ref="AA49:AE49"/>
    <mergeCell ref="D50:Y50"/>
    <mergeCell ref="AA50:AE50"/>
    <mergeCell ref="D51:Y51"/>
    <mergeCell ref="AA51:AE51"/>
    <mergeCell ref="D52:Y52"/>
    <mergeCell ref="AA52:AE52"/>
    <mergeCell ref="D53:Y53"/>
    <mergeCell ref="AA53:AE53"/>
    <mergeCell ref="D54:Y54"/>
    <mergeCell ref="AA54:AE54"/>
    <mergeCell ref="D55:Y55"/>
    <mergeCell ref="AA55:AE55"/>
    <mergeCell ref="D56:Y56"/>
    <mergeCell ref="AA56:AE56"/>
    <mergeCell ref="D57:Y57"/>
    <mergeCell ref="AA57:AE57"/>
    <mergeCell ref="D58:Y58"/>
    <mergeCell ref="AA58:AE58"/>
    <mergeCell ref="D59:Y59"/>
    <mergeCell ref="AA59:AE59"/>
    <mergeCell ref="D60:Y60"/>
    <mergeCell ref="AA60:AE60"/>
    <mergeCell ref="D61:Y61"/>
    <mergeCell ref="AA61:AE61"/>
    <mergeCell ref="C62:AE62"/>
    <mergeCell ref="S72:V72"/>
    <mergeCell ref="G74:H74"/>
    <mergeCell ref="L74:M74"/>
    <mergeCell ref="O74:Q74"/>
    <mergeCell ref="J75:M75"/>
    <mergeCell ref="O75:Q75"/>
    <mergeCell ref="R75:T75"/>
    <mergeCell ref="U75:V75"/>
    <mergeCell ref="R76:T76"/>
    <mergeCell ref="R78:T78"/>
    <mergeCell ref="U78:V78"/>
    <mergeCell ref="C79:F79"/>
    <mergeCell ref="R80:T80"/>
    <mergeCell ref="Y80:AB80"/>
    <mergeCell ref="Y81:AB81"/>
    <mergeCell ref="C82:D82"/>
    <mergeCell ref="S82:V82"/>
    <mergeCell ref="Y82:AB82"/>
    <mergeCell ref="Y83:AB83"/>
    <mergeCell ref="S84:V84"/>
    <mergeCell ref="Y84:AB84"/>
    <mergeCell ref="S85:V85"/>
    <mergeCell ref="Y85:AB85"/>
    <mergeCell ref="C86:E86"/>
    <mergeCell ref="S86:V86"/>
    <mergeCell ref="Y86:AB86"/>
    <mergeCell ref="C87:E87"/>
    <mergeCell ref="S87:V87"/>
    <mergeCell ref="C88:E88"/>
    <mergeCell ref="S88:V88"/>
    <mergeCell ref="C89:E89"/>
    <mergeCell ref="S89:V89"/>
    <mergeCell ref="S90:V90"/>
    <mergeCell ref="C91:E91"/>
    <mergeCell ref="S91:V91"/>
    <mergeCell ref="C92:E92"/>
    <mergeCell ref="C94:D94"/>
    <mergeCell ref="C95:D95"/>
    <mergeCell ref="C96:D96"/>
  </mergeCells>
  <dataValidations count="2">
    <dataValidation type="list" allowBlank="1" showInputMessage="1" showErrorMessage="1" sqref="K1">
      <formula1>"હા,ના"</formula1>
    </dataValidation>
    <dataValidation type="list" allowBlank="1" showInputMessage="1" showErrorMessage="1" sqref="AC1:AE1">
      <formula1>$AM$2:$AM$3</formula1>
    </dataValidation>
  </dataValidations>
  <printOptions verticalCentered="1"/>
  <pageMargins left="0.1" right="0" top="0" bottom="0" header="0" footer="0"/>
  <pageSetup paperSize="9" scale="85" orientation="portrait" blackAndWhite="1"/>
  <headerFooter alignWithMargins="0">
    <oddHeader>&amp;R  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168"/>
  <sheetViews>
    <sheetView topLeftCell="XFD1048576" workbookViewId="0">
      <selection activeCell="A4" sqref="$A1:$XFD1048576"/>
    </sheetView>
  </sheetViews>
  <sheetFormatPr defaultColWidth="0" defaultRowHeight="3.5" zeroHeight="1"/>
  <cols>
    <col min="1" max="1" width="10.5454545454545" style="8" hidden="1" customWidth="1"/>
    <col min="2" max="256" width="9.18181818181818" style="8" hidden="1" customWidth="1"/>
    <col min="257" max="16384" width="0" style="9" hidden="1"/>
  </cols>
  <sheetData>
    <row r="1" hidden="1" spans="1:13">
      <c r="A1" s="10" t="s">
        <v>49</v>
      </c>
      <c r="B1" s="10"/>
      <c r="C1" s="10"/>
      <c r="D1" s="10"/>
      <c r="E1" s="10"/>
      <c r="F1" s="10"/>
      <c r="G1" s="10"/>
      <c r="H1" s="11"/>
      <c r="I1" s="11"/>
      <c r="J1" s="12">
        <v>0</v>
      </c>
      <c r="K1" s="16"/>
      <c r="L1" s="17"/>
      <c r="M1" s="17"/>
    </row>
    <row r="2" hidden="1" spans="1:13">
      <c r="A2" s="12">
        <f t="shared" ref="A2:F2" si="0">A3*A4</f>
        <v>0</v>
      </c>
      <c r="B2" s="10">
        <f t="shared" si="0"/>
        <v>0</v>
      </c>
      <c r="C2" s="10">
        <f t="shared" si="0"/>
        <v>72000</v>
      </c>
      <c r="D2" s="10">
        <f t="shared" si="0"/>
        <v>200</v>
      </c>
      <c r="E2" s="10">
        <f t="shared" si="0"/>
        <v>34</v>
      </c>
      <c r="F2" s="10">
        <f t="shared" si="0"/>
        <v>0</v>
      </c>
      <c r="G2" s="10"/>
      <c r="H2" s="11"/>
      <c r="I2" s="11"/>
      <c r="J2" s="12">
        <v>1</v>
      </c>
      <c r="K2" s="16" t="s">
        <v>238</v>
      </c>
      <c r="L2" s="16" t="s">
        <v>238</v>
      </c>
      <c r="M2" s="16" t="s">
        <v>238</v>
      </c>
    </row>
    <row r="3" hidden="1" spans="1:13">
      <c r="A3" s="12">
        <v>10000000</v>
      </c>
      <c r="B3" s="10">
        <v>100000</v>
      </c>
      <c r="C3" s="10">
        <v>1000</v>
      </c>
      <c r="D3" s="10">
        <v>100</v>
      </c>
      <c r="E3" s="10">
        <v>1</v>
      </c>
      <c r="F3" s="10">
        <v>1</v>
      </c>
      <c r="G3" s="10"/>
      <c r="H3" s="11"/>
      <c r="I3" s="11"/>
      <c r="J3" s="12">
        <v>2</v>
      </c>
      <c r="K3" s="16" t="s">
        <v>239</v>
      </c>
      <c r="L3" s="16" t="s">
        <v>239</v>
      </c>
      <c r="M3" s="16" t="s">
        <v>240</v>
      </c>
    </row>
    <row r="4" hidden="1" spans="1:13">
      <c r="A4" s="12">
        <f>TRUNC(A9/A3)</f>
        <v>0</v>
      </c>
      <c r="B4" s="10">
        <f>TRUNC((A9-A2)/B3)</f>
        <v>0</v>
      </c>
      <c r="C4" s="10">
        <f>TRUNC((A9-A2-B2)/C3)</f>
        <v>72</v>
      </c>
      <c r="D4" s="10">
        <f>TRUNC((A9-A2-B2-C2)/D3)</f>
        <v>2</v>
      </c>
      <c r="E4" s="10">
        <f>TRUNC((A9-A2-B2-C2-D2)/E3)</f>
        <v>34</v>
      </c>
      <c r="F4" s="10">
        <f>ROUND((A9-(SUM(A2:E2)))*100,0)</f>
        <v>0</v>
      </c>
      <c r="G4" s="10"/>
      <c r="H4" s="11"/>
      <c r="I4" s="11"/>
      <c r="J4" s="12">
        <v>3</v>
      </c>
      <c r="K4" s="18" t="s">
        <v>241</v>
      </c>
      <c r="L4" s="18" t="s">
        <v>241</v>
      </c>
      <c r="M4" s="18" t="s">
        <v>241</v>
      </c>
    </row>
    <row r="5" hidden="1" spans="1:13">
      <c r="A5" s="12" t="s">
        <v>49</v>
      </c>
      <c r="B5" s="10" t="s">
        <v>49</v>
      </c>
      <c r="C5" s="10" t="s">
        <v>49</v>
      </c>
      <c r="D5" s="10" t="s">
        <v>49</v>
      </c>
      <c r="E5" s="10" t="s">
        <v>49</v>
      </c>
      <c r="F5" s="10" t="s">
        <v>49</v>
      </c>
      <c r="G5" s="10" t="s">
        <v>49</v>
      </c>
      <c r="H5" s="11"/>
      <c r="I5" s="11"/>
      <c r="J5" s="12">
        <v>4</v>
      </c>
      <c r="K5" s="16" t="s">
        <v>242</v>
      </c>
      <c r="L5" s="16" t="s">
        <v>242</v>
      </c>
      <c r="M5" s="16" t="s">
        <v>242</v>
      </c>
    </row>
    <row r="6" hidden="1" spans="1:13">
      <c r="A6" s="12" t="str">
        <f>IF(A4=0,"",VLOOKUP(A4,$J$1:$K$100,2))</f>
        <v/>
      </c>
      <c r="B6" s="12" t="str">
        <f>IF(B4=0,"",VLOOKUP(B4,$J$1:$K$100,2))</f>
        <v/>
      </c>
      <c r="C6" s="12" t="str">
        <f>IF(C4=0,"",VLOOKUP(C4,$J$1:$K$100,2))</f>
        <v>બોતેર</v>
      </c>
      <c r="D6" s="12" t="str">
        <f>IF(D4=0,"",VLOOKUP(D4,$J$1:$M$100,4))</f>
        <v>બ</v>
      </c>
      <c r="E6" s="12" t="str">
        <f>IF(E4=0,"",VLOOKUP(E4,$J$1:$K$100,2))</f>
        <v>ચોત્રીસ</v>
      </c>
      <c r="F6" s="12" t="str">
        <f>IF(F4=0,"",VLOOKUP(F4,$J$1:$K$100,2))</f>
        <v/>
      </c>
      <c r="G6" s="10"/>
      <c r="H6" s="11"/>
      <c r="I6" s="11"/>
      <c r="J6" s="12">
        <v>5</v>
      </c>
      <c r="K6" s="16" t="s">
        <v>243</v>
      </c>
      <c r="L6" s="16" t="s">
        <v>243</v>
      </c>
      <c r="M6" s="16" t="s">
        <v>243</v>
      </c>
    </row>
    <row r="7" hidden="1" spans="1:13">
      <c r="A7" s="12" t="str">
        <f>IF(A6&lt;&gt;""," કરોડ ","")</f>
        <v/>
      </c>
      <c r="B7" s="12" t="str">
        <f>IF(B6&lt;&gt;""," લાખ ","")</f>
        <v/>
      </c>
      <c r="C7" s="12" t="str">
        <f>IF(C6&lt;&gt;"","  હજાર ","")</f>
        <v>  હજાર </v>
      </c>
      <c r="D7" s="12" t="str">
        <f>IF(D6&lt;&gt;"","સો","")</f>
        <v>સો</v>
      </c>
      <c r="E7" s="12" t="str">
        <f>IF(E6&lt;&gt;"","","")</f>
        <v/>
      </c>
      <c r="F7" s="12" t="str">
        <f>IF(F6&lt;&gt;""," પૈસા ","")</f>
        <v/>
      </c>
      <c r="G7" s="12" t="str">
        <f>IF(F6&lt;&gt;""," અને ","")</f>
        <v/>
      </c>
      <c r="H7" s="11"/>
      <c r="I7" s="11"/>
      <c r="J7" s="12">
        <v>6</v>
      </c>
      <c r="K7" s="16" t="s">
        <v>244</v>
      </c>
      <c r="L7" s="16" t="s">
        <v>244</v>
      </c>
      <c r="M7" s="16" t="s">
        <v>244</v>
      </c>
    </row>
    <row r="8" hidden="1" spans="1:13">
      <c r="A8" s="11"/>
      <c r="B8" s="11"/>
      <c r="C8" s="11"/>
      <c r="D8" s="11"/>
      <c r="E8" s="11"/>
      <c r="F8" s="11"/>
      <c r="G8" s="11"/>
      <c r="H8" s="11"/>
      <c r="I8" s="11"/>
      <c r="J8" s="12">
        <v>7</v>
      </c>
      <c r="K8" s="16" t="s">
        <v>245</v>
      </c>
      <c r="L8" s="16" t="s">
        <v>245</v>
      </c>
      <c r="M8" s="16" t="s">
        <v>245</v>
      </c>
    </row>
    <row r="9" hidden="1" spans="1:13">
      <c r="A9" s="13">
        <f>'નવા સ્લેબ મુજબ (NEW SLAB)'!AA55</f>
        <v>72234</v>
      </c>
      <c r="B9" s="11"/>
      <c r="C9" s="11"/>
      <c r="D9" s="11"/>
      <c r="E9" s="11"/>
      <c r="F9" s="11"/>
      <c r="G9" s="11"/>
      <c r="H9" s="11"/>
      <c r="I9" s="11"/>
      <c r="J9" s="12">
        <v>8</v>
      </c>
      <c r="K9" s="16" t="s">
        <v>246</v>
      </c>
      <c r="L9" s="16" t="s">
        <v>246</v>
      </c>
      <c r="M9" s="16" t="s">
        <v>246</v>
      </c>
    </row>
    <row r="10" hidden="1" spans="1:13">
      <c r="A10" s="11"/>
      <c r="B10" s="11"/>
      <c r="C10" s="11"/>
      <c r="D10" s="11"/>
      <c r="E10" s="11"/>
      <c r="F10" s="11"/>
      <c r="G10" s="11"/>
      <c r="H10" s="11"/>
      <c r="I10" s="11"/>
      <c r="J10" s="12">
        <v>9</v>
      </c>
      <c r="K10" s="16" t="s">
        <v>247</v>
      </c>
      <c r="L10" s="16" t="s">
        <v>247</v>
      </c>
      <c r="M10" s="16" t="s">
        <v>247</v>
      </c>
    </row>
    <row r="11" hidden="1" spans="1:13">
      <c r="A11" s="11"/>
      <c r="B11" s="11"/>
      <c r="C11" s="11"/>
      <c r="D11" s="11"/>
      <c r="E11" s="11"/>
      <c r="F11" s="11"/>
      <c r="G11" s="11"/>
      <c r="H11" s="11"/>
      <c r="I11" s="11"/>
      <c r="J11" s="12">
        <v>10</v>
      </c>
      <c r="K11" s="16" t="s">
        <v>248</v>
      </c>
      <c r="L11" s="17"/>
      <c r="M11" s="17"/>
    </row>
    <row r="12" ht="15" hidden="1" customHeight="1" spans="1:13">
      <c r="A12" s="14" t="str">
        <f>CONCATENATE("અંકે રૂપિયા ",A6,A7,B6,B7,C6,C7,D6,D7,E6,E7,G7,F6,F7,A1,"પુરા")</f>
        <v>અંકે રૂપિયા બોતેર  હજાર બસોચોત્રીસ પુરા</v>
      </c>
      <c r="B12" s="14"/>
      <c r="C12" s="14"/>
      <c r="D12" s="14"/>
      <c r="E12" s="14"/>
      <c r="F12" s="14"/>
      <c r="G12" s="14"/>
      <c r="H12" s="11"/>
      <c r="I12" s="11"/>
      <c r="J12" s="12">
        <v>11</v>
      </c>
      <c r="K12" s="16" t="s">
        <v>249</v>
      </c>
      <c r="L12" s="17"/>
      <c r="M12" s="17"/>
    </row>
    <row r="13" hidden="1" spans="1:13">
      <c r="A13" s="15"/>
      <c r="B13" s="15"/>
      <c r="C13" s="15"/>
      <c r="D13" s="15"/>
      <c r="E13" s="15"/>
      <c r="F13" s="15"/>
      <c r="G13" s="15"/>
      <c r="H13" s="15"/>
      <c r="I13" s="15"/>
      <c r="J13" s="12">
        <v>12</v>
      </c>
      <c r="K13" s="16" t="s">
        <v>250</v>
      </c>
      <c r="L13" s="17"/>
      <c r="M13" s="17"/>
    </row>
    <row r="14" hidden="1" spans="1:13">
      <c r="A14" s="10" t="s">
        <v>49</v>
      </c>
      <c r="B14" s="10"/>
      <c r="C14" s="10"/>
      <c r="D14" s="10"/>
      <c r="E14" s="10"/>
      <c r="F14" s="10"/>
      <c r="G14" s="10"/>
      <c r="H14" s="11"/>
      <c r="I14" s="11"/>
      <c r="J14" s="12">
        <v>13</v>
      </c>
      <c r="K14" s="16" t="s">
        <v>251</v>
      </c>
      <c r="L14" s="17"/>
      <c r="M14" s="17"/>
    </row>
    <row r="15" hidden="1" spans="1:13">
      <c r="A15" s="12">
        <f t="shared" ref="A15:F15" si="1">A16*A17</f>
        <v>0</v>
      </c>
      <c r="B15" s="10">
        <f t="shared" si="1"/>
        <v>0</v>
      </c>
      <c r="C15" s="10">
        <f t="shared" si="1"/>
        <v>51000</v>
      </c>
      <c r="D15" s="10">
        <f t="shared" si="1"/>
        <v>600</v>
      </c>
      <c r="E15" s="10">
        <f t="shared" si="1"/>
        <v>13</v>
      </c>
      <c r="F15" s="10">
        <f t="shared" si="1"/>
        <v>0</v>
      </c>
      <c r="G15" s="10"/>
      <c r="H15" s="11"/>
      <c r="I15" s="11"/>
      <c r="J15" s="12">
        <v>14</v>
      </c>
      <c r="K15" s="16" t="s">
        <v>252</v>
      </c>
      <c r="L15" s="17"/>
      <c r="M15" s="17"/>
    </row>
    <row r="16" hidden="1" spans="1:13">
      <c r="A16" s="12">
        <v>10000000</v>
      </c>
      <c r="B16" s="10">
        <v>100000</v>
      </c>
      <c r="C16" s="10">
        <v>1000</v>
      </c>
      <c r="D16" s="10">
        <v>100</v>
      </c>
      <c r="E16" s="10">
        <v>1</v>
      </c>
      <c r="F16" s="10">
        <v>1</v>
      </c>
      <c r="G16" s="10"/>
      <c r="H16" s="11"/>
      <c r="I16" s="11"/>
      <c r="J16" s="12">
        <v>15</v>
      </c>
      <c r="K16" s="16" t="s">
        <v>253</v>
      </c>
      <c r="L16" s="17"/>
      <c r="M16" s="17"/>
    </row>
    <row r="17" hidden="1" spans="1:13">
      <c r="A17" s="12">
        <f>TRUNC(A22/A16)</f>
        <v>0</v>
      </c>
      <c r="B17" s="10">
        <f>TRUNC((A22-A15)/B16)</f>
        <v>0</v>
      </c>
      <c r="C17" s="10">
        <f>TRUNC((A22-A15-B15)/C16)</f>
        <v>51</v>
      </c>
      <c r="D17" s="10">
        <f>TRUNC((A22-A15-B15-C15)/D16)</f>
        <v>6</v>
      </c>
      <c r="E17" s="10">
        <f>TRUNC((A22-A15-B15-C15-D15)/E16)</f>
        <v>13</v>
      </c>
      <c r="F17" s="10">
        <f>ROUND((A22-(SUM(A15:E15)))*100,0)</f>
        <v>0</v>
      </c>
      <c r="G17" s="10"/>
      <c r="H17" s="11"/>
      <c r="I17" s="11"/>
      <c r="J17" s="12">
        <v>16</v>
      </c>
      <c r="K17" s="16" t="s">
        <v>254</v>
      </c>
      <c r="L17" s="17"/>
      <c r="M17" s="17"/>
    </row>
    <row r="18" hidden="1" spans="1:13">
      <c r="A18" s="12" t="s">
        <v>49</v>
      </c>
      <c r="B18" s="10" t="s">
        <v>49</v>
      </c>
      <c r="C18" s="10" t="s">
        <v>49</v>
      </c>
      <c r="D18" s="10" t="s">
        <v>49</v>
      </c>
      <c r="E18" s="10" t="s">
        <v>49</v>
      </c>
      <c r="F18" s="10" t="s">
        <v>49</v>
      </c>
      <c r="G18" s="10" t="s">
        <v>49</v>
      </c>
      <c r="H18" s="11"/>
      <c r="I18" s="11"/>
      <c r="J18" s="12">
        <v>17</v>
      </c>
      <c r="K18" s="16" t="s">
        <v>255</v>
      </c>
      <c r="L18" s="17"/>
      <c r="M18" s="17"/>
    </row>
    <row r="19" hidden="1" spans="1:13">
      <c r="A19" s="12" t="str">
        <f>IF(A17=0,"",VLOOKUP(A17,$J$1:$K$100,2))</f>
        <v/>
      </c>
      <c r="B19" s="12" t="str">
        <f>IF(B17=0,"",VLOOKUP(B17,$J$1:$K$100,2))</f>
        <v/>
      </c>
      <c r="C19" s="12" t="str">
        <f>IF(C17=0,"",VLOOKUP(C17,$J$1:$K$100,2))</f>
        <v>એકાવન</v>
      </c>
      <c r="D19" s="12" t="str">
        <f>IF(D17=0,"",VLOOKUP(D17,$J$1:$M$100,4))</f>
        <v>છ</v>
      </c>
      <c r="E19" s="12" t="str">
        <f>IF(E17=0,"",VLOOKUP(E17,$J$1:$K$100,2))</f>
        <v>તેર</v>
      </c>
      <c r="F19" s="12" t="str">
        <f>IF(F17=0,"",VLOOKUP(F17,$J$1:$K$100,2))</f>
        <v/>
      </c>
      <c r="G19" s="10"/>
      <c r="H19" s="11"/>
      <c r="I19" s="11"/>
      <c r="J19" s="12">
        <v>18</v>
      </c>
      <c r="K19" s="16" t="s">
        <v>256</v>
      </c>
      <c r="L19" s="17"/>
      <c r="M19" s="17"/>
    </row>
    <row r="20" hidden="1" spans="1:13">
      <c r="A20" s="12" t="str">
        <f>IF(A19&lt;&gt;""," કરોડ ","")</f>
        <v/>
      </c>
      <c r="B20" s="12" t="str">
        <f>IF(B19&lt;&gt;""," લાખ ","")</f>
        <v/>
      </c>
      <c r="C20" s="12" t="str">
        <f>IF(C19&lt;&gt;"","  હજાર ","")</f>
        <v>  હજાર </v>
      </c>
      <c r="D20" s="12" t="str">
        <f>IF(D19&lt;&gt;"","સો","")</f>
        <v>સો</v>
      </c>
      <c r="E20" s="12" t="str">
        <f>IF(E19&lt;&gt;"","","")</f>
        <v/>
      </c>
      <c r="F20" s="12" t="str">
        <f>IF(F19&lt;&gt;""," પૈસા ","")</f>
        <v/>
      </c>
      <c r="G20" s="12" t="str">
        <f>IF(F19&lt;&gt;""," અને ","")</f>
        <v/>
      </c>
      <c r="H20" s="11"/>
      <c r="I20" s="11"/>
      <c r="J20" s="12">
        <v>19</v>
      </c>
      <c r="K20" s="16" t="s">
        <v>257</v>
      </c>
      <c r="L20" s="17"/>
      <c r="M20" s="17"/>
    </row>
    <row r="21" hidden="1" spans="1:13">
      <c r="A21" s="11"/>
      <c r="B21" s="11"/>
      <c r="C21" s="11"/>
      <c r="D21" s="11"/>
      <c r="E21" s="11"/>
      <c r="F21" s="11"/>
      <c r="G21" s="11"/>
      <c r="H21" s="11"/>
      <c r="I21" s="11"/>
      <c r="J21" s="12">
        <v>20</v>
      </c>
      <c r="K21" s="16" t="s">
        <v>258</v>
      </c>
      <c r="L21" s="17"/>
      <c r="M21" s="17"/>
    </row>
    <row r="22" hidden="1" spans="1:13">
      <c r="A22" s="13">
        <f>'જૂન સ્લેબ મુજબ (OLD SLAB)'!AA55</f>
        <v>51613</v>
      </c>
      <c r="B22" s="11"/>
      <c r="C22" s="11"/>
      <c r="D22" s="11"/>
      <c r="E22" s="11"/>
      <c r="F22" s="11"/>
      <c r="G22" s="11"/>
      <c r="H22" s="11"/>
      <c r="I22" s="11"/>
      <c r="J22" s="12">
        <v>21</v>
      </c>
      <c r="K22" s="16" t="s">
        <v>259</v>
      </c>
      <c r="L22" s="17"/>
      <c r="M22" s="17"/>
    </row>
    <row r="23" hidden="1" spans="1:13">
      <c r="A23" s="11"/>
      <c r="B23" s="11"/>
      <c r="C23" s="11"/>
      <c r="D23" s="11"/>
      <c r="E23" s="11"/>
      <c r="F23" s="11"/>
      <c r="G23" s="11"/>
      <c r="H23" s="11"/>
      <c r="I23" s="11"/>
      <c r="J23" s="12">
        <v>22</v>
      </c>
      <c r="K23" s="16" t="s">
        <v>260</v>
      </c>
      <c r="L23" s="17"/>
      <c r="M23" s="17"/>
    </row>
    <row r="24" hidden="1" spans="1:13">
      <c r="A24" s="11"/>
      <c r="B24" s="11"/>
      <c r="C24" s="11"/>
      <c r="D24" s="11"/>
      <c r="E24" s="11"/>
      <c r="F24" s="11"/>
      <c r="G24" s="11"/>
      <c r="H24" s="11"/>
      <c r="I24" s="11"/>
      <c r="J24" s="12">
        <v>23</v>
      </c>
      <c r="K24" s="16" t="s">
        <v>261</v>
      </c>
      <c r="L24" s="17"/>
      <c r="M24" s="17"/>
    </row>
    <row r="25" hidden="1" spans="1:13">
      <c r="A25" s="14" t="str">
        <f>CONCATENATE("અંકે રૂપિયા ",A19,A20,B19,B20,C19,C20,D19,D20,E19,E20,G20,F19,F20,A14,"પુરા")</f>
        <v>અંકે રૂપિયા એકાવન  હજાર છસોતેર પુરા</v>
      </c>
      <c r="B25" s="14"/>
      <c r="C25" s="14"/>
      <c r="D25" s="14"/>
      <c r="E25" s="14"/>
      <c r="F25" s="14"/>
      <c r="G25" s="14"/>
      <c r="H25" s="11"/>
      <c r="I25" s="11"/>
      <c r="J25" s="12">
        <v>24</v>
      </c>
      <c r="K25" s="16" t="s">
        <v>262</v>
      </c>
      <c r="L25" s="17"/>
      <c r="M25" s="17"/>
    </row>
    <row r="26" hidden="1" spans="10:13">
      <c r="J26" s="12">
        <v>25</v>
      </c>
      <c r="K26" s="16" t="s">
        <v>263</v>
      </c>
      <c r="L26" s="17"/>
      <c r="M26" s="17"/>
    </row>
    <row r="27" hidden="1" spans="1:13">
      <c r="A27" s="10" t="s">
        <v>49</v>
      </c>
      <c r="B27" s="10"/>
      <c r="C27" s="10"/>
      <c r="D27" s="10"/>
      <c r="E27" s="10"/>
      <c r="F27" s="10"/>
      <c r="G27" s="10"/>
      <c r="H27" s="11"/>
      <c r="I27" s="11"/>
      <c r="J27" s="12">
        <v>26</v>
      </c>
      <c r="K27" s="16" t="s">
        <v>264</v>
      </c>
      <c r="L27" s="17"/>
      <c r="M27" s="17"/>
    </row>
    <row r="28" hidden="1" spans="1:13">
      <c r="A28" s="12">
        <f t="shared" ref="A28:F28" si="2">A29*A30</f>
        <v>0</v>
      </c>
      <c r="B28" s="10">
        <f t="shared" si="2"/>
        <v>0</v>
      </c>
      <c r="C28" s="10">
        <f t="shared" si="2"/>
        <v>0</v>
      </c>
      <c r="D28" s="10">
        <f t="shared" si="2"/>
        <v>100</v>
      </c>
      <c r="E28" s="10">
        <f t="shared" si="2"/>
        <v>44</v>
      </c>
      <c r="F28" s="10">
        <f t="shared" si="2"/>
        <v>0</v>
      </c>
      <c r="G28" s="10"/>
      <c r="H28" s="11"/>
      <c r="I28" s="11"/>
      <c r="J28" s="12">
        <v>27</v>
      </c>
      <c r="K28" s="16" t="s">
        <v>265</v>
      </c>
      <c r="L28" s="17"/>
      <c r="M28" s="17"/>
    </row>
    <row r="29" hidden="1" spans="1:13">
      <c r="A29" s="12">
        <v>10000000</v>
      </c>
      <c r="B29" s="10">
        <v>100000</v>
      </c>
      <c r="C29" s="10">
        <v>1000</v>
      </c>
      <c r="D29" s="10">
        <v>100</v>
      </c>
      <c r="E29" s="10">
        <v>1</v>
      </c>
      <c r="F29" s="10">
        <v>1</v>
      </c>
      <c r="G29" s="10"/>
      <c r="H29" s="11"/>
      <c r="I29" s="11"/>
      <c r="J29" s="12">
        <v>28</v>
      </c>
      <c r="K29" s="16" t="s">
        <v>266</v>
      </c>
      <c r="L29" s="17"/>
      <c r="M29" s="17"/>
    </row>
    <row r="30" hidden="1" spans="1:13">
      <c r="A30" s="12">
        <f>TRUNC(A35/A29)</f>
        <v>0</v>
      </c>
      <c r="B30" s="10">
        <f>TRUNC((A35-A28)/B29)</f>
        <v>0</v>
      </c>
      <c r="C30" s="10">
        <f>TRUNC((A35-A28-B28)/C29)</f>
        <v>0</v>
      </c>
      <c r="D30" s="10">
        <f>TRUNC((A35-A28-B28-C28)/D29)</f>
        <v>1</v>
      </c>
      <c r="E30" s="10">
        <f>TRUNC((A35-A28-B28-C28-D28)/E29)</f>
        <v>44</v>
      </c>
      <c r="F30" s="10">
        <f>ROUND((A35-(SUM(A28:E28)))*100,0)</f>
        <v>0</v>
      </c>
      <c r="G30" s="10"/>
      <c r="H30" s="11"/>
      <c r="I30" s="11"/>
      <c r="J30" s="12">
        <v>29</v>
      </c>
      <c r="K30" s="16" t="s">
        <v>267</v>
      </c>
      <c r="L30" s="17"/>
      <c r="M30" s="17"/>
    </row>
    <row r="31" hidden="1" spans="1:13">
      <c r="A31" s="12" t="s">
        <v>49</v>
      </c>
      <c r="B31" s="10" t="s">
        <v>49</v>
      </c>
      <c r="C31" s="10" t="s">
        <v>49</v>
      </c>
      <c r="D31" s="10" t="s">
        <v>49</v>
      </c>
      <c r="E31" s="10" t="s">
        <v>49</v>
      </c>
      <c r="F31" s="10" t="s">
        <v>49</v>
      </c>
      <c r="G31" s="10" t="s">
        <v>49</v>
      </c>
      <c r="H31" s="11"/>
      <c r="I31" s="11"/>
      <c r="J31" s="12">
        <v>30</v>
      </c>
      <c r="K31" s="16" t="s">
        <v>268</v>
      </c>
      <c r="L31" s="17"/>
      <c r="M31" s="17"/>
    </row>
    <row r="32" hidden="1" spans="1:13">
      <c r="A32" s="12" t="str">
        <f>IF(A30=0,"",VLOOKUP(A30,$J$1:$K$100,2))</f>
        <v/>
      </c>
      <c r="B32" s="12" t="str">
        <f>IF(B30=0,"",VLOOKUP(B30,$J$1:$K$100,2))</f>
        <v/>
      </c>
      <c r="C32" s="12" t="str">
        <f>IF(C30=0,"",VLOOKUP(C30,$J$1:$K$100,2))</f>
        <v/>
      </c>
      <c r="D32" s="12" t="str">
        <f>IF(D30=0,"",VLOOKUP(D30,$J$1:$M$100,4))</f>
        <v>એક</v>
      </c>
      <c r="E32" s="12" t="str">
        <f>IF(E30=0,"",VLOOKUP(E30,$J$1:$K$100,2))</f>
        <v>ચુંમાલીસ</v>
      </c>
      <c r="F32" s="12" t="str">
        <f>IF(F30=0,"",VLOOKUP(F30,$J$1:$K$100,2))</f>
        <v/>
      </c>
      <c r="G32" s="10"/>
      <c r="H32" s="11"/>
      <c r="I32" s="11"/>
      <c r="J32" s="12">
        <v>31</v>
      </c>
      <c r="K32" s="16" t="s">
        <v>269</v>
      </c>
      <c r="L32" s="17"/>
      <c r="M32" s="17"/>
    </row>
    <row r="33" hidden="1" spans="1:13">
      <c r="A33" s="12" t="str">
        <f>IF(A32&lt;&gt;""," કરોડ ","")</f>
        <v/>
      </c>
      <c r="B33" s="12" t="str">
        <f>IF(B32&lt;&gt;""," લાખ ","")</f>
        <v/>
      </c>
      <c r="C33" s="12" t="str">
        <f>IF(C32&lt;&gt;"","  હજાર ","")</f>
        <v/>
      </c>
      <c r="D33" s="12" t="str">
        <f>IF(D32&lt;&gt;"","સો","")</f>
        <v>સો</v>
      </c>
      <c r="E33" s="12" t="str">
        <f>IF(E32&lt;&gt;"","","")</f>
        <v/>
      </c>
      <c r="F33" s="12" t="str">
        <f>IF(F32&lt;&gt;""," પૈસા ","")</f>
        <v/>
      </c>
      <c r="G33" s="12" t="str">
        <f>IF(F32&lt;&gt;""," અને ","")</f>
        <v/>
      </c>
      <c r="H33" s="11"/>
      <c r="I33" s="11"/>
      <c r="J33" s="12">
        <v>32</v>
      </c>
      <c r="K33" s="16" t="s">
        <v>270</v>
      </c>
      <c r="L33" s="17"/>
      <c r="M33" s="17"/>
    </row>
    <row r="34" hidden="1" spans="1:13">
      <c r="A34" s="11"/>
      <c r="B34" s="11"/>
      <c r="C34" s="11"/>
      <c r="D34" s="11"/>
      <c r="E34" s="11"/>
      <c r="F34" s="11"/>
      <c r="G34" s="11"/>
      <c r="H34" s="11"/>
      <c r="I34" s="11"/>
      <c r="J34" s="12">
        <v>33</v>
      </c>
      <c r="K34" s="16" t="s">
        <v>271</v>
      </c>
      <c r="L34" s="17"/>
      <c r="M34" s="17"/>
    </row>
    <row r="35" hidden="1" spans="1:13">
      <c r="A35" s="13">
        <v>144</v>
      </c>
      <c r="B35" s="11"/>
      <c r="C35" s="11"/>
      <c r="D35" s="11"/>
      <c r="E35" s="11"/>
      <c r="F35" s="11"/>
      <c r="G35" s="11"/>
      <c r="H35" s="11"/>
      <c r="I35" s="11"/>
      <c r="J35" s="12">
        <v>34</v>
      </c>
      <c r="K35" s="16" t="s">
        <v>272</v>
      </c>
      <c r="L35" s="17"/>
      <c r="M35" s="17"/>
    </row>
    <row r="36" hidden="1" spans="1:13">
      <c r="A36" s="11"/>
      <c r="B36" s="11"/>
      <c r="C36" s="11"/>
      <c r="D36" s="11"/>
      <c r="E36" s="11"/>
      <c r="F36" s="11"/>
      <c r="G36" s="11"/>
      <c r="H36" s="11"/>
      <c r="I36" s="11"/>
      <c r="J36" s="12">
        <v>35</v>
      </c>
      <c r="K36" s="16" t="s">
        <v>273</v>
      </c>
      <c r="L36" s="17"/>
      <c r="M36" s="17"/>
    </row>
    <row r="37" hidden="1" spans="1:13">
      <c r="A37" s="11"/>
      <c r="B37" s="11"/>
      <c r="C37" s="11"/>
      <c r="D37" s="11"/>
      <c r="E37" s="11"/>
      <c r="F37" s="11"/>
      <c r="G37" s="11"/>
      <c r="H37" s="11"/>
      <c r="I37" s="11"/>
      <c r="J37" s="12">
        <v>36</v>
      </c>
      <c r="K37" s="16" t="s">
        <v>274</v>
      </c>
      <c r="L37" s="17"/>
      <c r="M37" s="17"/>
    </row>
    <row r="38" hidden="1" spans="1:13">
      <c r="A38" s="14" t="str">
        <f>CONCATENATE("અંકે રૂપિયા ",A32,A33,B32,B33,C32,C33,D32,D33,E32,E33,G33,F32,F33,A27,"પુરા")</f>
        <v>અંકે રૂપિયા એકસોચુંમાલીસ પુરા</v>
      </c>
      <c r="B38" s="14"/>
      <c r="C38" s="14"/>
      <c r="D38" s="14"/>
      <c r="E38" s="14"/>
      <c r="F38" s="14"/>
      <c r="G38" s="14"/>
      <c r="H38" s="11"/>
      <c r="I38" s="11"/>
      <c r="J38" s="12">
        <v>37</v>
      </c>
      <c r="K38" s="16" t="s">
        <v>275</v>
      </c>
      <c r="L38" s="17"/>
      <c r="M38" s="17"/>
    </row>
    <row r="39" hidden="1" spans="10:13">
      <c r="J39" s="12">
        <v>38</v>
      </c>
      <c r="K39" s="16" t="s">
        <v>276</v>
      </c>
      <c r="L39" s="17"/>
      <c r="M39" s="17"/>
    </row>
    <row r="40" hidden="1" spans="1:13">
      <c r="A40" s="10" t="s">
        <v>49</v>
      </c>
      <c r="B40" s="10"/>
      <c r="C40" s="10"/>
      <c r="D40" s="10"/>
      <c r="E40" s="10"/>
      <c r="F40" s="10"/>
      <c r="G40" s="10"/>
      <c r="H40" s="11"/>
      <c r="I40" s="11"/>
      <c r="J40" s="12">
        <v>39</v>
      </c>
      <c r="K40" s="16" t="s">
        <v>277</v>
      </c>
      <c r="L40" s="17"/>
      <c r="M40" s="17"/>
    </row>
    <row r="41" hidden="1" spans="1:13">
      <c r="A41" s="12">
        <f t="shared" ref="A41:F41" si="3">A42*A43</f>
        <v>0</v>
      </c>
      <c r="B41" s="10">
        <f t="shared" si="3"/>
        <v>0</v>
      </c>
      <c r="C41" s="10">
        <f t="shared" si="3"/>
        <v>0</v>
      </c>
      <c r="D41" s="10">
        <f t="shared" si="3"/>
        <v>100</v>
      </c>
      <c r="E41" s="10">
        <f t="shared" si="3"/>
        <v>44</v>
      </c>
      <c r="F41" s="10">
        <f t="shared" si="3"/>
        <v>0</v>
      </c>
      <c r="G41" s="10"/>
      <c r="H41" s="11"/>
      <c r="I41" s="11"/>
      <c r="J41" s="12">
        <v>40</v>
      </c>
      <c r="K41" s="16" t="s">
        <v>278</v>
      </c>
      <c r="L41" s="17"/>
      <c r="M41" s="17"/>
    </row>
    <row r="42" hidden="1" spans="1:13">
      <c r="A42" s="12">
        <v>10000000</v>
      </c>
      <c r="B42" s="10">
        <v>100000</v>
      </c>
      <c r="C42" s="10">
        <v>1000</v>
      </c>
      <c r="D42" s="10">
        <v>100</v>
      </c>
      <c r="E42" s="10">
        <v>1</v>
      </c>
      <c r="F42" s="10">
        <v>1</v>
      </c>
      <c r="G42" s="10"/>
      <c r="H42" s="11"/>
      <c r="I42" s="11"/>
      <c r="J42" s="12">
        <v>41</v>
      </c>
      <c r="K42" s="16" t="s">
        <v>279</v>
      </c>
      <c r="L42" s="17"/>
      <c r="M42" s="17"/>
    </row>
    <row r="43" hidden="1" spans="1:13">
      <c r="A43" s="12">
        <f>TRUNC(A48/A42)</f>
        <v>0</v>
      </c>
      <c r="B43" s="10">
        <f>TRUNC((A48-A41)/B42)</f>
        <v>0</v>
      </c>
      <c r="C43" s="10">
        <f>TRUNC((A48-A41-B41)/C42)</f>
        <v>0</v>
      </c>
      <c r="D43" s="10">
        <f>TRUNC((A48-A41-B41-C41)/D42)</f>
        <v>1</v>
      </c>
      <c r="E43" s="10">
        <f>TRUNC((A48-A41-B41-C41-D41)/E42)</f>
        <v>44</v>
      </c>
      <c r="F43" s="10">
        <f>ROUND((A48-(SUM(A41:E41)))*100,0)</f>
        <v>0</v>
      </c>
      <c r="G43" s="10"/>
      <c r="H43" s="11"/>
      <c r="I43" s="11"/>
      <c r="J43" s="12">
        <v>42</v>
      </c>
      <c r="K43" s="16" t="s">
        <v>280</v>
      </c>
      <c r="L43" s="17"/>
      <c r="M43" s="17"/>
    </row>
    <row r="44" hidden="1" spans="1:13">
      <c r="A44" s="12" t="s">
        <v>49</v>
      </c>
      <c r="B44" s="10" t="s">
        <v>49</v>
      </c>
      <c r="C44" s="10" t="s">
        <v>49</v>
      </c>
      <c r="D44" s="10" t="s">
        <v>49</v>
      </c>
      <c r="E44" s="10" t="s">
        <v>49</v>
      </c>
      <c r="F44" s="10" t="s">
        <v>49</v>
      </c>
      <c r="G44" s="10" t="s">
        <v>49</v>
      </c>
      <c r="H44" s="11"/>
      <c r="I44" s="11"/>
      <c r="J44" s="12">
        <v>43</v>
      </c>
      <c r="K44" s="16" t="s">
        <v>281</v>
      </c>
      <c r="L44" s="17"/>
      <c r="M44" s="17"/>
    </row>
    <row r="45" hidden="1" spans="1:13">
      <c r="A45" s="12" t="str">
        <f>IF(A43=0,"",VLOOKUP(A43,$J$1:$K$100,2))</f>
        <v/>
      </c>
      <c r="B45" s="12" t="str">
        <f>IF(B43=0,"",VLOOKUP(B43,$J$1:$K$100,2))</f>
        <v/>
      </c>
      <c r="C45" s="12" t="str">
        <f>IF(C43=0,"",VLOOKUP(C43,$J$1:$K$100,2))</f>
        <v/>
      </c>
      <c r="D45" s="12" t="str">
        <f>IF(D43=0,"",VLOOKUP(D43,$J$1:$M$100,4))</f>
        <v>એક</v>
      </c>
      <c r="E45" s="12" t="str">
        <f>IF(E43=0,"",VLOOKUP(E43,$J$1:$K$100,2))</f>
        <v>ચુંમાલીસ</v>
      </c>
      <c r="F45" s="12" t="str">
        <f>IF(F43=0,"",VLOOKUP(F43,$J$1:$K$100,2))</f>
        <v/>
      </c>
      <c r="G45" s="10"/>
      <c r="H45" s="11"/>
      <c r="I45" s="11"/>
      <c r="J45" s="12">
        <v>44</v>
      </c>
      <c r="K45" s="16" t="s">
        <v>282</v>
      </c>
      <c r="L45" s="17"/>
      <c r="M45" s="17"/>
    </row>
    <row r="46" hidden="1" spans="1:13">
      <c r="A46" s="12" t="str">
        <f>IF(A45&lt;&gt;""," કરોડ ","")</f>
        <v/>
      </c>
      <c r="B46" s="12" t="str">
        <f>IF(B45&lt;&gt;""," લાખ ","")</f>
        <v/>
      </c>
      <c r="C46" s="12" t="str">
        <f>IF(C45&lt;&gt;"","  હજાર ","")</f>
        <v/>
      </c>
      <c r="D46" s="12" t="str">
        <f>IF(D45&lt;&gt;"","સો","")</f>
        <v>સો</v>
      </c>
      <c r="E46" s="12" t="str">
        <f>IF(E45&lt;&gt;"","","")</f>
        <v/>
      </c>
      <c r="F46" s="12" t="str">
        <f>IF(F45&lt;&gt;""," પૈસા ","")</f>
        <v/>
      </c>
      <c r="G46" s="12" t="str">
        <f>IF(F45&lt;&gt;""," અને ","")</f>
        <v/>
      </c>
      <c r="H46" s="11"/>
      <c r="I46" s="11"/>
      <c r="J46" s="12">
        <v>45</v>
      </c>
      <c r="K46" s="16" t="s">
        <v>283</v>
      </c>
      <c r="L46" s="17"/>
      <c r="M46" s="17"/>
    </row>
    <row r="47" hidden="1" spans="1:13">
      <c r="A47" s="11"/>
      <c r="B47" s="11"/>
      <c r="C47" s="11"/>
      <c r="D47" s="11"/>
      <c r="E47" s="11"/>
      <c r="F47" s="11"/>
      <c r="G47" s="11"/>
      <c r="H47" s="11"/>
      <c r="I47" s="11"/>
      <c r="J47" s="12">
        <v>46</v>
      </c>
      <c r="K47" s="16" t="s">
        <v>284</v>
      </c>
      <c r="L47" s="17"/>
      <c r="M47" s="17"/>
    </row>
    <row r="48" hidden="1" spans="1:13">
      <c r="A48" s="13">
        <v>144</v>
      </c>
      <c r="B48" s="11"/>
      <c r="C48" s="11"/>
      <c r="D48" s="11"/>
      <c r="E48" s="11"/>
      <c r="F48" s="11"/>
      <c r="G48" s="11"/>
      <c r="H48" s="11"/>
      <c r="I48" s="11"/>
      <c r="J48" s="12">
        <v>47</v>
      </c>
      <c r="K48" s="16" t="s">
        <v>285</v>
      </c>
      <c r="L48" s="17"/>
      <c r="M48" s="17"/>
    </row>
    <row r="49" hidden="1" spans="1:13">
      <c r="A49" s="11"/>
      <c r="B49" s="11"/>
      <c r="C49" s="11"/>
      <c r="D49" s="11"/>
      <c r="E49" s="11"/>
      <c r="F49" s="11"/>
      <c r="G49" s="11"/>
      <c r="H49" s="11"/>
      <c r="I49" s="11"/>
      <c r="J49" s="12">
        <v>48</v>
      </c>
      <c r="K49" s="16" t="s">
        <v>286</v>
      </c>
      <c r="L49" s="17"/>
      <c r="M49" s="17"/>
    </row>
    <row r="50" hidden="1" spans="1:13">
      <c r="A50" s="11"/>
      <c r="B50" s="11"/>
      <c r="C50" s="11"/>
      <c r="D50" s="11"/>
      <c r="E50" s="11"/>
      <c r="F50" s="11"/>
      <c r="G50" s="11"/>
      <c r="H50" s="11"/>
      <c r="I50" s="11"/>
      <c r="J50" s="12">
        <v>49</v>
      </c>
      <c r="K50" s="16" t="s">
        <v>287</v>
      </c>
      <c r="L50" s="17"/>
      <c r="M50" s="17"/>
    </row>
    <row r="51" hidden="1" spans="1:13">
      <c r="A51" s="14" t="str">
        <f>CONCATENATE("અંકે રૂપિયા ",A45,A46,B45,B46,C45,C46,D45,D46,E45,E46,G46,F45,F46,A40,"પુરા")</f>
        <v>અંકે રૂપિયા એકસોચુંમાલીસ પુરા</v>
      </c>
      <c r="B51" s="14"/>
      <c r="C51" s="14"/>
      <c r="D51" s="14"/>
      <c r="E51" s="14"/>
      <c r="F51" s="14"/>
      <c r="G51" s="14"/>
      <c r="H51" s="11"/>
      <c r="I51" s="11"/>
      <c r="J51" s="12">
        <v>50</v>
      </c>
      <c r="K51" s="16" t="s">
        <v>288</v>
      </c>
      <c r="L51" s="17"/>
      <c r="M51" s="17"/>
    </row>
    <row r="52" hidden="1" spans="10:13">
      <c r="J52" s="12">
        <v>51</v>
      </c>
      <c r="K52" s="16" t="s">
        <v>289</v>
      </c>
      <c r="L52" s="17"/>
      <c r="M52" s="17"/>
    </row>
    <row r="53" hidden="1" spans="1:13">
      <c r="A53" s="10" t="s">
        <v>49</v>
      </c>
      <c r="B53" s="10"/>
      <c r="C53" s="10"/>
      <c r="D53" s="10"/>
      <c r="E53" s="10"/>
      <c r="F53" s="10"/>
      <c r="G53" s="10"/>
      <c r="H53" s="11"/>
      <c r="I53" s="11"/>
      <c r="J53" s="12">
        <v>52</v>
      </c>
      <c r="K53" s="16" t="s">
        <v>290</v>
      </c>
      <c r="L53" s="17"/>
      <c r="M53" s="17"/>
    </row>
    <row r="54" hidden="1" spans="1:13">
      <c r="A54" s="12">
        <f t="shared" ref="A54:F54" si="4">A55*A56</f>
        <v>0</v>
      </c>
      <c r="B54" s="10">
        <f t="shared" si="4"/>
        <v>0</v>
      </c>
      <c r="C54" s="10">
        <f t="shared" si="4"/>
        <v>0</v>
      </c>
      <c r="D54" s="10">
        <f t="shared" si="4"/>
        <v>100</v>
      </c>
      <c r="E54" s="10">
        <f t="shared" si="4"/>
        <v>44</v>
      </c>
      <c r="F54" s="10">
        <f t="shared" si="4"/>
        <v>0</v>
      </c>
      <c r="G54" s="10"/>
      <c r="H54" s="11"/>
      <c r="I54" s="11"/>
      <c r="J54" s="12">
        <v>53</v>
      </c>
      <c r="K54" s="16" t="s">
        <v>291</v>
      </c>
      <c r="L54" s="17"/>
      <c r="M54" s="17"/>
    </row>
    <row r="55" hidden="1" spans="1:13">
      <c r="A55" s="12">
        <v>10000000</v>
      </c>
      <c r="B55" s="10">
        <v>100000</v>
      </c>
      <c r="C55" s="10">
        <v>1000</v>
      </c>
      <c r="D55" s="10">
        <v>100</v>
      </c>
      <c r="E55" s="10">
        <v>1</v>
      </c>
      <c r="F55" s="10">
        <v>1</v>
      </c>
      <c r="G55" s="10"/>
      <c r="H55" s="11"/>
      <c r="I55" s="11"/>
      <c r="J55" s="12">
        <v>54</v>
      </c>
      <c r="K55" s="16" t="s">
        <v>292</v>
      </c>
      <c r="L55" s="17"/>
      <c r="M55" s="17"/>
    </row>
    <row r="56" hidden="1" spans="1:13">
      <c r="A56" s="12">
        <f>TRUNC(A61/A55)</f>
        <v>0</v>
      </c>
      <c r="B56" s="10">
        <f>TRUNC((A61-A54)/B55)</f>
        <v>0</v>
      </c>
      <c r="C56" s="10">
        <f>TRUNC((A61-A54-B54)/C55)</f>
        <v>0</v>
      </c>
      <c r="D56" s="10">
        <f>TRUNC((A61-A54-B54-C54)/D55)</f>
        <v>1</v>
      </c>
      <c r="E56" s="10">
        <f>TRUNC((A61-A54-B54-C54-D54)/E55)</f>
        <v>44</v>
      </c>
      <c r="F56" s="10">
        <f>ROUND((A61-(SUM(A54:E54)))*100,0)</f>
        <v>0</v>
      </c>
      <c r="G56" s="10"/>
      <c r="H56" s="11"/>
      <c r="I56" s="11"/>
      <c r="J56" s="12">
        <v>55</v>
      </c>
      <c r="K56" s="16" t="s">
        <v>293</v>
      </c>
      <c r="L56" s="17"/>
      <c r="M56" s="17"/>
    </row>
    <row r="57" hidden="1" spans="1:13">
      <c r="A57" s="12" t="s">
        <v>49</v>
      </c>
      <c r="B57" s="10" t="s">
        <v>49</v>
      </c>
      <c r="C57" s="10" t="s">
        <v>49</v>
      </c>
      <c r="D57" s="10" t="s">
        <v>49</v>
      </c>
      <c r="E57" s="10" t="s">
        <v>49</v>
      </c>
      <c r="F57" s="10" t="s">
        <v>49</v>
      </c>
      <c r="G57" s="10" t="s">
        <v>49</v>
      </c>
      <c r="H57" s="11"/>
      <c r="I57" s="11"/>
      <c r="J57" s="12">
        <v>56</v>
      </c>
      <c r="K57" s="16" t="s">
        <v>294</v>
      </c>
      <c r="L57" s="17"/>
      <c r="M57" s="17"/>
    </row>
    <row r="58" hidden="1" spans="1:13">
      <c r="A58" s="12" t="str">
        <f>IF(A56=0,"",VLOOKUP(A56,$J$1:$K$100,2))</f>
        <v/>
      </c>
      <c r="B58" s="12" t="str">
        <f>IF(B56=0,"",VLOOKUP(B56,$J$1:$K$100,2))</f>
        <v/>
      </c>
      <c r="C58" s="12" t="str">
        <f>IF(C56=0,"",VLOOKUP(C56,$J$1:$K$100,2))</f>
        <v/>
      </c>
      <c r="D58" s="12" t="str">
        <f>IF(D56=0,"",VLOOKUP(D56,$J$1:$M$100,4))</f>
        <v>એક</v>
      </c>
      <c r="E58" s="12" t="str">
        <f>IF(E56=0,"",VLOOKUP(E56,$J$1:$K$100,2))</f>
        <v>ચુંમાલીસ</v>
      </c>
      <c r="F58" s="12" t="str">
        <f>IF(F56=0,"",VLOOKUP(F56,$J$1:$K$100,2))</f>
        <v/>
      </c>
      <c r="G58" s="10"/>
      <c r="H58" s="11"/>
      <c r="I58" s="11"/>
      <c r="J58" s="12">
        <v>57</v>
      </c>
      <c r="K58" s="16" t="s">
        <v>295</v>
      </c>
      <c r="L58" s="17"/>
      <c r="M58" s="17"/>
    </row>
    <row r="59" hidden="1" spans="1:13">
      <c r="A59" s="12" t="str">
        <f>IF(A58&lt;&gt;""," કરોડ ","")</f>
        <v/>
      </c>
      <c r="B59" s="12" t="str">
        <f>IF(B58&lt;&gt;""," લાખ ","")</f>
        <v/>
      </c>
      <c r="C59" s="12" t="str">
        <f>IF(C58&lt;&gt;"","  હજાર ","")</f>
        <v/>
      </c>
      <c r="D59" s="12" t="str">
        <f>IF(D58&lt;&gt;"","સો","")</f>
        <v>સો</v>
      </c>
      <c r="E59" s="12" t="str">
        <f>IF(E58&lt;&gt;"","","")</f>
        <v/>
      </c>
      <c r="F59" s="12" t="str">
        <f>IF(F58&lt;&gt;""," પૈસા ","")</f>
        <v/>
      </c>
      <c r="G59" s="12" t="str">
        <f>IF(F58&lt;&gt;""," અને ","")</f>
        <v/>
      </c>
      <c r="H59" s="11"/>
      <c r="I59" s="11"/>
      <c r="J59" s="12">
        <v>58</v>
      </c>
      <c r="K59" s="16" t="s">
        <v>296</v>
      </c>
      <c r="L59" s="17"/>
      <c r="M59" s="17"/>
    </row>
    <row r="60" hidden="1" spans="1:13">
      <c r="A60" s="11"/>
      <c r="B60" s="11"/>
      <c r="C60" s="11"/>
      <c r="D60" s="11"/>
      <c r="E60" s="11"/>
      <c r="F60" s="11"/>
      <c r="G60" s="11"/>
      <c r="H60" s="11"/>
      <c r="I60" s="11"/>
      <c r="J60" s="12">
        <v>59</v>
      </c>
      <c r="K60" s="16" t="s">
        <v>297</v>
      </c>
      <c r="L60" s="17"/>
      <c r="M60" s="17"/>
    </row>
    <row r="61" hidden="1" spans="1:13">
      <c r="A61" s="13">
        <v>144</v>
      </c>
      <c r="B61" s="11"/>
      <c r="C61" s="11"/>
      <c r="D61" s="11"/>
      <c r="E61" s="11"/>
      <c r="F61" s="11"/>
      <c r="G61" s="11"/>
      <c r="H61" s="11"/>
      <c r="I61" s="11"/>
      <c r="J61" s="12">
        <v>60</v>
      </c>
      <c r="K61" s="16" t="s">
        <v>298</v>
      </c>
      <c r="L61" s="17"/>
      <c r="M61" s="17"/>
    </row>
    <row r="62" hidden="1" spans="1:13">
      <c r="A62" s="11"/>
      <c r="B62" s="11"/>
      <c r="C62" s="11"/>
      <c r="D62" s="11"/>
      <c r="E62" s="11"/>
      <c r="F62" s="11"/>
      <c r="G62" s="11"/>
      <c r="H62" s="11"/>
      <c r="I62" s="11"/>
      <c r="J62" s="12">
        <v>61</v>
      </c>
      <c r="K62" s="16" t="s">
        <v>299</v>
      </c>
      <c r="L62" s="17"/>
      <c r="M62" s="17"/>
    </row>
    <row r="63" hidden="1" spans="1:13">
      <c r="A63" s="11"/>
      <c r="B63" s="11"/>
      <c r="C63" s="11"/>
      <c r="D63" s="11"/>
      <c r="E63" s="11"/>
      <c r="F63" s="11"/>
      <c r="G63" s="11"/>
      <c r="H63" s="11"/>
      <c r="I63" s="11"/>
      <c r="J63" s="12">
        <v>62</v>
      </c>
      <c r="K63" s="16" t="s">
        <v>300</v>
      </c>
      <c r="L63" s="17"/>
      <c r="M63" s="17"/>
    </row>
    <row r="64" hidden="1" spans="1:13">
      <c r="A64" s="14" t="str">
        <f>CONCATENATE("અંકે રૂપિયા ",A58,A59,B58,B59,C58,C59,D58,D59,E58,E59,G59,F58,F59,A53,"પુરા")</f>
        <v>અંકે રૂપિયા એકસોચુંમાલીસ પુરા</v>
      </c>
      <c r="B64" s="14"/>
      <c r="C64" s="14"/>
      <c r="D64" s="14"/>
      <c r="E64" s="14"/>
      <c r="F64" s="14"/>
      <c r="G64" s="14"/>
      <c r="H64" s="11"/>
      <c r="I64" s="11"/>
      <c r="J64" s="12">
        <v>63</v>
      </c>
      <c r="K64" s="16" t="s">
        <v>301</v>
      </c>
      <c r="L64" s="17"/>
      <c r="M64" s="17"/>
    </row>
    <row r="65" hidden="1" spans="10:13">
      <c r="J65" s="12">
        <v>64</v>
      </c>
      <c r="K65" s="16" t="s">
        <v>302</v>
      </c>
      <c r="L65" s="17"/>
      <c r="M65" s="17"/>
    </row>
    <row r="66" hidden="1" spans="1:13">
      <c r="A66" s="10" t="s">
        <v>49</v>
      </c>
      <c r="B66" s="10"/>
      <c r="C66" s="10"/>
      <c r="D66" s="10"/>
      <c r="E66" s="10"/>
      <c r="F66" s="10"/>
      <c r="G66" s="10"/>
      <c r="H66" s="11"/>
      <c r="I66" s="11"/>
      <c r="J66" s="12">
        <v>65</v>
      </c>
      <c r="K66" s="16" t="s">
        <v>303</v>
      </c>
      <c r="L66" s="17"/>
      <c r="M66" s="17"/>
    </row>
    <row r="67" hidden="1" spans="1:13">
      <c r="A67" s="12">
        <f t="shared" ref="A67:F67" si="5">A68*A69</f>
        <v>0</v>
      </c>
      <c r="B67" s="10">
        <f t="shared" si="5"/>
        <v>0</v>
      </c>
      <c r="C67" s="10">
        <f t="shared" si="5"/>
        <v>0</v>
      </c>
      <c r="D67" s="10">
        <f t="shared" si="5"/>
        <v>100</v>
      </c>
      <c r="E67" s="10">
        <f t="shared" si="5"/>
        <v>44</v>
      </c>
      <c r="F67" s="10">
        <f t="shared" si="5"/>
        <v>0</v>
      </c>
      <c r="G67" s="10"/>
      <c r="H67" s="11"/>
      <c r="I67" s="11"/>
      <c r="J67" s="12">
        <v>66</v>
      </c>
      <c r="K67" s="16" t="s">
        <v>304</v>
      </c>
      <c r="L67" s="17"/>
      <c r="M67" s="17"/>
    </row>
    <row r="68" hidden="1" spans="1:13">
      <c r="A68" s="12">
        <v>10000000</v>
      </c>
      <c r="B68" s="10">
        <v>100000</v>
      </c>
      <c r="C68" s="10">
        <v>1000</v>
      </c>
      <c r="D68" s="10">
        <v>100</v>
      </c>
      <c r="E68" s="10">
        <v>1</v>
      </c>
      <c r="F68" s="10">
        <v>1</v>
      </c>
      <c r="G68" s="10"/>
      <c r="H68" s="11"/>
      <c r="I68" s="11"/>
      <c r="J68" s="12">
        <v>67</v>
      </c>
      <c r="K68" s="16" t="s">
        <v>305</v>
      </c>
      <c r="L68" s="17"/>
      <c r="M68" s="17"/>
    </row>
    <row r="69" hidden="1" spans="1:13">
      <c r="A69" s="12">
        <f>TRUNC(A74/A68)</f>
        <v>0</v>
      </c>
      <c r="B69" s="10">
        <f>TRUNC((A74-A67)/B68)</f>
        <v>0</v>
      </c>
      <c r="C69" s="10">
        <f>TRUNC((A74-A67-B67)/C68)</f>
        <v>0</v>
      </c>
      <c r="D69" s="10">
        <f>TRUNC((A74-A67-B67-C67)/D68)</f>
        <v>1</v>
      </c>
      <c r="E69" s="10">
        <f>TRUNC((A74-A67-B67-C67-D67)/E68)</f>
        <v>44</v>
      </c>
      <c r="F69" s="10">
        <f>ROUND((A74-(SUM(A67:E67)))*100,0)</f>
        <v>0</v>
      </c>
      <c r="G69" s="10"/>
      <c r="H69" s="11"/>
      <c r="I69" s="11"/>
      <c r="J69" s="12">
        <v>68</v>
      </c>
      <c r="K69" s="16" t="s">
        <v>306</v>
      </c>
      <c r="L69" s="17"/>
      <c r="M69" s="17"/>
    </row>
    <row r="70" hidden="1" spans="1:13">
      <c r="A70" s="12" t="s">
        <v>49</v>
      </c>
      <c r="B70" s="10" t="s">
        <v>49</v>
      </c>
      <c r="C70" s="10" t="s">
        <v>49</v>
      </c>
      <c r="D70" s="10" t="s">
        <v>49</v>
      </c>
      <c r="E70" s="10" t="s">
        <v>49</v>
      </c>
      <c r="F70" s="10" t="s">
        <v>49</v>
      </c>
      <c r="G70" s="10" t="s">
        <v>49</v>
      </c>
      <c r="H70" s="11"/>
      <c r="I70" s="11"/>
      <c r="J70" s="12">
        <v>69</v>
      </c>
      <c r="K70" s="16" t="s">
        <v>307</v>
      </c>
      <c r="L70" s="17"/>
      <c r="M70" s="17"/>
    </row>
    <row r="71" hidden="1" spans="1:13">
      <c r="A71" s="12" t="str">
        <f>IF(A69=0,"",VLOOKUP(A69,$J$1:$K$100,2))</f>
        <v/>
      </c>
      <c r="B71" s="12" t="str">
        <f>IF(B69=0,"",VLOOKUP(B69,$J$1:$K$100,2))</f>
        <v/>
      </c>
      <c r="C71" s="12" t="str">
        <f>IF(C69=0,"",VLOOKUP(C69,$J$1:$K$100,2))</f>
        <v/>
      </c>
      <c r="D71" s="12" t="str">
        <f>IF(D69=0,"",VLOOKUP(D69,$J$1:$M$100,4))</f>
        <v>એક</v>
      </c>
      <c r="E71" s="12" t="str">
        <f>IF(E69=0,"",VLOOKUP(E69,$J$1:$K$100,2))</f>
        <v>ચુંમાલીસ</v>
      </c>
      <c r="F71" s="12" t="str">
        <f>IF(F69=0,"",VLOOKUP(F69,$J$1:$K$100,2))</f>
        <v/>
      </c>
      <c r="G71" s="10"/>
      <c r="H71" s="11"/>
      <c r="I71" s="11"/>
      <c r="J71" s="12">
        <v>70</v>
      </c>
      <c r="K71" s="16" t="s">
        <v>308</v>
      </c>
      <c r="L71" s="17"/>
      <c r="M71" s="17"/>
    </row>
    <row r="72" hidden="1" spans="1:13">
      <c r="A72" s="12" t="str">
        <f>IF(A71&lt;&gt;""," કરોડ ","")</f>
        <v/>
      </c>
      <c r="B72" s="12" t="str">
        <f>IF(B71&lt;&gt;""," લાખ ","")</f>
        <v/>
      </c>
      <c r="C72" s="12" t="str">
        <f>IF(C71&lt;&gt;"","  હજાર ","")</f>
        <v/>
      </c>
      <c r="D72" s="12" t="str">
        <f>IF(D71&lt;&gt;"","સો","")</f>
        <v>સો</v>
      </c>
      <c r="E72" s="12" t="str">
        <f>IF(E71&lt;&gt;"","","")</f>
        <v/>
      </c>
      <c r="F72" s="12" t="str">
        <f>IF(F71&lt;&gt;""," પૈસા ","")</f>
        <v/>
      </c>
      <c r="G72" s="12" t="str">
        <f>IF(F71&lt;&gt;""," અને ","")</f>
        <v/>
      </c>
      <c r="H72" s="11"/>
      <c r="I72" s="11"/>
      <c r="J72" s="12">
        <v>71</v>
      </c>
      <c r="K72" s="16" t="s">
        <v>309</v>
      </c>
      <c r="L72" s="17"/>
      <c r="M72" s="17"/>
    </row>
    <row r="73" hidden="1" spans="1:13">
      <c r="A73" s="11"/>
      <c r="B73" s="11"/>
      <c r="C73" s="11"/>
      <c r="D73" s="11"/>
      <c r="E73" s="11"/>
      <c r="F73" s="11"/>
      <c r="G73" s="11"/>
      <c r="H73" s="11"/>
      <c r="I73" s="11"/>
      <c r="J73" s="12">
        <v>72</v>
      </c>
      <c r="K73" s="16" t="s">
        <v>310</v>
      </c>
      <c r="L73" s="17"/>
      <c r="M73" s="17"/>
    </row>
    <row r="74" hidden="1" spans="1:13">
      <c r="A74" s="13">
        <v>144</v>
      </c>
      <c r="B74" s="11"/>
      <c r="C74" s="11"/>
      <c r="D74" s="11"/>
      <c r="E74" s="11"/>
      <c r="F74" s="11"/>
      <c r="G74" s="11"/>
      <c r="H74" s="11"/>
      <c r="I74" s="11"/>
      <c r="J74" s="12">
        <v>73</v>
      </c>
      <c r="K74" s="16" t="s">
        <v>311</v>
      </c>
      <c r="L74" s="17"/>
      <c r="M74" s="17"/>
    </row>
    <row r="75" hidden="1" spans="1:13">
      <c r="A75" s="11"/>
      <c r="B75" s="11"/>
      <c r="C75" s="11"/>
      <c r="D75" s="11"/>
      <c r="E75" s="11"/>
      <c r="F75" s="11"/>
      <c r="G75" s="11"/>
      <c r="H75" s="11"/>
      <c r="I75" s="11"/>
      <c r="J75" s="12">
        <v>74</v>
      </c>
      <c r="K75" s="16" t="s">
        <v>312</v>
      </c>
      <c r="L75" s="17"/>
      <c r="M75" s="17"/>
    </row>
    <row r="76" hidden="1" spans="1:13">
      <c r="A76" s="11"/>
      <c r="B76" s="11"/>
      <c r="C76" s="11"/>
      <c r="D76" s="11"/>
      <c r="E76" s="11"/>
      <c r="F76" s="11"/>
      <c r="G76" s="11"/>
      <c r="H76" s="11"/>
      <c r="I76" s="11"/>
      <c r="J76" s="12">
        <v>75</v>
      </c>
      <c r="K76" s="16" t="s">
        <v>313</v>
      </c>
      <c r="L76" s="17"/>
      <c r="M76" s="17"/>
    </row>
    <row r="77" hidden="1" spans="1:13">
      <c r="A77" s="14" t="str">
        <f>CONCATENATE("અંકે રૂપિયા ",A71,A72,B71,B72,C71,C72,D71,D72,E71,E72,G72,F71,F72,A66,"પુરા")</f>
        <v>અંકે રૂપિયા એકસોચુંમાલીસ પુરા</v>
      </c>
      <c r="B77" s="14"/>
      <c r="C77" s="14"/>
      <c r="D77" s="14"/>
      <c r="E77" s="14"/>
      <c r="F77" s="14"/>
      <c r="G77" s="14"/>
      <c r="H77" s="11"/>
      <c r="I77" s="11"/>
      <c r="J77" s="12">
        <v>76</v>
      </c>
      <c r="K77" s="16" t="s">
        <v>314</v>
      </c>
      <c r="L77" s="17"/>
      <c r="M77" s="17"/>
    </row>
    <row r="78" hidden="1" spans="10:13">
      <c r="J78" s="12">
        <v>77</v>
      </c>
      <c r="K78" s="16" t="s">
        <v>315</v>
      </c>
      <c r="L78" s="17"/>
      <c r="M78" s="17"/>
    </row>
    <row r="79" hidden="1" spans="1:13">
      <c r="A79" s="10" t="s">
        <v>49</v>
      </c>
      <c r="B79" s="10"/>
      <c r="C79" s="10"/>
      <c r="D79" s="10"/>
      <c r="E79" s="10"/>
      <c r="F79" s="10"/>
      <c r="G79" s="10"/>
      <c r="H79" s="11"/>
      <c r="I79" s="11"/>
      <c r="J79" s="12">
        <v>78</v>
      </c>
      <c r="K79" s="16" t="s">
        <v>316</v>
      </c>
      <c r="L79" s="17"/>
      <c r="M79" s="17"/>
    </row>
    <row r="80" hidden="1" spans="1:13">
      <c r="A80" s="12">
        <f t="shared" ref="A80:F80" si="6">A81*A82</f>
        <v>0</v>
      </c>
      <c r="B80" s="10">
        <f t="shared" si="6"/>
        <v>0</v>
      </c>
      <c r="C80" s="10">
        <f t="shared" si="6"/>
        <v>0</v>
      </c>
      <c r="D80" s="10">
        <f t="shared" si="6"/>
        <v>100</v>
      </c>
      <c r="E80" s="10">
        <f t="shared" si="6"/>
        <v>44</v>
      </c>
      <c r="F80" s="10">
        <f t="shared" si="6"/>
        <v>0</v>
      </c>
      <c r="G80" s="10"/>
      <c r="H80" s="11"/>
      <c r="I80" s="11"/>
      <c r="J80" s="12">
        <v>79</v>
      </c>
      <c r="K80" s="16" t="s">
        <v>317</v>
      </c>
      <c r="L80" s="17"/>
      <c r="M80" s="17"/>
    </row>
    <row r="81" hidden="1" spans="1:13">
      <c r="A81" s="12">
        <v>10000000</v>
      </c>
      <c r="B81" s="10">
        <v>100000</v>
      </c>
      <c r="C81" s="10">
        <v>1000</v>
      </c>
      <c r="D81" s="10">
        <v>100</v>
      </c>
      <c r="E81" s="10">
        <v>1</v>
      </c>
      <c r="F81" s="10">
        <v>1</v>
      </c>
      <c r="G81" s="10"/>
      <c r="H81" s="11"/>
      <c r="I81" s="11"/>
      <c r="J81" s="12">
        <v>80</v>
      </c>
      <c r="K81" s="16" t="s">
        <v>318</v>
      </c>
      <c r="L81" s="17"/>
      <c r="M81" s="17"/>
    </row>
    <row r="82" hidden="1" spans="1:13">
      <c r="A82" s="12">
        <f>TRUNC(A87/A81)</f>
        <v>0</v>
      </c>
      <c r="B82" s="10">
        <f>TRUNC((A87-A80)/B81)</f>
        <v>0</v>
      </c>
      <c r="C82" s="10">
        <f>TRUNC((A87-A80-B80)/C81)</f>
        <v>0</v>
      </c>
      <c r="D82" s="10">
        <f>TRUNC((A87-A80-B80-C80)/D81)</f>
        <v>1</v>
      </c>
      <c r="E82" s="10">
        <f>TRUNC((A87-A80-B80-C80-D80)/E81)</f>
        <v>44</v>
      </c>
      <c r="F82" s="10">
        <f>ROUND((A87-(SUM(A80:E80)))*100,0)</f>
        <v>0</v>
      </c>
      <c r="G82" s="10"/>
      <c r="H82" s="11"/>
      <c r="I82" s="11"/>
      <c r="J82" s="12">
        <v>81</v>
      </c>
      <c r="K82" s="16" t="s">
        <v>319</v>
      </c>
      <c r="L82" s="17"/>
      <c r="M82" s="17"/>
    </row>
    <row r="83" hidden="1" spans="1:13">
      <c r="A83" s="12" t="s">
        <v>49</v>
      </c>
      <c r="B83" s="10" t="s">
        <v>49</v>
      </c>
      <c r="C83" s="10" t="s">
        <v>49</v>
      </c>
      <c r="D83" s="10" t="s">
        <v>49</v>
      </c>
      <c r="E83" s="10" t="s">
        <v>49</v>
      </c>
      <c r="F83" s="10" t="s">
        <v>49</v>
      </c>
      <c r="G83" s="10" t="s">
        <v>49</v>
      </c>
      <c r="H83" s="11"/>
      <c r="I83" s="11"/>
      <c r="J83" s="12">
        <v>82</v>
      </c>
      <c r="K83" s="16" t="s">
        <v>320</v>
      </c>
      <c r="L83" s="17"/>
      <c r="M83" s="17"/>
    </row>
    <row r="84" hidden="1" spans="1:13">
      <c r="A84" s="12" t="str">
        <f>IF(A82=0,"",VLOOKUP(A82,$J$1:$K$100,2))</f>
        <v/>
      </c>
      <c r="B84" s="12" t="str">
        <f>IF(B82=0,"",VLOOKUP(B82,$J$1:$K$100,2))</f>
        <v/>
      </c>
      <c r="C84" s="12" t="str">
        <f>IF(C82=0,"",VLOOKUP(C82,$J$1:$K$100,2))</f>
        <v/>
      </c>
      <c r="D84" s="12" t="str">
        <f>IF(D82=0,"",VLOOKUP(D82,$J$1:$M$100,4))</f>
        <v>એક</v>
      </c>
      <c r="E84" s="12" t="str">
        <f>IF(E82=0,"",VLOOKUP(E82,$J$1:$K$100,2))</f>
        <v>ચુંમાલીસ</v>
      </c>
      <c r="F84" s="12" t="str">
        <f>IF(F82=0,"",VLOOKUP(F82,$J$1:$K$100,2))</f>
        <v/>
      </c>
      <c r="G84" s="10"/>
      <c r="H84" s="11"/>
      <c r="I84" s="11"/>
      <c r="J84" s="12">
        <v>83</v>
      </c>
      <c r="K84" s="16" t="s">
        <v>321</v>
      </c>
      <c r="L84" s="17"/>
      <c r="M84" s="17"/>
    </row>
    <row r="85" hidden="1" spans="1:13">
      <c r="A85" s="12" t="str">
        <f>IF(A84&lt;&gt;""," કરોડ ","")</f>
        <v/>
      </c>
      <c r="B85" s="12" t="str">
        <f>IF(B84&lt;&gt;""," લાખ ","")</f>
        <v/>
      </c>
      <c r="C85" s="12" t="str">
        <f>IF(C84&lt;&gt;"","  હજાર ","")</f>
        <v/>
      </c>
      <c r="D85" s="12" t="str">
        <f>IF(D84&lt;&gt;"","સો","")</f>
        <v>સો</v>
      </c>
      <c r="E85" s="12" t="str">
        <f>IF(E84&lt;&gt;"","","")</f>
        <v/>
      </c>
      <c r="F85" s="12" t="str">
        <f>IF(F84&lt;&gt;""," પૈસા ","")</f>
        <v/>
      </c>
      <c r="G85" s="12" t="str">
        <f>IF(F84&lt;&gt;""," અને ","")</f>
        <v/>
      </c>
      <c r="H85" s="11"/>
      <c r="I85" s="11"/>
      <c r="J85" s="12">
        <v>84</v>
      </c>
      <c r="K85" s="16" t="s">
        <v>322</v>
      </c>
      <c r="L85" s="17"/>
      <c r="M85" s="17"/>
    </row>
    <row r="86" hidden="1" spans="1:13">
      <c r="A86" s="11"/>
      <c r="B86" s="11"/>
      <c r="C86" s="11"/>
      <c r="D86" s="11"/>
      <c r="E86" s="11"/>
      <c r="F86" s="11"/>
      <c r="G86" s="11"/>
      <c r="H86" s="11"/>
      <c r="I86" s="11"/>
      <c r="J86" s="12">
        <v>85</v>
      </c>
      <c r="K86" s="16" t="s">
        <v>323</v>
      </c>
      <c r="L86" s="17"/>
      <c r="M86" s="17"/>
    </row>
    <row r="87" hidden="1" spans="1:13">
      <c r="A87" s="13">
        <v>144</v>
      </c>
      <c r="B87" s="11"/>
      <c r="C87" s="11"/>
      <c r="D87" s="11"/>
      <c r="E87" s="11"/>
      <c r="F87" s="11"/>
      <c r="G87" s="11"/>
      <c r="H87" s="11"/>
      <c r="I87" s="11"/>
      <c r="J87" s="12">
        <v>86</v>
      </c>
      <c r="K87" s="16" t="s">
        <v>324</v>
      </c>
      <c r="L87" s="17"/>
      <c r="M87" s="17"/>
    </row>
    <row r="88" hidden="1" spans="1:13">
      <c r="A88" s="11"/>
      <c r="B88" s="11"/>
      <c r="C88" s="11"/>
      <c r="D88" s="11"/>
      <c r="E88" s="11"/>
      <c r="F88" s="11"/>
      <c r="G88" s="11"/>
      <c r="H88" s="11"/>
      <c r="I88" s="11"/>
      <c r="J88" s="12">
        <v>87</v>
      </c>
      <c r="K88" s="16" t="s">
        <v>325</v>
      </c>
      <c r="L88" s="17"/>
      <c r="M88" s="17"/>
    </row>
    <row r="89" hidden="1" spans="1:13">
      <c r="A89" s="11"/>
      <c r="B89" s="11"/>
      <c r="C89" s="11"/>
      <c r="D89" s="11"/>
      <c r="E89" s="11"/>
      <c r="F89" s="11"/>
      <c r="G89" s="11"/>
      <c r="H89" s="11"/>
      <c r="I89" s="11"/>
      <c r="J89" s="12">
        <v>88</v>
      </c>
      <c r="K89" s="16" t="s">
        <v>326</v>
      </c>
      <c r="L89" s="17"/>
      <c r="M89" s="17"/>
    </row>
    <row r="90" hidden="1" spans="1:13">
      <c r="A90" s="14" t="str">
        <f>CONCATENATE("અંકે રૂપિયા ",A84,A85,B84,B85,C84,C85,D84,D85,E84,E85,G85,F84,F85,A79,"પુરા")</f>
        <v>અંકે રૂપિયા એકસોચુંમાલીસ પુરા</v>
      </c>
      <c r="B90" s="14"/>
      <c r="C90" s="14"/>
      <c r="D90" s="14"/>
      <c r="E90" s="14"/>
      <c r="F90" s="14"/>
      <c r="G90" s="14"/>
      <c r="H90" s="11"/>
      <c r="I90" s="11"/>
      <c r="J90" s="12">
        <v>89</v>
      </c>
      <c r="K90" s="16" t="s">
        <v>327</v>
      </c>
      <c r="L90" s="17"/>
      <c r="M90" s="17"/>
    </row>
    <row r="91" hidden="1" spans="10:13">
      <c r="J91" s="12">
        <v>90</v>
      </c>
      <c r="K91" s="16" t="s">
        <v>328</v>
      </c>
      <c r="L91" s="17"/>
      <c r="M91" s="17"/>
    </row>
    <row r="92" hidden="1" spans="1:13">
      <c r="A92" s="10" t="s">
        <v>49</v>
      </c>
      <c r="B92" s="10"/>
      <c r="C92" s="10"/>
      <c r="D92" s="10"/>
      <c r="E92" s="10"/>
      <c r="F92" s="10"/>
      <c r="G92" s="10"/>
      <c r="H92" s="11"/>
      <c r="I92" s="11"/>
      <c r="J92" s="12">
        <v>91</v>
      </c>
      <c r="K92" s="16" t="s">
        <v>329</v>
      </c>
      <c r="L92" s="17"/>
      <c r="M92" s="17"/>
    </row>
    <row r="93" hidden="1" spans="1:13">
      <c r="A93" s="12">
        <f t="shared" ref="A93:F93" si="7">A94*A95</f>
        <v>0</v>
      </c>
      <c r="B93" s="10">
        <f t="shared" si="7"/>
        <v>0</v>
      </c>
      <c r="C93" s="10">
        <f t="shared" si="7"/>
        <v>0</v>
      </c>
      <c r="D93" s="10">
        <f t="shared" si="7"/>
        <v>100</v>
      </c>
      <c r="E93" s="10">
        <f t="shared" si="7"/>
        <v>44</v>
      </c>
      <c r="F93" s="10">
        <f t="shared" si="7"/>
        <v>0</v>
      </c>
      <c r="G93" s="10"/>
      <c r="H93" s="11"/>
      <c r="I93" s="11"/>
      <c r="J93" s="12">
        <v>92</v>
      </c>
      <c r="K93" s="16" t="s">
        <v>330</v>
      </c>
      <c r="L93" s="17"/>
      <c r="M93" s="17"/>
    </row>
    <row r="94" hidden="1" spans="1:13">
      <c r="A94" s="12">
        <v>10000000</v>
      </c>
      <c r="B94" s="10">
        <v>100000</v>
      </c>
      <c r="C94" s="10">
        <v>1000</v>
      </c>
      <c r="D94" s="10">
        <v>100</v>
      </c>
      <c r="E94" s="10">
        <v>1</v>
      </c>
      <c r="F94" s="10">
        <v>1</v>
      </c>
      <c r="G94" s="10"/>
      <c r="H94" s="11"/>
      <c r="I94" s="11"/>
      <c r="J94" s="12">
        <v>93</v>
      </c>
      <c r="K94" s="16" t="s">
        <v>331</v>
      </c>
      <c r="L94" s="17"/>
      <c r="M94" s="17"/>
    </row>
    <row r="95" hidden="1" spans="1:13">
      <c r="A95" s="12">
        <f>TRUNC(A100/A94)</f>
        <v>0</v>
      </c>
      <c r="B95" s="10">
        <f>TRUNC((A100-A93)/B94)</f>
        <v>0</v>
      </c>
      <c r="C95" s="10">
        <f>TRUNC((A100-A93-B93)/C94)</f>
        <v>0</v>
      </c>
      <c r="D95" s="10">
        <f>TRUNC((A100-A93-B93-C93)/D94)</f>
        <v>1</v>
      </c>
      <c r="E95" s="10">
        <f>TRUNC((A100-A93-B93-C93-D93)/E94)</f>
        <v>44</v>
      </c>
      <c r="F95" s="10">
        <f>ROUND((A100-(SUM(A93:E93)))*100,0)</f>
        <v>0</v>
      </c>
      <c r="G95" s="10"/>
      <c r="H95" s="11"/>
      <c r="I95" s="11"/>
      <c r="J95" s="12">
        <v>94</v>
      </c>
      <c r="K95" s="16" t="s">
        <v>332</v>
      </c>
      <c r="L95" s="17"/>
      <c r="M95" s="17"/>
    </row>
    <row r="96" hidden="1" spans="1:13">
      <c r="A96" s="12" t="s">
        <v>49</v>
      </c>
      <c r="B96" s="10" t="s">
        <v>49</v>
      </c>
      <c r="C96" s="10" t="s">
        <v>49</v>
      </c>
      <c r="D96" s="10" t="s">
        <v>49</v>
      </c>
      <c r="E96" s="10" t="s">
        <v>49</v>
      </c>
      <c r="F96" s="10" t="s">
        <v>49</v>
      </c>
      <c r="G96" s="10" t="s">
        <v>49</v>
      </c>
      <c r="H96" s="11"/>
      <c r="I96" s="11"/>
      <c r="J96" s="12">
        <v>95</v>
      </c>
      <c r="K96" s="16" t="s">
        <v>333</v>
      </c>
      <c r="L96" s="17"/>
      <c r="M96" s="17"/>
    </row>
    <row r="97" hidden="1" spans="1:13">
      <c r="A97" s="12" t="str">
        <f>IF(A95=0,"",VLOOKUP(A95,$J$1:$K$100,2))</f>
        <v/>
      </c>
      <c r="B97" s="12" t="str">
        <f>IF(B95=0,"",VLOOKUP(B95,$J$1:$K$100,2))</f>
        <v/>
      </c>
      <c r="C97" s="12" t="str">
        <f>IF(C95=0,"",VLOOKUP(C95,$J$1:$K$100,2))</f>
        <v/>
      </c>
      <c r="D97" s="12" t="str">
        <f>IF(D95=0,"",VLOOKUP(D95,$J$1:$M$100,4))</f>
        <v>એક</v>
      </c>
      <c r="E97" s="12" t="str">
        <f>IF(E95=0,"",VLOOKUP(E95,$J$1:$K$100,2))</f>
        <v>ચુંમાલીસ</v>
      </c>
      <c r="F97" s="12" t="str">
        <f>IF(F95=0,"",VLOOKUP(F95,$J$1:$K$100,2))</f>
        <v/>
      </c>
      <c r="G97" s="10"/>
      <c r="H97" s="11"/>
      <c r="I97" s="11"/>
      <c r="J97" s="12">
        <v>96</v>
      </c>
      <c r="K97" s="16" t="s">
        <v>334</v>
      </c>
      <c r="L97" s="17"/>
      <c r="M97" s="17"/>
    </row>
    <row r="98" hidden="1" spans="1:13">
      <c r="A98" s="12" t="str">
        <f>IF(A97&lt;&gt;""," કરોડ ","")</f>
        <v/>
      </c>
      <c r="B98" s="12" t="str">
        <f>IF(B97&lt;&gt;""," લાખ ","")</f>
        <v/>
      </c>
      <c r="C98" s="12" t="str">
        <f>IF(C97&lt;&gt;"","  હજાર ","")</f>
        <v/>
      </c>
      <c r="D98" s="12" t="str">
        <f>IF(D97&lt;&gt;"","સો","")</f>
        <v>સો</v>
      </c>
      <c r="E98" s="12" t="str">
        <f>IF(E97&lt;&gt;"","","")</f>
        <v/>
      </c>
      <c r="F98" s="12" t="str">
        <f>IF(F97&lt;&gt;""," પૈસા ","")</f>
        <v/>
      </c>
      <c r="G98" s="12" t="str">
        <f>IF(F97&lt;&gt;""," અને ","")</f>
        <v/>
      </c>
      <c r="H98" s="11"/>
      <c r="I98" s="11"/>
      <c r="J98" s="12">
        <v>97</v>
      </c>
      <c r="K98" s="16" t="s">
        <v>335</v>
      </c>
      <c r="L98" s="17"/>
      <c r="M98" s="17"/>
    </row>
    <row r="99" hidden="1" spans="1:13">
      <c r="A99" s="11"/>
      <c r="B99" s="11"/>
      <c r="C99" s="11"/>
      <c r="D99" s="11"/>
      <c r="E99" s="11"/>
      <c r="F99" s="11"/>
      <c r="G99" s="11"/>
      <c r="H99" s="11"/>
      <c r="I99" s="11"/>
      <c r="J99" s="12">
        <v>98</v>
      </c>
      <c r="K99" s="16" t="s">
        <v>336</v>
      </c>
      <c r="L99" s="17"/>
      <c r="M99" s="17"/>
    </row>
    <row r="100" hidden="1" spans="1:13">
      <c r="A100" s="13">
        <v>144</v>
      </c>
      <c r="B100" s="11"/>
      <c r="C100" s="11"/>
      <c r="D100" s="11"/>
      <c r="E100" s="11"/>
      <c r="F100" s="11"/>
      <c r="G100" s="11"/>
      <c r="H100" s="11"/>
      <c r="I100" s="11"/>
      <c r="J100" s="12">
        <v>99</v>
      </c>
      <c r="K100" s="16" t="s">
        <v>337</v>
      </c>
      <c r="L100" s="17"/>
      <c r="M100" s="17"/>
    </row>
    <row r="101" hidden="1" spans="1:9">
      <c r="A101" s="11"/>
      <c r="B101" s="11"/>
      <c r="C101" s="11"/>
      <c r="D101" s="11"/>
      <c r="E101" s="11"/>
      <c r="F101" s="11"/>
      <c r="G101" s="11"/>
      <c r="H101" s="11"/>
      <c r="I101" s="11"/>
    </row>
    <row r="102" hidden="1" spans="1:9">
      <c r="A102" s="11"/>
      <c r="B102" s="11"/>
      <c r="C102" s="11"/>
      <c r="D102" s="11"/>
      <c r="E102" s="11"/>
      <c r="F102" s="11"/>
      <c r="G102" s="11"/>
      <c r="H102" s="11"/>
      <c r="I102" s="11"/>
    </row>
    <row r="103" hidden="1" spans="1:9">
      <c r="A103" s="14" t="str">
        <f>CONCATENATE("અંકે રૂપિયા ",A97,A98,B97,B98,C97,C98,D97,D98,E97,E98,G98,F97,F98,A92,"પુરા")</f>
        <v>અંકે રૂપિયા એકસોચુંમાલીસ પુરા</v>
      </c>
      <c r="B103" s="14"/>
      <c r="C103" s="14"/>
      <c r="D103" s="14"/>
      <c r="E103" s="14"/>
      <c r="F103" s="14"/>
      <c r="G103" s="14"/>
      <c r="H103" s="11"/>
      <c r="I103" s="11"/>
    </row>
    <row r="105" hidden="1" spans="1:9">
      <c r="A105" s="10" t="s">
        <v>49</v>
      </c>
      <c r="B105" s="10"/>
      <c r="C105" s="10"/>
      <c r="D105" s="10"/>
      <c r="E105" s="10"/>
      <c r="F105" s="10"/>
      <c r="G105" s="10"/>
      <c r="H105" s="11"/>
      <c r="I105" s="11"/>
    </row>
    <row r="106" hidden="1" spans="1:9">
      <c r="A106" s="12">
        <f t="shared" ref="A106:F106" si="8">A107*A108</f>
        <v>0</v>
      </c>
      <c r="B106" s="10">
        <f t="shared" si="8"/>
        <v>0</v>
      </c>
      <c r="C106" s="10">
        <f t="shared" si="8"/>
        <v>0</v>
      </c>
      <c r="D106" s="10">
        <f t="shared" si="8"/>
        <v>100</v>
      </c>
      <c r="E106" s="10">
        <f t="shared" si="8"/>
        <v>44</v>
      </c>
      <c r="F106" s="10">
        <f t="shared" si="8"/>
        <v>0</v>
      </c>
      <c r="G106" s="10"/>
      <c r="H106" s="11"/>
      <c r="I106" s="11"/>
    </row>
    <row r="107" hidden="1" spans="1:9">
      <c r="A107" s="12">
        <v>10000000</v>
      </c>
      <c r="B107" s="10">
        <v>100000</v>
      </c>
      <c r="C107" s="10">
        <v>1000</v>
      </c>
      <c r="D107" s="10">
        <v>100</v>
      </c>
      <c r="E107" s="10">
        <v>1</v>
      </c>
      <c r="F107" s="10">
        <v>1</v>
      </c>
      <c r="G107" s="10"/>
      <c r="H107" s="11"/>
      <c r="I107" s="11"/>
    </row>
    <row r="108" hidden="1" spans="1:9">
      <c r="A108" s="12">
        <f>TRUNC(A113/A107)</f>
        <v>0</v>
      </c>
      <c r="B108" s="10">
        <f>TRUNC((A113-A106)/B107)</f>
        <v>0</v>
      </c>
      <c r="C108" s="10">
        <f>TRUNC((A113-A106-B106)/C107)</f>
        <v>0</v>
      </c>
      <c r="D108" s="10">
        <f>TRUNC((A113-A106-B106-C106)/D107)</f>
        <v>1</v>
      </c>
      <c r="E108" s="10">
        <f>TRUNC((A113-A106-B106-C106-D106)/E107)</f>
        <v>44</v>
      </c>
      <c r="F108" s="10">
        <f>ROUND((A113-(SUM(A106:E106)))*100,0)</f>
        <v>0</v>
      </c>
      <c r="G108" s="10"/>
      <c r="H108" s="11"/>
      <c r="I108" s="11"/>
    </row>
    <row r="109" hidden="1" spans="1:9">
      <c r="A109" s="12" t="s">
        <v>49</v>
      </c>
      <c r="B109" s="10" t="s">
        <v>49</v>
      </c>
      <c r="C109" s="10" t="s">
        <v>49</v>
      </c>
      <c r="D109" s="10" t="s">
        <v>49</v>
      </c>
      <c r="E109" s="10" t="s">
        <v>49</v>
      </c>
      <c r="F109" s="10" t="s">
        <v>49</v>
      </c>
      <c r="G109" s="10" t="s">
        <v>49</v>
      </c>
      <c r="H109" s="11"/>
      <c r="I109" s="11"/>
    </row>
    <row r="110" hidden="1" spans="1:9">
      <c r="A110" s="12" t="str">
        <f>IF(A108=0,"",VLOOKUP(A108,$J$1:$K$100,2))</f>
        <v/>
      </c>
      <c r="B110" s="12" t="str">
        <f>IF(B108=0,"",VLOOKUP(B108,$J$1:$K$100,2))</f>
        <v/>
      </c>
      <c r="C110" s="12" t="str">
        <f>IF(C108=0,"",VLOOKUP(C108,$J$1:$K$100,2))</f>
        <v/>
      </c>
      <c r="D110" s="12" t="str">
        <f>IF(D108=0,"",VLOOKUP(D108,$J$1:$M$100,4))</f>
        <v>એક</v>
      </c>
      <c r="E110" s="12" t="str">
        <f>IF(E108=0,"",VLOOKUP(E108,$J$1:$K$100,2))</f>
        <v>ચુંમાલીસ</v>
      </c>
      <c r="F110" s="12" t="str">
        <f>IF(F108=0,"",VLOOKUP(F108,$J$1:$K$100,2))</f>
        <v/>
      </c>
      <c r="G110" s="10"/>
      <c r="H110" s="11"/>
      <c r="I110" s="11"/>
    </row>
    <row r="111" hidden="1" spans="1:9">
      <c r="A111" s="12" t="str">
        <f>IF(A110&lt;&gt;""," કરોડ ","")</f>
        <v/>
      </c>
      <c r="B111" s="12" t="str">
        <f>IF(B110&lt;&gt;""," લાખ ","")</f>
        <v/>
      </c>
      <c r="C111" s="12" t="str">
        <f>IF(C110&lt;&gt;"","  હજાર ","")</f>
        <v/>
      </c>
      <c r="D111" s="12" t="str">
        <f>IF(D110&lt;&gt;"","સો","")</f>
        <v>સો</v>
      </c>
      <c r="E111" s="12" t="str">
        <f>IF(E110&lt;&gt;"","","")</f>
        <v/>
      </c>
      <c r="F111" s="12" t="str">
        <f>IF(F110&lt;&gt;""," પૈસા ","")</f>
        <v/>
      </c>
      <c r="G111" s="12" t="str">
        <f>IF(F110&lt;&gt;""," અને ","")</f>
        <v/>
      </c>
      <c r="H111" s="11"/>
      <c r="I111" s="11"/>
    </row>
    <row r="112" hidden="1" spans="1:9">
      <c r="A112" s="11"/>
      <c r="B112" s="11"/>
      <c r="C112" s="11"/>
      <c r="D112" s="11"/>
      <c r="E112" s="11"/>
      <c r="F112" s="11"/>
      <c r="G112" s="11"/>
      <c r="H112" s="11"/>
      <c r="I112" s="11"/>
    </row>
    <row r="113" hidden="1" spans="1:9">
      <c r="A113" s="13">
        <v>144</v>
      </c>
      <c r="B113" s="11"/>
      <c r="C113" s="11"/>
      <c r="D113" s="11"/>
      <c r="E113" s="11"/>
      <c r="F113" s="11"/>
      <c r="G113" s="11"/>
      <c r="H113" s="11"/>
      <c r="I113" s="11"/>
    </row>
    <row r="114" hidden="1" spans="1:9">
      <c r="A114" s="11"/>
      <c r="B114" s="11"/>
      <c r="C114" s="11"/>
      <c r="D114" s="11"/>
      <c r="E114" s="11"/>
      <c r="F114" s="11"/>
      <c r="G114" s="11"/>
      <c r="H114" s="11"/>
      <c r="I114" s="11"/>
    </row>
    <row r="115" hidden="1" spans="1:9">
      <c r="A115" s="11"/>
      <c r="B115" s="11"/>
      <c r="C115" s="11"/>
      <c r="D115" s="11"/>
      <c r="E115" s="11"/>
      <c r="F115" s="11"/>
      <c r="G115" s="11"/>
      <c r="H115" s="11"/>
      <c r="I115" s="11"/>
    </row>
    <row r="116" hidden="1" spans="1:9">
      <c r="A116" s="14" t="str">
        <f>CONCATENATE("અંકે રૂપિયા ",A110,A111,B110,B111,C110,C111,D110,D111,E110,E111,G111,F110,F111,A105,"પુરા")</f>
        <v>અંકે રૂપિયા એકસોચુંમાલીસ પુરા</v>
      </c>
      <c r="B116" s="14"/>
      <c r="C116" s="14"/>
      <c r="D116" s="14"/>
      <c r="E116" s="14"/>
      <c r="F116" s="14"/>
      <c r="G116" s="14"/>
      <c r="H116" s="11"/>
      <c r="I116" s="11"/>
    </row>
    <row r="118" hidden="1" spans="1:9">
      <c r="A118" s="10" t="s">
        <v>49</v>
      </c>
      <c r="B118" s="10"/>
      <c r="C118" s="10"/>
      <c r="D118" s="10"/>
      <c r="E118" s="10"/>
      <c r="F118" s="10"/>
      <c r="G118" s="10"/>
      <c r="H118" s="11"/>
      <c r="I118" s="11"/>
    </row>
    <row r="119" hidden="1" spans="1:9">
      <c r="A119" s="12">
        <f t="shared" ref="A119:F119" si="9">A120*A121</f>
        <v>0</v>
      </c>
      <c r="B119" s="10">
        <f t="shared" si="9"/>
        <v>0</v>
      </c>
      <c r="C119" s="10">
        <f t="shared" si="9"/>
        <v>0</v>
      </c>
      <c r="D119" s="10">
        <f t="shared" si="9"/>
        <v>100</v>
      </c>
      <c r="E119" s="10">
        <f t="shared" si="9"/>
        <v>44</v>
      </c>
      <c r="F119" s="10">
        <f t="shared" si="9"/>
        <v>0</v>
      </c>
      <c r="G119" s="10"/>
      <c r="H119" s="11"/>
      <c r="I119" s="11"/>
    </row>
    <row r="120" hidden="1" spans="1:9">
      <c r="A120" s="12">
        <v>10000000</v>
      </c>
      <c r="B120" s="10">
        <v>100000</v>
      </c>
      <c r="C120" s="10">
        <v>1000</v>
      </c>
      <c r="D120" s="10">
        <v>100</v>
      </c>
      <c r="E120" s="10">
        <v>1</v>
      </c>
      <c r="F120" s="10">
        <v>1</v>
      </c>
      <c r="G120" s="10"/>
      <c r="H120" s="11"/>
      <c r="I120" s="11"/>
    </row>
    <row r="121" hidden="1" spans="1:9">
      <c r="A121" s="12">
        <f>TRUNC(A126/A120)</f>
        <v>0</v>
      </c>
      <c r="B121" s="10">
        <f>TRUNC((A126-A119)/B120)</f>
        <v>0</v>
      </c>
      <c r="C121" s="10">
        <f>TRUNC((A126-A119-B119)/C120)</f>
        <v>0</v>
      </c>
      <c r="D121" s="10">
        <f>TRUNC((A126-A119-B119-C119)/D120)</f>
        <v>1</v>
      </c>
      <c r="E121" s="10">
        <f>TRUNC((A126-A119-B119-C119-D119)/E120)</f>
        <v>44</v>
      </c>
      <c r="F121" s="10">
        <f>ROUND((A126-(SUM(A119:E119)))*100,0)</f>
        <v>0</v>
      </c>
      <c r="G121" s="10"/>
      <c r="H121" s="11"/>
      <c r="I121" s="11"/>
    </row>
    <row r="122" hidden="1" spans="1:9">
      <c r="A122" s="12" t="s">
        <v>49</v>
      </c>
      <c r="B122" s="10" t="s">
        <v>49</v>
      </c>
      <c r="C122" s="10" t="s">
        <v>49</v>
      </c>
      <c r="D122" s="10" t="s">
        <v>49</v>
      </c>
      <c r="E122" s="10" t="s">
        <v>49</v>
      </c>
      <c r="F122" s="10" t="s">
        <v>49</v>
      </c>
      <c r="G122" s="10" t="s">
        <v>49</v>
      </c>
      <c r="H122" s="11"/>
      <c r="I122" s="11"/>
    </row>
    <row r="123" hidden="1" spans="1:9">
      <c r="A123" s="12" t="str">
        <f>IF(A121=0,"",VLOOKUP(A121,$J$1:$K$100,2))</f>
        <v/>
      </c>
      <c r="B123" s="12" t="str">
        <f>IF(B121=0,"",VLOOKUP(B121,$J$1:$K$100,2))</f>
        <v/>
      </c>
      <c r="C123" s="12" t="str">
        <f>IF(C121=0,"",VLOOKUP(C121,$J$1:$K$100,2))</f>
        <v/>
      </c>
      <c r="D123" s="12" t="str">
        <f>IF(D121=0,"",VLOOKUP(D121,$J$1:$M$100,4))</f>
        <v>એક</v>
      </c>
      <c r="E123" s="12" t="str">
        <f>IF(E121=0,"",VLOOKUP(E121,$J$1:$K$100,2))</f>
        <v>ચુંમાલીસ</v>
      </c>
      <c r="F123" s="12" t="str">
        <f>IF(F121=0,"",VLOOKUP(F121,$J$1:$K$100,2))</f>
        <v/>
      </c>
      <c r="G123" s="10"/>
      <c r="H123" s="11"/>
      <c r="I123" s="11"/>
    </row>
    <row r="124" hidden="1" spans="1:9">
      <c r="A124" s="12" t="str">
        <f>IF(A123&lt;&gt;""," કરોડ ","")</f>
        <v/>
      </c>
      <c r="B124" s="12" t="str">
        <f>IF(B123&lt;&gt;""," લાખ ","")</f>
        <v/>
      </c>
      <c r="C124" s="12" t="str">
        <f>IF(C123&lt;&gt;"","  હજાર ","")</f>
        <v/>
      </c>
      <c r="D124" s="12" t="str">
        <f>IF(D123&lt;&gt;"","સો","")</f>
        <v>સો</v>
      </c>
      <c r="E124" s="12" t="str">
        <f>IF(E123&lt;&gt;"","","")</f>
        <v/>
      </c>
      <c r="F124" s="12" t="str">
        <f>IF(F123&lt;&gt;""," પૈસા ","")</f>
        <v/>
      </c>
      <c r="G124" s="12" t="str">
        <f>IF(F123&lt;&gt;""," અને ","")</f>
        <v/>
      </c>
      <c r="H124" s="11"/>
      <c r="I124" s="11"/>
    </row>
    <row r="125" hidden="1" spans="1:9">
      <c r="A125" s="11"/>
      <c r="B125" s="11"/>
      <c r="C125" s="11"/>
      <c r="D125" s="11"/>
      <c r="E125" s="11"/>
      <c r="F125" s="11"/>
      <c r="G125" s="11"/>
      <c r="H125" s="11"/>
      <c r="I125" s="11"/>
    </row>
    <row r="126" hidden="1" spans="1:9">
      <c r="A126" s="13">
        <v>144</v>
      </c>
      <c r="B126" s="11"/>
      <c r="C126" s="11"/>
      <c r="D126" s="11"/>
      <c r="E126" s="11"/>
      <c r="F126" s="11"/>
      <c r="G126" s="11"/>
      <c r="H126" s="11"/>
      <c r="I126" s="11"/>
    </row>
    <row r="127" hidden="1" spans="1:9">
      <c r="A127" s="11"/>
      <c r="B127" s="11"/>
      <c r="C127" s="11"/>
      <c r="D127" s="11"/>
      <c r="E127" s="11"/>
      <c r="F127" s="11"/>
      <c r="G127" s="11"/>
      <c r="H127" s="11"/>
      <c r="I127" s="11"/>
    </row>
    <row r="128" hidden="1" spans="1:9">
      <c r="A128" s="11"/>
      <c r="B128" s="11"/>
      <c r="C128" s="11"/>
      <c r="D128" s="11"/>
      <c r="E128" s="11"/>
      <c r="F128" s="11"/>
      <c r="G128" s="11"/>
      <c r="H128" s="11"/>
      <c r="I128" s="11"/>
    </row>
    <row r="129" hidden="1" spans="1:9">
      <c r="A129" s="14" t="str">
        <f>CONCATENATE("અંકે રૂપિયા ",A123,A124,B123,B124,C123,C124,D123,D124,E123,E124,G124,F123,F124,A118,"પુરા")</f>
        <v>અંકે રૂપિયા એકસોચુંમાલીસ પુરા</v>
      </c>
      <c r="B129" s="14"/>
      <c r="C129" s="14"/>
      <c r="D129" s="14"/>
      <c r="E129" s="14"/>
      <c r="F129" s="14"/>
      <c r="G129" s="14"/>
      <c r="H129" s="11"/>
      <c r="I129" s="11"/>
    </row>
    <row r="131" hidden="1" spans="1:9">
      <c r="A131" s="10" t="s">
        <v>49</v>
      </c>
      <c r="B131" s="10"/>
      <c r="C131" s="10"/>
      <c r="D131" s="10"/>
      <c r="E131" s="10"/>
      <c r="F131" s="10"/>
      <c r="G131" s="10"/>
      <c r="H131" s="11"/>
      <c r="I131" s="11"/>
    </row>
    <row r="132" hidden="1" spans="1:9">
      <c r="A132" s="12">
        <f t="shared" ref="A132:F132" si="10">A133*A134</f>
        <v>0</v>
      </c>
      <c r="B132" s="10">
        <f t="shared" si="10"/>
        <v>0</v>
      </c>
      <c r="C132" s="10">
        <f t="shared" si="10"/>
        <v>0</v>
      </c>
      <c r="D132" s="10">
        <f t="shared" si="10"/>
        <v>100</v>
      </c>
      <c r="E132" s="10">
        <f t="shared" si="10"/>
        <v>44</v>
      </c>
      <c r="F132" s="10">
        <f t="shared" si="10"/>
        <v>0</v>
      </c>
      <c r="G132" s="10"/>
      <c r="H132" s="11"/>
      <c r="I132" s="11"/>
    </row>
    <row r="133" hidden="1" spans="1:9">
      <c r="A133" s="12">
        <v>10000000</v>
      </c>
      <c r="B133" s="10">
        <v>100000</v>
      </c>
      <c r="C133" s="10">
        <v>1000</v>
      </c>
      <c r="D133" s="10">
        <v>100</v>
      </c>
      <c r="E133" s="10">
        <v>1</v>
      </c>
      <c r="F133" s="10">
        <v>1</v>
      </c>
      <c r="G133" s="10"/>
      <c r="H133" s="11"/>
      <c r="I133" s="11"/>
    </row>
    <row r="134" hidden="1" spans="1:9">
      <c r="A134" s="12">
        <f>TRUNC(A139/A133)</f>
        <v>0</v>
      </c>
      <c r="B134" s="10">
        <f>TRUNC((A139-A132)/B133)</f>
        <v>0</v>
      </c>
      <c r="C134" s="10">
        <f>TRUNC((A139-A132-B132)/C133)</f>
        <v>0</v>
      </c>
      <c r="D134" s="10">
        <f>TRUNC((A139-A132-B132-C132)/D133)</f>
        <v>1</v>
      </c>
      <c r="E134" s="10">
        <f>TRUNC((A139-A132-B132-C132-D132)/E133)</f>
        <v>44</v>
      </c>
      <c r="F134" s="10">
        <f>ROUND((A139-(SUM(A132:E132)))*100,0)</f>
        <v>0</v>
      </c>
      <c r="G134" s="10"/>
      <c r="H134" s="11"/>
      <c r="I134" s="11"/>
    </row>
    <row r="135" hidden="1" spans="1:9">
      <c r="A135" s="12" t="s">
        <v>49</v>
      </c>
      <c r="B135" s="10" t="s">
        <v>49</v>
      </c>
      <c r="C135" s="10" t="s">
        <v>49</v>
      </c>
      <c r="D135" s="10" t="s">
        <v>49</v>
      </c>
      <c r="E135" s="10" t="s">
        <v>49</v>
      </c>
      <c r="F135" s="10" t="s">
        <v>49</v>
      </c>
      <c r="G135" s="10" t="s">
        <v>49</v>
      </c>
      <c r="H135" s="11"/>
      <c r="I135" s="11"/>
    </row>
    <row r="136" hidden="1" spans="1:9">
      <c r="A136" s="12" t="str">
        <f>IF(A134=0,"",VLOOKUP(A134,$J$1:$K$100,2))</f>
        <v/>
      </c>
      <c r="B136" s="12" t="str">
        <f>IF(B134=0,"",VLOOKUP(B134,$J$1:$K$100,2))</f>
        <v/>
      </c>
      <c r="C136" s="12" t="str">
        <f>IF(C134=0,"",VLOOKUP(C134,$J$1:$K$100,2))</f>
        <v/>
      </c>
      <c r="D136" s="12" t="str">
        <f>IF(D134=0,"",VLOOKUP(D134,$J$1:$M$100,4))</f>
        <v>એક</v>
      </c>
      <c r="E136" s="12" t="str">
        <f>IF(E134=0,"",VLOOKUP(E134,$J$1:$K$100,2))</f>
        <v>ચુંમાલીસ</v>
      </c>
      <c r="F136" s="12" t="str">
        <f>IF(F134=0,"",VLOOKUP(F134,$J$1:$K$100,2))</f>
        <v/>
      </c>
      <c r="G136" s="10"/>
      <c r="H136" s="11"/>
      <c r="I136" s="11"/>
    </row>
    <row r="137" hidden="1" spans="1:9">
      <c r="A137" s="12" t="str">
        <f>IF(A136&lt;&gt;""," કરોડ ","")</f>
        <v/>
      </c>
      <c r="B137" s="12" t="str">
        <f>IF(B136&lt;&gt;""," લાખ ","")</f>
        <v/>
      </c>
      <c r="C137" s="12" t="str">
        <f>IF(C136&lt;&gt;"","  હજાર ","")</f>
        <v/>
      </c>
      <c r="D137" s="12" t="str">
        <f>IF(D136&lt;&gt;"","સો","")</f>
        <v>સો</v>
      </c>
      <c r="E137" s="12" t="str">
        <f>IF(E136&lt;&gt;"","","")</f>
        <v/>
      </c>
      <c r="F137" s="12" t="str">
        <f>IF(F136&lt;&gt;""," પૈસા ","")</f>
        <v/>
      </c>
      <c r="G137" s="12" t="str">
        <f>IF(F136&lt;&gt;""," અને ","")</f>
        <v/>
      </c>
      <c r="H137" s="11"/>
      <c r="I137" s="11"/>
    </row>
    <row r="138" hidden="1" spans="1:9">
      <c r="A138" s="11"/>
      <c r="B138" s="11"/>
      <c r="C138" s="11"/>
      <c r="D138" s="11"/>
      <c r="E138" s="11"/>
      <c r="F138" s="11"/>
      <c r="G138" s="11"/>
      <c r="H138" s="11"/>
      <c r="I138" s="11"/>
    </row>
    <row r="139" hidden="1" spans="1:9">
      <c r="A139" s="13">
        <v>144</v>
      </c>
      <c r="B139" s="11"/>
      <c r="C139" s="11"/>
      <c r="D139" s="11"/>
      <c r="E139" s="11"/>
      <c r="F139" s="11"/>
      <c r="G139" s="11"/>
      <c r="H139" s="11"/>
      <c r="I139" s="11"/>
    </row>
    <row r="140" hidden="1" spans="1:9">
      <c r="A140" s="11"/>
      <c r="B140" s="11"/>
      <c r="C140" s="11"/>
      <c r="D140" s="11"/>
      <c r="E140" s="11"/>
      <c r="F140" s="11"/>
      <c r="G140" s="11"/>
      <c r="H140" s="11"/>
      <c r="I140" s="11"/>
    </row>
    <row r="141" hidden="1" spans="1:9">
      <c r="A141" s="11"/>
      <c r="B141" s="11"/>
      <c r="C141" s="11"/>
      <c r="D141" s="11"/>
      <c r="E141" s="11"/>
      <c r="F141" s="11"/>
      <c r="G141" s="11"/>
      <c r="H141" s="11"/>
      <c r="I141" s="11"/>
    </row>
    <row r="142" hidden="1" spans="1:9">
      <c r="A142" s="14" t="str">
        <f>CONCATENATE("અંકે રૂપિયા ",A136,A137,B136,B137,C136,C137,D136,D137,E136,E137,G137,F136,F137,A131,"પુરા")</f>
        <v>અંકે રૂપિયા એકસોચુંમાલીસ પુરા</v>
      </c>
      <c r="B142" s="14"/>
      <c r="C142" s="14"/>
      <c r="D142" s="14"/>
      <c r="E142" s="14"/>
      <c r="F142" s="14"/>
      <c r="G142" s="14"/>
      <c r="H142" s="11"/>
      <c r="I142" s="11"/>
    </row>
    <row r="144" hidden="1" spans="1:9">
      <c r="A144" s="10" t="s">
        <v>49</v>
      </c>
      <c r="B144" s="10"/>
      <c r="C144" s="10"/>
      <c r="D144" s="10"/>
      <c r="E144" s="10"/>
      <c r="F144" s="10"/>
      <c r="G144" s="10"/>
      <c r="H144" s="11"/>
      <c r="I144" s="11"/>
    </row>
    <row r="145" hidden="1" spans="1:9">
      <c r="A145" s="12">
        <f t="shared" ref="A145:F145" si="11">A146*A147</f>
        <v>0</v>
      </c>
      <c r="B145" s="10">
        <f t="shared" si="11"/>
        <v>0</v>
      </c>
      <c r="C145" s="10">
        <f t="shared" si="11"/>
        <v>0</v>
      </c>
      <c r="D145" s="10">
        <f t="shared" si="11"/>
        <v>100</v>
      </c>
      <c r="E145" s="10">
        <f t="shared" si="11"/>
        <v>44</v>
      </c>
      <c r="F145" s="10">
        <f t="shared" si="11"/>
        <v>0</v>
      </c>
      <c r="G145" s="10"/>
      <c r="H145" s="11"/>
      <c r="I145" s="11"/>
    </row>
    <row r="146" hidden="1" spans="1:9">
      <c r="A146" s="12">
        <v>10000000</v>
      </c>
      <c r="B146" s="10">
        <v>100000</v>
      </c>
      <c r="C146" s="10">
        <v>1000</v>
      </c>
      <c r="D146" s="10">
        <v>100</v>
      </c>
      <c r="E146" s="10">
        <v>1</v>
      </c>
      <c r="F146" s="10">
        <v>1</v>
      </c>
      <c r="G146" s="10"/>
      <c r="H146" s="11"/>
      <c r="I146" s="11"/>
    </row>
    <row r="147" hidden="1" spans="1:9">
      <c r="A147" s="12">
        <f>TRUNC(A152/A146)</f>
        <v>0</v>
      </c>
      <c r="B147" s="10">
        <f>TRUNC((A152-A145)/B146)</f>
        <v>0</v>
      </c>
      <c r="C147" s="10">
        <f>TRUNC((A152-A145-B145)/C146)</f>
        <v>0</v>
      </c>
      <c r="D147" s="10">
        <f>TRUNC((A152-A145-B145-C145)/D146)</f>
        <v>1</v>
      </c>
      <c r="E147" s="10">
        <f>TRUNC((A152-A145-B145-C145-D145)/E146)</f>
        <v>44</v>
      </c>
      <c r="F147" s="10">
        <f>ROUND((A152-(SUM(A145:E145)))*100,0)</f>
        <v>0</v>
      </c>
      <c r="G147" s="10"/>
      <c r="H147" s="11"/>
      <c r="I147" s="11"/>
    </row>
    <row r="148" hidden="1" spans="1:9">
      <c r="A148" s="12" t="s">
        <v>49</v>
      </c>
      <c r="B148" s="10" t="s">
        <v>49</v>
      </c>
      <c r="C148" s="10" t="s">
        <v>49</v>
      </c>
      <c r="D148" s="10" t="s">
        <v>49</v>
      </c>
      <c r="E148" s="10" t="s">
        <v>49</v>
      </c>
      <c r="F148" s="10" t="s">
        <v>49</v>
      </c>
      <c r="G148" s="10" t="s">
        <v>49</v>
      </c>
      <c r="H148" s="11"/>
      <c r="I148" s="11"/>
    </row>
    <row r="149" hidden="1" spans="1:9">
      <c r="A149" s="12" t="str">
        <f>IF(A147=0,"",VLOOKUP(A147,$J$1:$K$100,2))</f>
        <v/>
      </c>
      <c r="B149" s="12" t="str">
        <f>IF(B147=0,"",VLOOKUP(B147,$J$1:$K$100,2))</f>
        <v/>
      </c>
      <c r="C149" s="12" t="str">
        <f>IF(C147=0,"",VLOOKUP(C147,$J$1:$K$100,2))</f>
        <v/>
      </c>
      <c r="D149" s="12" t="str">
        <f>IF(D147=0,"",VLOOKUP(D147,$J$1:$M$100,4))</f>
        <v>એક</v>
      </c>
      <c r="E149" s="12" t="str">
        <f>IF(E147=0,"",VLOOKUP(E147,$J$1:$K$100,2))</f>
        <v>ચુંમાલીસ</v>
      </c>
      <c r="F149" s="12" t="str">
        <f>IF(F147=0,"",VLOOKUP(F147,$J$1:$K$100,2))</f>
        <v/>
      </c>
      <c r="G149" s="10"/>
      <c r="H149" s="11"/>
      <c r="I149" s="11"/>
    </row>
    <row r="150" hidden="1" spans="1:9">
      <c r="A150" s="12" t="str">
        <f>IF(A149&lt;&gt;""," કરોડ ","")</f>
        <v/>
      </c>
      <c r="B150" s="12" t="str">
        <f>IF(B149&lt;&gt;""," લાખ ","")</f>
        <v/>
      </c>
      <c r="C150" s="12" t="str">
        <f>IF(C149&lt;&gt;"","  હજાર ","")</f>
        <v/>
      </c>
      <c r="D150" s="12" t="str">
        <f>IF(D149&lt;&gt;"","સો","")</f>
        <v>સો</v>
      </c>
      <c r="E150" s="12" t="str">
        <f>IF(E149&lt;&gt;"","","")</f>
        <v/>
      </c>
      <c r="F150" s="12" t="str">
        <f>IF(F149&lt;&gt;""," પૈસા ","")</f>
        <v/>
      </c>
      <c r="G150" s="12" t="str">
        <f>IF(F149&lt;&gt;""," અને ","")</f>
        <v/>
      </c>
      <c r="H150" s="11"/>
      <c r="I150" s="11"/>
    </row>
    <row r="151" hidden="1" spans="1:9">
      <c r="A151" s="11"/>
      <c r="B151" s="11"/>
      <c r="C151" s="11"/>
      <c r="D151" s="11"/>
      <c r="E151" s="11"/>
      <c r="F151" s="11"/>
      <c r="G151" s="11"/>
      <c r="H151" s="11"/>
      <c r="I151" s="11"/>
    </row>
    <row r="152" hidden="1" spans="1:9">
      <c r="A152" s="13">
        <v>144</v>
      </c>
      <c r="B152" s="11"/>
      <c r="C152" s="11"/>
      <c r="D152" s="11"/>
      <c r="E152" s="11"/>
      <c r="F152" s="11"/>
      <c r="G152" s="11"/>
      <c r="H152" s="11"/>
      <c r="I152" s="11"/>
    </row>
    <row r="153" hidden="1" spans="1:9">
      <c r="A153" s="11"/>
      <c r="B153" s="11"/>
      <c r="C153" s="11"/>
      <c r="D153" s="11"/>
      <c r="E153" s="11"/>
      <c r="F153" s="11"/>
      <c r="G153" s="11"/>
      <c r="H153" s="11"/>
      <c r="I153" s="11"/>
    </row>
    <row r="154" hidden="1" spans="1:9">
      <c r="A154" s="11"/>
      <c r="B154" s="11"/>
      <c r="C154" s="11"/>
      <c r="D154" s="11"/>
      <c r="E154" s="11"/>
      <c r="F154" s="11"/>
      <c r="G154" s="11"/>
      <c r="H154" s="11"/>
      <c r="I154" s="11"/>
    </row>
    <row r="155" hidden="1" spans="1:9">
      <c r="A155" s="14" t="str">
        <f>CONCATENATE("અંકે રૂપિયા ",A149,A150,B149,B150,C149,C150,D149,D150,E149,E150,G150,F149,F150,A144,"પુરા")</f>
        <v>અંકે રૂપિયા એકસોચુંમાલીસ પુરા</v>
      </c>
      <c r="B155" s="14"/>
      <c r="C155" s="14"/>
      <c r="D155" s="14"/>
      <c r="E155" s="14"/>
      <c r="F155" s="14"/>
      <c r="G155" s="14"/>
      <c r="H155" s="11"/>
      <c r="I155" s="11"/>
    </row>
    <row r="157" hidden="1" spans="1:9">
      <c r="A157" s="10" t="s">
        <v>49</v>
      </c>
      <c r="B157" s="10"/>
      <c r="C157" s="10"/>
      <c r="D157" s="10"/>
      <c r="E157" s="10"/>
      <c r="F157" s="10"/>
      <c r="G157" s="10"/>
      <c r="H157" s="11"/>
      <c r="I157" s="11"/>
    </row>
    <row r="158" hidden="1" spans="1:9">
      <c r="A158" s="12">
        <f t="shared" ref="A158:F158" si="12">A159*A160</f>
        <v>0</v>
      </c>
      <c r="B158" s="10">
        <f t="shared" si="12"/>
        <v>0</v>
      </c>
      <c r="C158" s="10">
        <f t="shared" si="12"/>
        <v>0</v>
      </c>
      <c r="D158" s="10">
        <f t="shared" si="12"/>
        <v>100</v>
      </c>
      <c r="E158" s="10">
        <f t="shared" si="12"/>
        <v>44</v>
      </c>
      <c r="F158" s="10">
        <f t="shared" si="12"/>
        <v>0</v>
      </c>
      <c r="G158" s="10"/>
      <c r="H158" s="11"/>
      <c r="I158" s="11"/>
    </row>
    <row r="159" hidden="1" spans="1:9">
      <c r="A159" s="12">
        <v>10000000</v>
      </c>
      <c r="B159" s="10">
        <v>100000</v>
      </c>
      <c r="C159" s="10">
        <v>1000</v>
      </c>
      <c r="D159" s="10">
        <v>100</v>
      </c>
      <c r="E159" s="10">
        <v>1</v>
      </c>
      <c r="F159" s="10">
        <v>1</v>
      </c>
      <c r="G159" s="10"/>
      <c r="H159" s="11"/>
      <c r="I159" s="11"/>
    </row>
    <row r="160" hidden="1" spans="1:9">
      <c r="A160" s="12">
        <f>TRUNC(A165/A159)</f>
        <v>0</v>
      </c>
      <c r="B160" s="10">
        <f>TRUNC((A165-A158)/B159)</f>
        <v>0</v>
      </c>
      <c r="C160" s="10">
        <f>TRUNC((A165-A158-B158)/C159)</f>
        <v>0</v>
      </c>
      <c r="D160" s="10">
        <f>TRUNC((A165-A158-B158-C158)/D159)</f>
        <v>1</v>
      </c>
      <c r="E160" s="10">
        <f>TRUNC((A165-A158-B158-C158-D158)/E159)</f>
        <v>44</v>
      </c>
      <c r="F160" s="10">
        <f>ROUND((A165-(SUM(A158:E158)))*100,0)</f>
        <v>0</v>
      </c>
      <c r="G160" s="10"/>
      <c r="H160" s="11"/>
      <c r="I160" s="11"/>
    </row>
    <row r="161" hidden="1" spans="1:9">
      <c r="A161" s="12" t="s">
        <v>49</v>
      </c>
      <c r="B161" s="10" t="s">
        <v>49</v>
      </c>
      <c r="C161" s="10" t="s">
        <v>49</v>
      </c>
      <c r="D161" s="10" t="s">
        <v>49</v>
      </c>
      <c r="E161" s="10" t="s">
        <v>49</v>
      </c>
      <c r="F161" s="10" t="s">
        <v>49</v>
      </c>
      <c r="G161" s="10" t="s">
        <v>49</v>
      </c>
      <c r="H161" s="11"/>
      <c r="I161" s="11"/>
    </row>
    <row r="162" hidden="1" spans="1:9">
      <c r="A162" s="12" t="str">
        <f>IF(A160=0,"",VLOOKUP(A160,$J$1:$K$100,2))</f>
        <v/>
      </c>
      <c r="B162" s="12" t="str">
        <f>IF(B160=0,"",VLOOKUP(B160,$J$1:$K$100,2))</f>
        <v/>
      </c>
      <c r="C162" s="12" t="str">
        <f>IF(C160=0,"",VLOOKUP(C160,$J$1:$K$100,2))</f>
        <v/>
      </c>
      <c r="D162" s="12" t="str">
        <f>IF(D160=0,"",VLOOKUP(D160,$J$1:$M$100,4))</f>
        <v>એક</v>
      </c>
      <c r="E162" s="12" t="str">
        <f>IF(E160=0,"",VLOOKUP(E160,$J$1:$K$100,2))</f>
        <v>ચુંમાલીસ</v>
      </c>
      <c r="F162" s="12" t="str">
        <f>IF(F160=0,"",VLOOKUP(F160,$J$1:$K$100,2))</f>
        <v/>
      </c>
      <c r="G162" s="10"/>
      <c r="H162" s="11"/>
      <c r="I162" s="11"/>
    </row>
    <row r="163" hidden="1" spans="1:9">
      <c r="A163" s="12" t="str">
        <f>IF(A162&lt;&gt;""," કરોડ ","")</f>
        <v/>
      </c>
      <c r="B163" s="12" t="str">
        <f>IF(B162&lt;&gt;""," લાખ ","")</f>
        <v/>
      </c>
      <c r="C163" s="12" t="str">
        <f>IF(C162&lt;&gt;"","  હજાર ","")</f>
        <v/>
      </c>
      <c r="D163" s="12" t="str">
        <f>IF(D162&lt;&gt;"","સો","")</f>
        <v>સો</v>
      </c>
      <c r="E163" s="12" t="str">
        <f>IF(E162&lt;&gt;"","","")</f>
        <v/>
      </c>
      <c r="F163" s="12" t="str">
        <f>IF(F162&lt;&gt;""," પૈસા ","")</f>
        <v/>
      </c>
      <c r="G163" s="12" t="str">
        <f>IF(F162&lt;&gt;""," અને ","")</f>
        <v/>
      </c>
      <c r="H163" s="11"/>
      <c r="I163" s="11"/>
    </row>
    <row r="164" hidden="1" spans="1:9">
      <c r="A164" s="11"/>
      <c r="B164" s="11"/>
      <c r="C164" s="11"/>
      <c r="D164" s="11"/>
      <c r="E164" s="11"/>
      <c r="F164" s="11"/>
      <c r="G164" s="11"/>
      <c r="H164" s="11"/>
      <c r="I164" s="11"/>
    </row>
    <row r="165" hidden="1" spans="1:9">
      <c r="A165" s="13">
        <v>144</v>
      </c>
      <c r="B165" s="11"/>
      <c r="C165" s="11"/>
      <c r="D165" s="11"/>
      <c r="E165" s="11"/>
      <c r="F165" s="11"/>
      <c r="G165" s="11"/>
      <c r="H165" s="11"/>
      <c r="I165" s="11"/>
    </row>
    <row r="166" hidden="1" spans="1:9">
      <c r="A166" s="11"/>
      <c r="B166" s="11"/>
      <c r="C166" s="11"/>
      <c r="D166" s="11"/>
      <c r="E166" s="11"/>
      <c r="F166" s="11"/>
      <c r="G166" s="11"/>
      <c r="H166" s="11"/>
      <c r="I166" s="11"/>
    </row>
    <row r="167" hidden="1" spans="1:9">
      <c r="A167" s="11"/>
      <c r="B167" s="11"/>
      <c r="C167" s="11"/>
      <c r="D167" s="11"/>
      <c r="E167" s="11"/>
      <c r="F167" s="11"/>
      <c r="G167" s="11"/>
      <c r="H167" s="11"/>
      <c r="I167" s="11"/>
    </row>
    <row r="168" hidden="1" spans="1:9">
      <c r="A168" s="14" t="str">
        <f>CONCATENATE("અંકે રૂપિયા ",A162,A163,B162,B163,C162,C163,D162,D163,E162,E163,G163,F162,F163,A157,"પુરા")</f>
        <v>અંકે રૂપિયા એકસોચુંમાલીસ પુરા</v>
      </c>
      <c r="B168" s="14"/>
      <c r="C168" s="14"/>
      <c r="D168" s="14"/>
      <c r="E168" s="14"/>
      <c r="F168" s="14"/>
      <c r="G168" s="14"/>
      <c r="H168" s="11"/>
      <c r="I168" s="11"/>
    </row>
  </sheetData>
  <sheetProtection password="CE28" sheet="1" objects="1" scenarios="1"/>
  <customSheetViews>
    <customSheetView guid="{0E659955-9737-492F-945A-95AC3E0C4088}" hiddenRows="1" hiddenColumns="1" state="hidden" topLeftCell="XFD1048576">
      <selection activeCell="A4" sqref="$A1:$XFD1048576"/>
      <pageMargins left="0.7" right="0.7" top="0.75" bottom="0.75" header="0.3" footer="0.3"/>
      <pageSetup paperSize="9" orientation="portrait"/>
      <headerFooter alignWithMargins="0"/>
    </customSheetView>
    <customSheetView guid="{6B449CA7-43A5-4BFF-BFE3-4A3E3D45323D}" hiddenRows="1" hiddenColumns="1" state="hidden" topLeftCell="XFD1048576">
      <selection activeCell="A4" sqref="$A1:$XFD1048576"/>
      <pageMargins left="0.7" right="0.7" top="0.75" bottom="0.75" header="0.3" footer="0.3"/>
      <pageSetup paperSize="9" orientation="portrait"/>
      <headerFooter alignWithMargins="0"/>
    </customSheetView>
  </customSheetViews>
  <mergeCells count="13">
    <mergeCell ref="A12:G12"/>
    <mergeCell ref="A25:G25"/>
    <mergeCell ref="A38:G38"/>
    <mergeCell ref="A51:G51"/>
    <mergeCell ref="A64:G64"/>
    <mergeCell ref="A77:G77"/>
    <mergeCell ref="A90:G90"/>
    <mergeCell ref="A103:G103"/>
    <mergeCell ref="A116:G116"/>
    <mergeCell ref="A129:G129"/>
    <mergeCell ref="A142:G142"/>
    <mergeCell ref="A155:G155"/>
    <mergeCell ref="A168:G168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opLeftCell="A10" workbookViewId="0">
      <selection activeCell="B13" sqref="B13"/>
    </sheetView>
  </sheetViews>
  <sheetFormatPr defaultColWidth="9" defaultRowHeight="12.5" outlineLevelCol="1"/>
  <cols>
    <col min="1" max="1" width="94.4545454545455" style="1" customWidth="1"/>
    <col min="2" max="2" width="92.0909090909091" style="1" customWidth="1"/>
    <col min="3" max="16384" width="8.72727272727273" style="1"/>
  </cols>
  <sheetData>
    <row r="1" ht="49.5" spans="1:1">
      <c r="A1" s="2" t="s">
        <v>338</v>
      </c>
    </row>
    <row r="4" ht="18" spans="1:2">
      <c r="A4" s="3" t="s">
        <v>339</v>
      </c>
      <c r="B4" s="4"/>
    </row>
    <row r="5" ht="15.5" spans="1:1">
      <c r="A5" s="5" t="s">
        <v>340</v>
      </c>
    </row>
    <row r="6" ht="15.5" spans="1:1">
      <c r="A6" s="5" t="s">
        <v>341</v>
      </c>
    </row>
    <row r="7" ht="15.5" spans="1:1">
      <c r="A7" s="5" t="s">
        <v>342</v>
      </c>
    </row>
    <row r="8" ht="15.5" spans="1:1">
      <c r="A8" s="5" t="s">
        <v>343</v>
      </c>
    </row>
    <row r="9" ht="15.5" spans="1:1">
      <c r="A9" s="5" t="s">
        <v>344</v>
      </c>
    </row>
    <row r="10" ht="15.5" spans="1:1">
      <c r="A10" s="5" t="s">
        <v>345</v>
      </c>
    </row>
    <row r="11" ht="15.5" spans="1:1">
      <c r="A11" s="5" t="s">
        <v>346</v>
      </c>
    </row>
    <row r="12" spans="2:2">
      <c r="B12" s="6"/>
    </row>
    <row r="14" ht="18" spans="1:1">
      <c r="A14" s="3" t="s">
        <v>347</v>
      </c>
    </row>
    <row r="15" ht="15.5" spans="1:1">
      <c r="A15" s="5" t="s">
        <v>348</v>
      </c>
    </row>
    <row r="16" ht="15.5" spans="1:1">
      <c r="A16" s="5" t="s">
        <v>349</v>
      </c>
    </row>
    <row r="17" ht="15.5" spans="1:1">
      <c r="A17" s="5" t="s">
        <v>350</v>
      </c>
    </row>
    <row r="18" ht="15.5" spans="1:1">
      <c r="A18" s="5" t="s">
        <v>351</v>
      </c>
    </row>
    <row r="19" ht="17.5" spans="1:1">
      <c r="A19" s="7" t="s">
        <v>352</v>
      </c>
    </row>
    <row r="23" ht="18" spans="1:1">
      <c r="A23" s="3" t="s">
        <v>353</v>
      </c>
    </row>
    <row r="24" ht="18" spans="1:1">
      <c r="A24" s="3" t="s">
        <v>354</v>
      </c>
    </row>
    <row r="25" ht="18" spans="1:1">
      <c r="A25" s="3" t="s">
        <v>355</v>
      </c>
    </row>
    <row r="26" ht="18" spans="1:1">
      <c r="A26" s="3">
        <v>9904297366</v>
      </c>
    </row>
  </sheetData>
  <customSheetViews>
    <customSheetView guid="{0E659955-9737-492F-945A-95AC3E0C4088}" showPageBreaks="1" topLeftCell="A10">
      <selection activeCell="B13" sqref="B13"/>
      <pageMargins left="0.75" right="0.75" top="1" bottom="1" header="0.5" footer="0.5"/>
      <pageSetup paperSize="9" scale="90" orientation="portrait"/>
      <headerFooter/>
    </customSheetView>
  </customSheetViews>
  <pageMargins left="0.75" right="0.75" top="1" bottom="1" header="0.5" footer="0.5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જૂન સ્લેબ મુજબ (OLD SLAB)</vt:lpstr>
      <vt:lpstr>કપાટ પત્રક પેહલા ભરવુ </vt:lpstr>
      <vt:lpstr>નવા સ્લેબ મુજબ (NEW SLAB)</vt:lpstr>
      <vt:lpstr>Sheet1</vt:lpstr>
      <vt:lpstr>સૂચના વાંચી ફોરમ ભરવું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Redmi Note 5 Pro</dc:creator>
  <cp:lastModifiedBy>PRATHANSINH</cp:lastModifiedBy>
  <dcterms:created xsi:type="dcterms:W3CDTF">2018-12-07T11:08:00Z</dcterms:created>
  <cp:lastPrinted>2023-12-22T09:45:00Z</cp:lastPrinted>
  <dcterms:modified xsi:type="dcterms:W3CDTF">2023-12-22T14:52:11Z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995E884BC710472CB846BB7F4C56A9D1_13</vt:lpwstr>
  </property>
  <property fmtid="{D5CDD505-2E9C-101B-9397-08002B2CF9AE}" pid="3" name="KSOProductBuildVer">
    <vt:lpwstr>1033-12.2.0.13359</vt:lpwstr>
  </property>
</Properties>
</file>