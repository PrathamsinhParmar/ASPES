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2BA2BB7B-1B85-4A53-965F-EBCC22C97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</workbook>
</file>

<file path=xl/calcChain.xml><?xml version="1.0" encoding="utf-8"?>
<calcChain xmlns="http://schemas.openxmlformats.org/spreadsheetml/2006/main">
  <c r="I16" i="2" l="1"/>
  <c r="J16" i="2"/>
  <c r="K16" i="2"/>
  <c r="L16" i="2"/>
  <c r="M16" i="2"/>
  <c r="N16" i="2"/>
  <c r="O16" i="2"/>
  <c r="H16" i="2"/>
  <c r="O5" i="2"/>
  <c r="O6" i="2"/>
  <c r="O7" i="2"/>
  <c r="O8" i="2"/>
  <c r="O9" i="2"/>
  <c r="O10" i="2"/>
  <c r="O11" i="2"/>
  <c r="O12" i="2"/>
  <c r="O13" i="2"/>
  <c r="O14" i="2"/>
  <c r="O15" i="2"/>
  <c r="O4" i="2"/>
</calcChain>
</file>

<file path=xl/sharedStrings.xml><?xml version="1.0" encoding="utf-8"?>
<sst xmlns="http://schemas.openxmlformats.org/spreadsheetml/2006/main" count="46" uniqueCount="34">
  <si>
    <t>મતદારયાદી ખાસ સઘન સુધારણા કાર્યક્રમ - ૨૦૨૬ (SIR - 2026) અંતર્ગત મતદારયાદીની સરખામણી અન્વયે મતદારોનું વર્ગીકરણ</t>
  </si>
  <si>
    <t>Sr. No.</t>
  </si>
  <si>
    <t>No.&amp; Name of AC</t>
  </si>
  <si>
    <t>Electors</t>
  </si>
  <si>
    <t>Group</t>
  </si>
  <si>
    <t>Category done</t>
  </si>
  <si>
    <t>Category pending</t>
  </si>
  <si>
    <t>Issues Faced</t>
  </si>
  <si>
    <t>AC Name</t>
  </si>
  <si>
    <t>Part No.</t>
  </si>
  <si>
    <t>Part Name</t>
  </si>
  <si>
    <t>Total</t>
  </si>
  <si>
    <t>A</t>
  </si>
  <si>
    <t>B</t>
  </si>
  <si>
    <t>C</t>
  </si>
  <si>
    <t>D</t>
  </si>
  <si>
    <t>E</t>
  </si>
  <si>
    <t>F</t>
  </si>
  <si>
    <t>Jambusar</t>
  </si>
  <si>
    <t>Ochchhan-1</t>
  </si>
  <si>
    <t>Ochchhan-2</t>
  </si>
  <si>
    <t>Telod</t>
  </si>
  <si>
    <t>Danda-1</t>
  </si>
  <si>
    <t>Danda-2</t>
  </si>
  <si>
    <t>Dora-1</t>
  </si>
  <si>
    <t>Dora-2</t>
  </si>
  <si>
    <t>Ikhar-1</t>
  </si>
  <si>
    <t>Ikhar-2</t>
  </si>
  <si>
    <t>Ikhar-3</t>
  </si>
  <si>
    <t>Ikhar-4</t>
  </si>
  <si>
    <t>Ikhar-5</t>
  </si>
  <si>
    <t>Current No.
 (2025)</t>
  </si>
  <si>
    <t>Old No
(2002)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</si>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</sst>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topLeftCell="A2" workbookViewId="0">
      <selection activeCell="O19" sqref="O19"/>
    </sheetView>
  </sheetViews>
  <sheetFormatPr defaultRowHeight="14.5"/>
  <cols>
    <col min="1" max="1" width="6.1796875" customWidth="1"/>
    <col min="2" max="2" width="9.26953125" customWidth="1"/>
    <col min="3" max="3" width="9.7265625" customWidth="1"/>
    <col min="4" max="4" width="11.453125" bestFit="1" customWidth="1"/>
    <col min="5" max="5" width="6.453125" bestFit="1" customWidth="1"/>
    <col min="6" max="6" width="25.54296875" style="6" customWidth="1"/>
    <col min="7" max="7" width="7.81640625" bestFit="1" customWidth="1"/>
    <col min="8" max="13" width="9.26953125" bestFit="1" customWidth="1"/>
    <col min="14" max="14" width="10.1796875" bestFit="1" customWidth="1"/>
    <col min="15" max="15" width="10.81640625" bestFit="1" customWidth="1"/>
  </cols>
  <sheetData>
    <row r="1" spans="1:16" ht="35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3.75" customHeight="1">
      <c r="A2" s="9" t="s">
        <v>1</v>
      </c>
      <c r="B2" s="9" t="s">
        <v>2</v>
      </c>
      <c r="C2" s="9"/>
      <c r="D2" s="9"/>
      <c r="E2" s="9" t="s">
        <v>3</v>
      </c>
      <c r="F2" s="9"/>
      <c r="G2" s="9"/>
      <c r="H2" s="9" t="s">
        <v>4</v>
      </c>
      <c r="I2" s="9"/>
      <c r="J2" s="9"/>
      <c r="K2" s="9"/>
      <c r="L2" s="9"/>
      <c r="M2" s="9"/>
      <c r="N2" s="7" t="s">
        <v>5</v>
      </c>
      <c r="O2" s="7" t="s">
        <v>6</v>
      </c>
      <c r="P2" s="10" t="s">
        <v>7</v>
      </c>
    </row>
    <row r="3" spans="1:16" ht="49.5" customHeight="1">
      <c r="A3" s="9"/>
      <c r="B3" s="1" t="s">
        <v>32</v>
      </c>
      <c r="C3" s="1" t="s">
        <v>31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7"/>
      <c r="O3" s="7"/>
      <c r="P3" s="10"/>
    </row>
    <row r="4" spans="1:16" s="4" customFormat="1" ht="25" customHeight="1">
      <c r="A4" s="2">
        <v>220</v>
      </c>
      <c r="B4" s="2">
        <v>154</v>
      </c>
      <c r="C4" s="2">
        <v>150</v>
      </c>
      <c r="D4" s="2" t="s">
        <v>18</v>
      </c>
      <c r="E4" s="2">
        <v>220</v>
      </c>
      <c r="F4" s="5" t="s">
        <v>19</v>
      </c>
      <c r="G4" s="2">
        <v>786</v>
      </c>
      <c r="H4" s="3">
        <v>178</v>
      </c>
      <c r="I4" s="3">
        <v>230</v>
      </c>
      <c r="J4" s="3">
        <v>313</v>
      </c>
      <c r="K4" s="3">
        <v>27</v>
      </c>
      <c r="L4" s="3">
        <v>29</v>
      </c>
      <c r="M4" s="3">
        <v>9</v>
      </c>
      <c r="N4" s="2">
        <v>0</v>
      </c>
      <c r="O4" s="2">
        <f>SUM(H4:M4)</f>
        <v>786</v>
      </c>
      <c r="P4" s="3"/>
    </row>
    <row r="5" spans="1:16" s="4" customFormat="1" ht="25" customHeight="1">
      <c r="A5" s="2">
        <v>221</v>
      </c>
      <c r="B5" s="2">
        <v>154</v>
      </c>
      <c r="C5" s="2">
        <v>150</v>
      </c>
      <c r="D5" s="2" t="s">
        <v>18</v>
      </c>
      <c r="E5" s="2">
        <v>221</v>
      </c>
      <c r="F5" s="5" t="s">
        <v>20</v>
      </c>
      <c r="G5" s="2">
        <v>592</v>
      </c>
      <c r="H5" s="3">
        <v>314</v>
      </c>
      <c r="I5" s="3">
        <v>66</v>
      </c>
      <c r="J5" s="3">
        <v>103</v>
      </c>
      <c r="K5" s="3">
        <v>80</v>
      </c>
      <c r="L5" s="3">
        <v>16</v>
      </c>
      <c r="M5" s="3">
        <v>13</v>
      </c>
      <c r="N5" s="2">
        <v>0</v>
      </c>
      <c r="O5" s="2">
        <f t="shared" ref="O5:O15" si="0">SUM(H5:M5)</f>
        <v>592</v>
      </c>
      <c r="P5" s="3"/>
    </row>
    <row r="6" spans="1:16" s="4" customFormat="1" ht="25" customHeight="1">
      <c r="A6" s="2">
        <v>222</v>
      </c>
      <c r="B6" s="2">
        <v>154</v>
      </c>
      <c r="C6" s="2">
        <v>150</v>
      </c>
      <c r="D6" s="2" t="s">
        <v>18</v>
      </c>
      <c r="E6" s="2">
        <v>222</v>
      </c>
      <c r="F6" s="5" t="s">
        <v>21</v>
      </c>
      <c r="G6" s="2">
        <v>977</v>
      </c>
      <c r="H6" s="3"/>
      <c r="I6" s="3"/>
      <c r="J6" s="3"/>
      <c r="K6" s="3"/>
      <c r="L6" s="3"/>
      <c r="M6" s="3"/>
      <c r="N6" s="2">
        <v>0</v>
      </c>
      <c r="O6" s="2">
        <f t="shared" si="0"/>
        <v>0</v>
      </c>
      <c r="P6" s="3"/>
    </row>
    <row r="7" spans="1:16" s="4" customFormat="1" ht="25" customHeight="1">
      <c r="A7" s="2">
        <v>224</v>
      </c>
      <c r="B7" s="2">
        <v>154</v>
      </c>
      <c r="C7" s="2">
        <v>150</v>
      </c>
      <c r="D7" s="2" t="s">
        <v>18</v>
      </c>
      <c r="E7" s="2">
        <v>224</v>
      </c>
      <c r="F7" s="5" t="s">
        <v>22</v>
      </c>
      <c r="G7" s="2">
        <v>822</v>
      </c>
      <c r="H7" s="3">
        <v>541</v>
      </c>
      <c r="I7" s="3">
        <v>20</v>
      </c>
      <c r="J7" s="3">
        <v>151</v>
      </c>
      <c r="K7" s="3">
        <v>91</v>
      </c>
      <c r="L7" s="3">
        <v>18</v>
      </c>
      <c r="M7" s="3">
        <v>1</v>
      </c>
      <c r="N7" s="2">
        <v>0</v>
      </c>
      <c r="O7" s="2">
        <f t="shared" si="0"/>
        <v>822</v>
      </c>
      <c r="P7" s="3"/>
    </row>
    <row r="8" spans="1:16" s="4" customFormat="1" ht="25" customHeight="1">
      <c r="A8" s="2">
        <v>225</v>
      </c>
      <c r="B8" s="2">
        <v>154</v>
      </c>
      <c r="C8" s="2">
        <v>150</v>
      </c>
      <c r="D8" s="2" t="s">
        <v>18</v>
      </c>
      <c r="E8" s="2">
        <v>225</v>
      </c>
      <c r="F8" s="5" t="s">
        <v>23</v>
      </c>
      <c r="G8" s="2">
        <v>889</v>
      </c>
      <c r="H8" s="3">
        <v>478</v>
      </c>
      <c r="I8" s="3">
        <v>49</v>
      </c>
      <c r="J8" s="3">
        <v>172</v>
      </c>
      <c r="K8" s="3">
        <v>150</v>
      </c>
      <c r="L8" s="3">
        <v>40</v>
      </c>
      <c r="M8" s="3">
        <v>0</v>
      </c>
      <c r="N8" s="2">
        <v>0</v>
      </c>
      <c r="O8" s="2">
        <f t="shared" si="0"/>
        <v>889</v>
      </c>
      <c r="P8" s="3"/>
    </row>
    <row r="9" spans="1:16" s="4" customFormat="1" ht="25" customHeight="1">
      <c r="A9" s="2">
        <v>248</v>
      </c>
      <c r="B9" s="2">
        <v>154</v>
      </c>
      <c r="C9" s="2">
        <v>150</v>
      </c>
      <c r="D9" s="2" t="s">
        <v>18</v>
      </c>
      <c r="E9" s="2">
        <v>248</v>
      </c>
      <c r="F9" s="5" t="s">
        <v>24</v>
      </c>
      <c r="G9" s="2">
        <v>1109</v>
      </c>
      <c r="H9" s="3">
        <v>700</v>
      </c>
      <c r="I9" s="3">
        <v>73</v>
      </c>
      <c r="J9" s="3">
        <v>173</v>
      </c>
      <c r="K9" s="3">
        <v>112</v>
      </c>
      <c r="L9" s="3">
        <v>51</v>
      </c>
      <c r="M9" s="3"/>
      <c r="N9" s="2">
        <v>0</v>
      </c>
      <c r="O9" s="2">
        <f t="shared" si="0"/>
        <v>1109</v>
      </c>
      <c r="P9" s="3"/>
    </row>
    <row r="10" spans="1:16" s="4" customFormat="1" ht="25" customHeight="1">
      <c r="A10" s="2">
        <v>249</v>
      </c>
      <c r="B10" s="2">
        <v>154</v>
      </c>
      <c r="C10" s="2">
        <v>150</v>
      </c>
      <c r="D10" s="2" t="s">
        <v>18</v>
      </c>
      <c r="E10" s="2">
        <v>249</v>
      </c>
      <c r="F10" s="5" t="s">
        <v>25</v>
      </c>
      <c r="G10" s="2">
        <v>993</v>
      </c>
      <c r="H10" s="3">
        <v>539</v>
      </c>
      <c r="I10" s="3">
        <v>65</v>
      </c>
      <c r="J10" s="3">
        <v>207</v>
      </c>
      <c r="K10" s="3">
        <v>140</v>
      </c>
      <c r="L10" s="3">
        <v>46</v>
      </c>
      <c r="M10" s="3">
        <v>0</v>
      </c>
      <c r="N10" s="2">
        <v>0</v>
      </c>
      <c r="O10" s="2">
        <f t="shared" si="0"/>
        <v>997</v>
      </c>
      <c r="P10" s="3"/>
    </row>
    <row r="11" spans="1:16" s="4" customFormat="1" ht="25" customHeight="1">
      <c r="A11" s="2">
        <v>250</v>
      </c>
      <c r="B11" s="2">
        <v>154</v>
      </c>
      <c r="C11" s="2">
        <v>150</v>
      </c>
      <c r="D11" s="2" t="s">
        <v>18</v>
      </c>
      <c r="E11" s="2">
        <v>250</v>
      </c>
      <c r="F11" s="5" t="s">
        <v>26</v>
      </c>
      <c r="G11" s="2">
        <v>1086</v>
      </c>
      <c r="H11" s="3">
        <v>400</v>
      </c>
      <c r="I11" s="3">
        <v>205</v>
      </c>
      <c r="J11" s="3">
        <v>223</v>
      </c>
      <c r="K11" s="3">
        <v>200</v>
      </c>
      <c r="L11" s="3">
        <v>33</v>
      </c>
      <c r="M11" s="3">
        <v>25</v>
      </c>
      <c r="N11" s="2">
        <v>0</v>
      </c>
      <c r="O11" s="2">
        <f t="shared" si="0"/>
        <v>1086</v>
      </c>
      <c r="P11" s="3"/>
    </row>
    <row r="12" spans="1:16" s="4" customFormat="1" ht="25" customHeight="1">
      <c r="A12" s="2">
        <v>251</v>
      </c>
      <c r="B12" s="2">
        <v>154</v>
      </c>
      <c r="C12" s="2">
        <v>150</v>
      </c>
      <c r="D12" s="2" t="s">
        <v>18</v>
      </c>
      <c r="E12" s="2">
        <v>251</v>
      </c>
      <c r="F12" s="5" t="s">
        <v>27</v>
      </c>
      <c r="G12" s="2">
        <v>886</v>
      </c>
      <c r="H12" s="3">
        <v>369</v>
      </c>
      <c r="I12" s="3">
        <v>132</v>
      </c>
      <c r="J12" s="3">
        <v>218</v>
      </c>
      <c r="K12" s="3">
        <v>121</v>
      </c>
      <c r="L12" s="3">
        <v>18</v>
      </c>
      <c r="M12" s="3">
        <v>28</v>
      </c>
      <c r="N12" s="2">
        <v>0</v>
      </c>
      <c r="O12" s="2">
        <f t="shared" si="0"/>
        <v>886</v>
      </c>
      <c r="P12" s="3"/>
    </row>
    <row r="13" spans="1:16" s="4" customFormat="1" ht="25" customHeight="1">
      <c r="A13" s="2">
        <v>252</v>
      </c>
      <c r="B13" s="2">
        <v>154</v>
      </c>
      <c r="C13" s="2">
        <v>150</v>
      </c>
      <c r="D13" s="2" t="s">
        <v>18</v>
      </c>
      <c r="E13" s="2">
        <v>252</v>
      </c>
      <c r="F13" s="5" t="s">
        <v>28</v>
      </c>
      <c r="G13" s="2">
        <v>1052</v>
      </c>
      <c r="H13" s="3">
        <v>431</v>
      </c>
      <c r="I13" s="3">
        <v>148</v>
      </c>
      <c r="J13" s="3">
        <v>260</v>
      </c>
      <c r="K13" s="3">
        <v>150</v>
      </c>
      <c r="L13" s="3">
        <v>23</v>
      </c>
      <c r="M13" s="3">
        <v>40</v>
      </c>
      <c r="N13" s="2">
        <v>0</v>
      </c>
      <c r="O13" s="2">
        <f t="shared" si="0"/>
        <v>1052</v>
      </c>
      <c r="P13" s="3"/>
    </row>
    <row r="14" spans="1:16" s="4" customFormat="1" ht="25" customHeight="1">
      <c r="A14" s="2">
        <v>253</v>
      </c>
      <c r="B14" s="2">
        <v>154</v>
      </c>
      <c r="C14" s="2">
        <v>150</v>
      </c>
      <c r="D14" s="2" t="s">
        <v>18</v>
      </c>
      <c r="E14" s="2">
        <v>253</v>
      </c>
      <c r="F14" s="5" t="s">
        <v>29</v>
      </c>
      <c r="G14" s="2">
        <v>1122</v>
      </c>
      <c r="H14" s="3">
        <v>481</v>
      </c>
      <c r="I14" s="3">
        <v>108</v>
      </c>
      <c r="J14" s="3">
        <v>282</v>
      </c>
      <c r="K14" s="3">
        <v>195</v>
      </c>
      <c r="L14" s="3">
        <v>49</v>
      </c>
      <c r="M14" s="3">
        <v>7</v>
      </c>
      <c r="N14" s="2">
        <v>0</v>
      </c>
      <c r="O14" s="2">
        <f t="shared" si="0"/>
        <v>1122</v>
      </c>
      <c r="P14" s="3"/>
    </row>
    <row r="15" spans="1:16" s="4" customFormat="1" ht="25" customHeight="1">
      <c r="A15" s="2">
        <v>254</v>
      </c>
      <c r="B15" s="2">
        <v>154</v>
      </c>
      <c r="C15" s="2">
        <v>150</v>
      </c>
      <c r="D15" s="2" t="s">
        <v>18</v>
      </c>
      <c r="E15" s="2">
        <v>254</v>
      </c>
      <c r="F15" s="5" t="s">
        <v>30</v>
      </c>
      <c r="G15" s="2">
        <v>1116</v>
      </c>
      <c r="H15" s="3">
        <v>465</v>
      </c>
      <c r="I15" s="3">
        <v>234</v>
      </c>
      <c r="J15" s="3">
        <v>225</v>
      </c>
      <c r="K15" s="3">
        <v>136</v>
      </c>
      <c r="L15" s="3">
        <v>27</v>
      </c>
      <c r="M15" s="3">
        <v>29</v>
      </c>
      <c r="N15" s="2">
        <v>0</v>
      </c>
      <c r="O15" s="2">
        <f t="shared" si="0"/>
        <v>1116</v>
      </c>
      <c r="P15" s="3"/>
    </row>
    <row r="16" spans="1:16" s="4" customFormat="1" ht="25" customHeight="1">
      <c r="A16" s="7" t="s">
        <v>11</v>
      </c>
      <c r="B16" s="7"/>
      <c r="C16" s="7"/>
      <c r="D16" s="7"/>
      <c r="E16" s="7"/>
      <c r="F16" s="7"/>
      <c r="G16" s="2">
        <v>246127</v>
      </c>
      <c r="H16" s="2">
        <f>SUM(H4:H15)</f>
        <v>4896</v>
      </c>
      <c r="I16" s="2">
        <f t="shared" ref="I16:O16" si="1">SUM(I4:I15)</f>
        <v>1330</v>
      </c>
      <c r="J16" s="2">
        <f t="shared" si="1"/>
        <v>2327</v>
      </c>
      <c r="K16" s="2">
        <f t="shared" si="1"/>
        <v>1402</v>
      </c>
      <c r="L16" s="2">
        <f t="shared" si="1"/>
        <v>350</v>
      </c>
      <c r="M16" s="2">
        <f t="shared" si="1"/>
        <v>152</v>
      </c>
      <c r="N16" s="2">
        <f t="shared" si="1"/>
        <v>0</v>
      </c>
      <c r="O16" s="2">
        <f t="shared" si="1"/>
        <v>10457</v>
      </c>
      <c r="P16" s="3"/>
    </row>
    <row r="17" spans="8:8">
      <c r="H17" t="s">
        <v>33</v>
      </c>
    </row>
  </sheetData>
  <mergeCells count="9">
    <mergeCell ref="A16:F16"/>
    <mergeCell ref="A1:P1"/>
    <mergeCell ref="A2:A3"/>
    <mergeCell ref="B2:D2"/>
    <mergeCell ref="E2:G2"/>
    <mergeCell ref="H2:M2"/>
    <mergeCell ref="N2:N3"/>
    <mergeCell ref="O2:O3"/>
    <mergeCell ref="P2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2025-09-25T14:49:03Z</dcterms:modified>
</cp:coreProperties>
</file>