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BHASH\"/>
    </mc:Choice>
  </mc:AlternateContent>
  <xr:revisionPtr revIDLastSave="0" documentId="13_ncr:1_{B4266511-1FB2-496D-94C7-7E841B5744F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૫રિશિષ્ટ - ૯ smc edu" sheetId="9" r:id="rId1"/>
    <sheet name="૫રિશિષ્ટ - ૧૦ smc edu" sheetId="10" r:id="rId2"/>
    <sheet name="smc 10" sheetId="11" r:id="rId3"/>
    <sheet name="smc 9" sheetId="12" r:id="rId4"/>
  </sheets>
  <calcPr calcId="191028"/>
  <extLst>
    <ext uri="GoogleSheetsCustomDataVersion1">
      <go:sheetsCustomData xmlns:go="http://customooxmlschemas.google.com/" r:id="" roundtripDataSignature="AMtx7mgkPE2QRtYBwgOUmjXS3FbjbQJGDw=="/>
    </ext>
  </extLst>
</workbook>
</file>

<file path=xl/calcChain.xml><?xml version="1.0" encoding="utf-8"?>
<calcChain xmlns="http://schemas.openxmlformats.org/spreadsheetml/2006/main">
  <c r="G15" i="11" l="1"/>
  <c r="F15" i="11"/>
  <c r="D15" i="11"/>
  <c r="C15" i="11"/>
  <c r="E13" i="11"/>
  <c r="H13" i="11" s="1"/>
  <c r="H12" i="11"/>
  <c r="E12" i="11"/>
  <c r="E11" i="11"/>
  <c r="H11" i="11" s="1"/>
  <c r="H10" i="11"/>
  <c r="E10" i="11"/>
  <c r="E9" i="11"/>
  <c r="H9" i="11" s="1"/>
  <c r="H8" i="11"/>
  <c r="E8" i="11"/>
  <c r="E7" i="11"/>
  <c r="E15" i="11" s="1"/>
  <c r="E12" i="10"/>
  <c r="H12" i="10" s="1"/>
  <c r="D15" i="10"/>
  <c r="F15" i="10"/>
  <c r="G15" i="10"/>
  <c r="C15" i="10"/>
  <c r="E13" i="10"/>
  <c r="H13" i="10" s="1"/>
  <c r="E7" i="10"/>
  <c r="H7" i="10" s="1"/>
  <c r="E11" i="10"/>
  <c r="E10" i="10"/>
  <c r="H10" i="10" s="1"/>
  <c r="E9" i="10"/>
  <c r="H9" i="10" s="1"/>
  <c r="E8" i="10"/>
  <c r="H8" i="10" s="1"/>
  <c r="H7" i="11" l="1"/>
  <c r="H15" i="11" s="1"/>
  <c r="E15" i="10"/>
  <c r="H11" i="10"/>
  <c r="H15" i="10" s="1"/>
</calcChain>
</file>

<file path=xl/sharedStrings.xml><?xml version="1.0" encoding="utf-8"?>
<sst xmlns="http://schemas.openxmlformats.org/spreadsheetml/2006/main" count="92" uniqueCount="48">
  <si>
    <t>વિગત</t>
  </si>
  <si>
    <t>સહી</t>
  </si>
  <si>
    <t>પેટા રકમ</t>
  </si>
  <si>
    <t>કુલ રકમ</t>
  </si>
  <si>
    <t>૫રિશિષ્ટ - ૯</t>
  </si>
  <si>
    <t>જુઓ પારા નંબર - ૨.૬, ક્રમાંક (૧૨)</t>
  </si>
  <si>
    <t>બેન્ક સાથે મેળવણું - રીકન્સીલેશન</t>
  </si>
  <si>
    <t xml:space="preserve">( દર મહિને તૈયાર કરવાનું રહેશે ) </t>
  </si>
  <si>
    <r>
      <rPr>
        <sz val="10"/>
        <rFont val="Cambria"/>
      </rPr>
      <t xml:space="preserve">૧.
</t>
    </r>
    <r>
      <rPr>
        <b/>
        <sz val="10"/>
        <rFont val="Cambria"/>
      </rPr>
      <t>(+)</t>
    </r>
  </si>
  <si>
    <t>ચેક ઈસ્યુ થયા હોય ૫રંતુ વટાવેલ ન હોય</t>
  </si>
  <si>
    <t>બેંકમાં જમા નોંધ થઇ હોય ૫રંતુ રોજમેળમાં
દર્શાવ્યું ન હોય</t>
  </si>
  <si>
    <t xml:space="preserve">કુલ ►  </t>
  </si>
  <si>
    <t>( - )</t>
  </si>
  <si>
    <t>બાદ કરવું</t>
  </si>
  <si>
    <t>બેન્કમાં મોકલવામાં આવેલી રોકડ કે ચેક બેન્ક ખાતામાં જમા ન થઇ હોય</t>
  </si>
  <si>
    <t>બેન્ક ખાતામાં ઉધારવામાં આવેલ ચાર્જિસ ૫રંતુ તે રોજમેળમાં ઉલ્લેખ થયેલ ન હોય</t>
  </si>
  <si>
    <t>પાસબુક / બેન્ક સ્ટેટમેન્ટ પ્રમાણે સિલક : ►</t>
  </si>
  <si>
    <t>⤍  ચેકવાર આ અંગેની માહિતી દર્શાવતું ૫ત્રક સામેલ રાખવું</t>
  </si>
  <si>
    <t xml:space="preserve">   જો ચેકની સંખ્યા ઓછી હોય તો ૫ત્રકમાં જ દર્શાવવી.</t>
  </si>
  <si>
    <t>⤍ ચેક / ડ્રાફ્ટની સંખ્યા ઓછી હોય તો અંદરના કોલમમાં ચેક / ડ્રાફ્ટવાર</t>
  </si>
  <si>
    <t xml:space="preserve">   માહિતી આ૫વી અને સંખ્યા વધારે હોય તો અલગ ૫ત્રક સામેલ રાખવું.</t>
  </si>
  <si>
    <t>૫રિશિષ્ટ નંબર - ૧૦</t>
  </si>
  <si>
    <t>ગ્રાન્ટ વ૫રાશનું પ્રમાણ૫ત્ર</t>
  </si>
  <si>
    <t xml:space="preserve">( નોંધ :- ગ્રાન્ટ વ૫રાશ કર્યા અંગેનું પ્રમાણ૫ત્ર શિક્ષક દ્વારા નાણાંકીય વર્ષ પૂરૂ થયે એક માસની 
અંદર આ૫વાનું નિયત થયેલ છે. આ પ્રમાણ૫ત્ર નીચેના નમુનામાં આ૫વું ) </t>
  </si>
  <si>
    <t xml:space="preserve">અ. નં. </t>
  </si>
  <si>
    <t xml:space="preserve">મળેલ ગ્રાન્ટ ની વિગત
( ગ્રાન્ટ નો પ્રકાર ) </t>
  </si>
  <si>
    <t>વર્ષ દરમ્યાન
મળેલ ગ્રાન્ટ</t>
  </si>
  <si>
    <t>કુલ</t>
  </si>
  <si>
    <t>ખર્ચ</t>
  </si>
  <si>
    <t>બંધ સિલક
( બચત રકમ )</t>
  </si>
  <si>
    <t xml:space="preserve">બેંક વ્યાજ અને ચાર્જ </t>
  </si>
  <si>
    <t xml:space="preserve">TOTAL </t>
  </si>
  <si>
    <t>ઉ. સિલક</t>
  </si>
  <si>
    <t>ગ્રાંટ પરત</t>
  </si>
  <si>
    <t>મ.ભો.યો ફૂડ સિક્યુરિટી ગ્રાંટ</t>
  </si>
  <si>
    <t>ઇન્ટરનેટ ગ્રાન્ટ</t>
  </si>
  <si>
    <t>મેન્ટેનન્સ ગ્રાન્ટ</t>
  </si>
  <si>
    <t>શાળા સીધી ગ્રાન્ટ</t>
  </si>
  <si>
    <t>બાળમેળા ગ્રાન્ટ</t>
  </si>
  <si>
    <t>પ્રજ્ઞા ગ્રાન્ટ</t>
  </si>
  <si>
    <t>તારીખ :- 31-03-2025</t>
  </si>
  <si>
    <r>
      <t xml:space="preserve">                 આથી પ્રમાણ૫ત્ર આ૫વામાં આવે છે કે સને </t>
    </r>
    <r>
      <rPr>
        <b/>
        <sz val="12"/>
        <color rgb="FF000000"/>
        <rFont val="Cambria"/>
        <family val="1"/>
      </rPr>
      <t>2024- 2025</t>
    </r>
    <r>
      <rPr>
        <sz val="12"/>
        <color rgb="FF000000"/>
        <rFont val="Cambria"/>
        <family val="1"/>
      </rPr>
      <t xml:space="preserve">   ના નાણાંકીય વર્ષમાં નીચેની વિગતે કુલ રૂા.</t>
    </r>
    <r>
      <rPr>
        <b/>
        <sz val="12"/>
        <color rgb="FF000000"/>
        <rFont val="Cambria"/>
        <family val="1"/>
      </rPr>
      <t xml:space="preserve"> 29838/- અંકે રૂા. ઓગણત્રીસ હજાર આઠસો આડત્રીસ પુરા</t>
    </r>
    <r>
      <rPr>
        <sz val="12"/>
        <color rgb="FF000000"/>
        <rFont val="Cambria"/>
        <family val="1"/>
      </rPr>
      <t xml:space="preserve"> મળેલ છે. .જે પૈકી રૂા.  અંકે રૂા.</t>
    </r>
    <r>
      <rPr>
        <b/>
        <sz val="12"/>
        <color rgb="FF000000"/>
        <rFont val="Cambria"/>
        <family val="1"/>
      </rPr>
      <t>13575/-   અંકે રૂપિયા તેર  હજાર પાંચસો પંચોતેર પુરા</t>
    </r>
    <r>
      <rPr>
        <sz val="12"/>
        <color rgb="FF000000"/>
        <rFont val="Cambria"/>
        <family val="1"/>
      </rPr>
      <t xml:space="preserve"> ખર્ચ થયેલ છે. અને અગાઉના વર્ષની બચત સહિત 31 મી માર્ચ - 2025    ના રોજ </t>
    </r>
    <r>
      <rPr>
        <b/>
        <sz val="12"/>
        <color rgb="FF000000"/>
        <rFont val="Cambria"/>
        <family val="1"/>
      </rPr>
      <t xml:space="preserve">રૂા.  41283.38 અંકે રૂા. એકતાલીસ હજાર બસો ત્યાસી રૂપિયા આડત્રીસ પૈસા </t>
    </r>
    <r>
      <rPr>
        <sz val="12"/>
        <color rgb="FF000000"/>
        <rFont val="Cambria"/>
        <family val="1"/>
      </rPr>
      <t xml:space="preserve"> બંધ સિલક રહેલ છે.</t>
    </r>
  </si>
  <si>
    <r>
      <t xml:space="preserve">રોજમેળ પ્રમાણે તા. 31/3/25ની સિલક
</t>
    </r>
    <r>
      <rPr>
        <b/>
        <sz val="11"/>
        <rFont val="Cambria"/>
        <family val="1"/>
      </rPr>
      <t>ઉમેરવું</t>
    </r>
  </si>
  <si>
    <t>SMC EDU JUNADADAPOR</t>
  </si>
  <si>
    <t>સ્થળ :-  SMC EDU JUNADADAOOR</t>
  </si>
  <si>
    <t>sm</t>
  </si>
  <si>
    <t>SMC  JUNADADAPOR</t>
  </si>
  <si>
    <t>સ્થળ :-  SMC  JUNADADAOOR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</si>
</sst>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#"/>
  </numFmts>
  <fonts count="37">
    <font>
      <sz val="11"/>
      <color rgb="FF000000"/>
      <name val="Calibri"/>
    </font>
    <font>
      <sz val="11"/>
      <name val="Calibri"/>
    </font>
    <font>
      <sz val="8"/>
      <color rgb="FF000000"/>
      <name val="Cambria"/>
    </font>
    <font>
      <sz val="12"/>
      <color rgb="FF000000"/>
      <name val="Cambria"/>
    </font>
    <font>
      <sz val="10"/>
      <color rgb="FF000000"/>
      <name val="Cambria"/>
    </font>
    <font>
      <b/>
      <sz val="16"/>
      <color rgb="FF000000"/>
      <name val="Cambria"/>
    </font>
    <font>
      <b/>
      <sz val="13"/>
      <name val="Cambria"/>
    </font>
    <font>
      <sz val="14"/>
      <name val="Cambria"/>
    </font>
    <font>
      <sz val="10"/>
      <name val="Cambria"/>
    </font>
    <font>
      <sz val="10"/>
      <color rgb="FFFF0000"/>
      <name val="Cambria"/>
    </font>
    <font>
      <b/>
      <sz val="10"/>
      <name val="Cambria"/>
    </font>
    <font>
      <sz val="10"/>
      <color rgb="FF0000FF"/>
      <name val="Cambria"/>
    </font>
    <font>
      <sz val="9"/>
      <name val="Cambria"/>
    </font>
    <font>
      <b/>
      <sz val="10"/>
      <color rgb="FF000000"/>
      <name val="Cambria"/>
    </font>
    <font>
      <b/>
      <sz val="10"/>
      <color rgb="FF000000"/>
      <name val="Cambria"/>
      <family val="1"/>
    </font>
    <font>
      <b/>
      <sz val="11"/>
      <color rgb="FF000000"/>
      <name val="Calibri"/>
      <family val="2"/>
    </font>
    <font>
      <b/>
      <sz val="11"/>
      <color rgb="FF000000"/>
      <name val="Cambria"/>
      <family val="1"/>
    </font>
    <font>
      <sz val="11"/>
      <color rgb="FF000000"/>
      <name val="Calibri"/>
      <family val="2"/>
    </font>
    <font>
      <sz val="12"/>
      <color rgb="FF000000"/>
      <name val="Cambria"/>
      <family val="1"/>
    </font>
    <font>
      <sz val="14"/>
      <color rgb="FF000000"/>
      <name val="Calibri"/>
      <family val="2"/>
    </font>
    <font>
      <b/>
      <sz val="16"/>
      <color rgb="FF000000"/>
      <name val="Cambria"/>
      <family val="1"/>
    </font>
    <font>
      <sz val="16"/>
      <color rgb="FF000000"/>
      <name val="Calibri"/>
      <family val="2"/>
    </font>
    <font>
      <b/>
      <sz val="14"/>
      <name val="Cambria"/>
      <family val="1"/>
    </font>
    <font>
      <sz val="14"/>
      <name val="Cambria"/>
      <family val="1"/>
    </font>
    <font>
      <sz val="12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b/>
      <sz val="14"/>
      <color theme="1"/>
      <name val="Cambria"/>
      <family val="1"/>
    </font>
    <font>
      <b/>
      <sz val="16"/>
      <color theme="1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b/>
      <sz val="14"/>
      <name val="Calibri"/>
      <family val="2"/>
    </font>
    <font>
      <b/>
      <sz val="16"/>
      <color rgb="FF000000"/>
      <name val="Calibri"/>
      <family val="2"/>
    </font>
    <font>
      <b/>
      <sz val="9"/>
      <color rgb="FF000000"/>
      <name val="Cambria"/>
      <family val="1"/>
    </font>
    <font>
      <b/>
      <sz val="12"/>
      <color rgb="FF000000"/>
      <name val="Cambria"/>
      <family val="1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4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right"/>
    </xf>
    <xf numFmtId="0" fontId="8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/>
    </xf>
    <xf numFmtId="0" fontId="8" fillId="0" borderId="4" xfId="0" applyFont="1" applyBorder="1" applyAlignment="1">
      <alignment wrapText="1"/>
    </xf>
    <xf numFmtId="0" fontId="6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wrapText="1"/>
    </xf>
    <xf numFmtId="0" fontId="6" fillId="0" borderId="7" xfId="0" applyFont="1" applyBorder="1" applyAlignment="1">
      <alignment horizontal="right" vertical="center" wrapText="1"/>
    </xf>
    <xf numFmtId="165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9" xfId="0" applyBorder="1"/>
    <xf numFmtId="0" fontId="7" fillId="0" borderId="1" xfId="0" applyFont="1" applyBorder="1"/>
    <xf numFmtId="0" fontId="8" fillId="0" borderId="34" xfId="0" applyFont="1" applyBorder="1" applyAlignment="1">
      <alignment horizontal="right"/>
    </xf>
    <xf numFmtId="0" fontId="10" fillId="0" borderId="3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right"/>
    </xf>
    <xf numFmtId="0" fontId="8" fillId="0" borderId="32" xfId="0" applyFont="1" applyBorder="1" applyAlignment="1">
      <alignment horizontal="right"/>
    </xf>
    <xf numFmtId="0" fontId="7" fillId="0" borderId="31" xfId="0" applyFont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1" fillId="0" borderId="32" xfId="0" applyFont="1" applyBorder="1" applyAlignment="1">
      <alignment horizontal="right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right"/>
    </xf>
    <xf numFmtId="0" fontId="7" fillId="0" borderId="32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7" fillId="0" borderId="23" xfId="0" applyFont="1" applyBorder="1"/>
    <xf numFmtId="0" fontId="7" fillId="0" borderId="24" xfId="0" applyFont="1" applyBorder="1"/>
    <xf numFmtId="0" fontId="8" fillId="0" borderId="3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/>
    </xf>
    <xf numFmtId="0" fontId="23" fillId="0" borderId="31" xfId="0" applyFont="1" applyBorder="1"/>
    <xf numFmtId="0" fontId="23" fillId="0" borderId="1" xfId="0" applyFont="1" applyBorder="1"/>
    <xf numFmtId="0" fontId="23" fillId="0" borderId="32" xfId="0" applyFont="1" applyBorder="1"/>
    <xf numFmtId="0" fontId="26" fillId="0" borderId="4" xfId="0" applyFont="1" applyBorder="1" applyAlignment="1">
      <alignment horizontal="left" vertical="center" wrapText="1"/>
    </xf>
    <xf numFmtId="164" fontId="24" fillId="0" borderId="4" xfId="0" applyNumberFormat="1" applyFont="1" applyBorder="1" applyAlignment="1">
      <alignment horizontal="center" vertical="center" wrapText="1"/>
    </xf>
    <xf numFmtId="164" fontId="25" fillId="0" borderId="4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30" fillId="0" borderId="28" xfId="0" applyFont="1" applyBorder="1" applyAlignment="1">
      <alignment horizontal="center" vertical="center"/>
    </xf>
    <xf numFmtId="0" fontId="33" fillId="0" borderId="29" xfId="0" applyFont="1" applyBorder="1"/>
    <xf numFmtId="0" fontId="33" fillId="0" borderId="30" xfId="0" applyFont="1" applyBorder="1"/>
    <xf numFmtId="0" fontId="23" fillId="0" borderId="31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32" xfId="0" applyFont="1" applyBorder="1"/>
    <xf numFmtId="0" fontId="22" fillId="0" borderId="3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17" fillId="0" borderId="1" xfId="0" applyFont="1" applyBorder="1"/>
    <xf numFmtId="0" fontId="17" fillId="0" borderId="32" xfId="0" applyFont="1" applyBorder="1"/>
    <xf numFmtId="0" fontId="23" fillId="0" borderId="1" xfId="0" applyFont="1" applyBorder="1" applyAlignment="1">
      <alignment horizontal="center"/>
    </xf>
    <xf numFmtId="0" fontId="22" fillId="0" borderId="42" xfId="0" applyFont="1" applyBorder="1" applyAlignment="1">
      <alignment horizontal="center" vertical="center"/>
    </xf>
    <xf numFmtId="0" fontId="32" fillId="0" borderId="43" xfId="0" applyFont="1" applyBorder="1"/>
    <xf numFmtId="0" fontId="32" fillId="0" borderId="44" xfId="0" applyFont="1" applyBorder="1"/>
    <xf numFmtId="0" fontId="25" fillId="0" borderId="5" xfId="0" applyFont="1" applyBorder="1" applyAlignment="1">
      <alignment horizontal="left" vertical="top" wrapText="1"/>
    </xf>
    <xf numFmtId="0" fontId="27" fillId="0" borderId="6" xfId="0" applyFont="1" applyBorder="1"/>
    <xf numFmtId="0" fontId="8" fillId="0" borderId="36" xfId="0" applyFont="1" applyBorder="1" applyAlignment="1">
      <alignment horizontal="center"/>
    </xf>
    <xf numFmtId="0" fontId="1" fillId="0" borderId="37" xfId="0" applyFont="1" applyBorder="1"/>
    <xf numFmtId="0" fontId="1" fillId="0" borderId="38" xfId="0" applyFont="1" applyBorder="1"/>
    <xf numFmtId="0" fontId="6" fillId="0" borderId="33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164" fontId="20" fillId="0" borderId="14" xfId="0" applyNumberFormat="1" applyFont="1" applyBorder="1" applyAlignment="1">
      <alignment horizontal="center" vertical="center"/>
    </xf>
    <xf numFmtId="0" fontId="21" fillId="0" borderId="15" xfId="0" applyFont="1" applyBorder="1"/>
    <xf numFmtId="0" fontId="21" fillId="0" borderId="16" xfId="0" applyFont="1" applyBorder="1"/>
    <xf numFmtId="0" fontId="15" fillId="0" borderId="9" xfId="0" applyFont="1" applyBorder="1"/>
    <xf numFmtId="0" fontId="15" fillId="0" borderId="18" xfId="0" applyFont="1" applyBorder="1"/>
    <xf numFmtId="0" fontId="5" fillId="0" borderId="17" xfId="0" applyFont="1" applyBorder="1" applyAlignment="1">
      <alignment horizontal="center" vertical="center"/>
    </xf>
    <xf numFmtId="0" fontId="0" fillId="0" borderId="9" xfId="0" applyBorder="1"/>
    <xf numFmtId="0" fontId="0" fillId="0" borderId="18" xfId="0" applyBorder="1"/>
    <xf numFmtId="0" fontId="16" fillId="0" borderId="17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0" fillId="0" borderId="10" xfId="0" applyBorder="1"/>
    <xf numFmtId="0" fontId="0" fillId="0" borderId="20" xfId="0" applyBorder="1"/>
    <xf numFmtId="0" fontId="15" fillId="0" borderId="9" xfId="0" applyFont="1" applyBorder="1" applyAlignment="1">
      <alignment horizontal="center"/>
    </xf>
    <xf numFmtId="0" fontId="34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11" xfId="0" applyFont="1" applyBorder="1"/>
    <xf numFmtId="0" fontId="0" fillId="0" borderId="1" xfId="0" applyBorder="1"/>
    <xf numFmtId="0" fontId="4" fillId="0" borderId="1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5" fillId="0" borderId="12" xfId="0" applyFont="1" applyBorder="1"/>
    <xf numFmtId="0" fontId="15" fillId="0" borderId="53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36" fillId="0" borderId="22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8" sqref="A1:XFD1048576"/>
    </sheetView>
  </sheetViews>
  <sheetFormatPr defaultColWidth="14.36328125" defaultRowHeight="15" customHeight="1"/>
  <cols>
    <col min="1" max="1" width="5" customWidth="1"/>
    <col min="2" max="2" width="6.54296875" customWidth="1"/>
    <col min="3" max="3" width="42.36328125" customWidth="1"/>
    <col min="4" max="4" width="13.26953125" customWidth="1"/>
    <col min="5" max="5" width="17.90625" customWidth="1"/>
    <col min="6" max="12" width="9.1796875" customWidth="1"/>
    <col min="13" max="26" width="8.7265625" customWidth="1"/>
  </cols>
  <sheetData>
    <row r="1" spans="1:26" ht="27" customHeight="1">
      <c r="A1" s="69" t="s">
        <v>4</v>
      </c>
      <c r="B1" s="70"/>
      <c r="C1" s="70"/>
      <c r="D1" s="70"/>
      <c r="E1" s="71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A2" s="72" t="s">
        <v>5</v>
      </c>
      <c r="B2" s="73"/>
      <c r="C2" s="73"/>
      <c r="D2" s="73"/>
      <c r="E2" s="74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>
      <c r="A3" s="75" t="s">
        <v>6</v>
      </c>
      <c r="B3" s="73"/>
      <c r="C3" s="73"/>
      <c r="D3" s="73"/>
      <c r="E3" s="74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76" t="s">
        <v>7</v>
      </c>
      <c r="B4" s="77"/>
      <c r="C4" s="77"/>
      <c r="D4" s="77"/>
      <c r="E4" s="78"/>
      <c r="F4" s="2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.75" customHeight="1" thickBot="1">
      <c r="A5" s="51"/>
      <c r="B5" s="79"/>
      <c r="C5" s="73"/>
      <c r="D5" s="52"/>
      <c r="E5" s="53"/>
      <c r="F5" s="2"/>
      <c r="G5" s="2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 thickBot="1">
      <c r="A6" s="80" t="s">
        <v>0</v>
      </c>
      <c r="B6" s="81"/>
      <c r="C6" s="82"/>
      <c r="D6" s="65" t="s">
        <v>2</v>
      </c>
      <c r="E6" s="66" t="s">
        <v>3</v>
      </c>
      <c r="F6" s="2"/>
      <c r="G6" s="2"/>
      <c r="H6" s="2"/>
      <c r="I6" s="2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8.25" customHeight="1">
      <c r="A7" s="49" t="s">
        <v>8</v>
      </c>
      <c r="B7" s="83" t="s">
        <v>42</v>
      </c>
      <c r="C7" s="84"/>
      <c r="D7" s="50"/>
      <c r="E7" s="63">
        <v>41283.379999999997</v>
      </c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9" customHeight="1">
      <c r="A8" s="85"/>
      <c r="B8" s="55">
        <v>1</v>
      </c>
      <c r="C8" s="54" t="s">
        <v>9</v>
      </c>
      <c r="D8" s="56">
        <v>0</v>
      </c>
      <c r="E8" s="64">
        <v>0</v>
      </c>
      <c r="F8" s="2"/>
      <c r="G8" s="2"/>
      <c r="H8" s="2"/>
      <c r="I8" s="2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9.75" customHeight="1">
      <c r="A9" s="86"/>
      <c r="B9" s="55">
        <v>2</v>
      </c>
      <c r="C9" s="54" t="s">
        <v>10</v>
      </c>
      <c r="D9" s="56">
        <v>0</v>
      </c>
      <c r="E9" s="57">
        <v>0</v>
      </c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87"/>
      <c r="B10" s="6"/>
      <c r="C10" s="7" t="s">
        <v>11</v>
      </c>
      <c r="D10" s="8"/>
      <c r="E10" s="61">
        <v>41283.379999999997</v>
      </c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1" t="s">
        <v>12</v>
      </c>
      <c r="B11" s="9"/>
      <c r="C11" s="10" t="s">
        <v>13</v>
      </c>
      <c r="D11" s="5"/>
      <c r="E11" s="30"/>
      <c r="F11" s="2"/>
      <c r="G11" s="2"/>
      <c r="H11" s="2"/>
      <c r="I11" s="2"/>
      <c r="J11" s="2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9.75" customHeight="1">
      <c r="A12" s="85"/>
      <c r="B12" s="55">
        <v>1</v>
      </c>
      <c r="C12" s="54" t="s">
        <v>14</v>
      </c>
      <c r="D12" s="58">
        <v>0</v>
      </c>
      <c r="E12" s="57">
        <v>0</v>
      </c>
      <c r="F12" s="2"/>
      <c r="G12" s="2"/>
      <c r="H12" s="2"/>
      <c r="I12" s="2"/>
      <c r="J12" s="2"/>
      <c r="K12" s="2"/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9.75" customHeight="1">
      <c r="A13" s="86"/>
      <c r="B13" s="55">
        <v>2</v>
      </c>
      <c r="C13" s="54" t="s">
        <v>15</v>
      </c>
      <c r="D13" s="58">
        <v>0</v>
      </c>
      <c r="E13" s="57">
        <v>0</v>
      </c>
      <c r="F13" s="2"/>
      <c r="G13" s="2"/>
      <c r="H13" s="2"/>
      <c r="I13" s="2"/>
      <c r="J13" s="2"/>
      <c r="K13" s="2"/>
      <c r="L13" s="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87"/>
      <c r="B14" s="11"/>
      <c r="C14" s="12" t="s">
        <v>11</v>
      </c>
      <c r="D14" s="59"/>
      <c r="E14" s="60">
        <v>0</v>
      </c>
      <c r="F14" s="2"/>
      <c r="G14" s="2"/>
      <c r="H14" s="2"/>
      <c r="I14" s="2"/>
      <c r="J14" s="2"/>
      <c r="K14" s="2"/>
      <c r="L14" s="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8.5" customHeight="1">
      <c r="A15" s="88" t="s">
        <v>16</v>
      </c>
      <c r="B15" s="89"/>
      <c r="C15" s="90"/>
      <c r="D15" s="8"/>
      <c r="E15" s="62">
        <v>41283.379999999997</v>
      </c>
      <c r="F15" s="2"/>
      <c r="G15" s="2"/>
      <c r="H15" s="2"/>
      <c r="I15" s="2"/>
      <c r="J15" s="2"/>
      <c r="K15" s="2"/>
      <c r="L15" s="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2"/>
      <c r="B16" s="33"/>
      <c r="C16" s="34"/>
      <c r="D16" s="35"/>
      <c r="E16" s="36"/>
      <c r="F16" s="2"/>
      <c r="G16" s="2"/>
      <c r="H16" s="2"/>
      <c r="I16" s="2"/>
      <c r="J16" s="2"/>
      <c r="K16" s="2"/>
      <c r="L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7"/>
      <c r="B17" s="33"/>
      <c r="C17" s="33"/>
      <c r="D17" s="38"/>
      <c r="E17" s="39"/>
      <c r="F17" s="2"/>
      <c r="G17" s="2"/>
      <c r="H17" s="2"/>
      <c r="I17" s="2"/>
      <c r="J17" s="2"/>
      <c r="K17" s="2"/>
      <c r="L17" s="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>
      <c r="A18" s="37"/>
      <c r="B18" s="40"/>
      <c r="C18" s="41"/>
      <c r="D18" s="42"/>
      <c r="E18" s="43"/>
      <c r="F18" s="2"/>
      <c r="G18" s="2"/>
      <c r="H18" s="2"/>
      <c r="I18" s="2"/>
      <c r="J18" s="2"/>
      <c r="K18" s="2"/>
      <c r="L18" s="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>
      <c r="A19" s="37"/>
      <c r="B19" s="29"/>
      <c r="C19" s="44"/>
      <c r="D19" s="45" t="s">
        <v>1</v>
      </c>
      <c r="E19" s="43"/>
      <c r="F19" s="2"/>
      <c r="G19" s="2"/>
      <c r="H19" s="2"/>
      <c r="I19" s="2"/>
      <c r="J19" s="2"/>
      <c r="K19" s="2"/>
      <c r="L19" s="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thickBot="1">
      <c r="A20" s="46"/>
      <c r="B20" s="47"/>
      <c r="C20" s="47"/>
      <c r="D20" s="47"/>
      <c r="E20" s="48"/>
      <c r="F20" s="2"/>
      <c r="G20" s="2"/>
      <c r="H20" s="2"/>
      <c r="I20" s="2"/>
      <c r="J20" s="2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>
      <c r="A21" s="3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>
      <c r="A22" s="3"/>
      <c r="B22" s="3"/>
      <c r="C22" s="3"/>
      <c r="D22" s="3"/>
      <c r="E22" s="3"/>
      <c r="F22" s="2"/>
      <c r="G22" s="2"/>
      <c r="H22" s="2"/>
      <c r="I22" s="2"/>
      <c r="J22" s="2"/>
      <c r="K22" s="2"/>
      <c r="L22" s="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67" t="s">
        <v>17</v>
      </c>
      <c r="B23" s="68"/>
      <c r="C23" s="68"/>
      <c r="D23" s="68"/>
      <c r="E23" s="68"/>
      <c r="F23" s="2"/>
      <c r="G23" s="2"/>
      <c r="H23" s="2"/>
      <c r="I23" s="2"/>
      <c r="J23" s="2"/>
      <c r="K23" s="2"/>
      <c r="L23" s="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67" t="s">
        <v>18</v>
      </c>
      <c r="B24" s="68"/>
      <c r="C24" s="68"/>
      <c r="D24" s="68"/>
      <c r="E24" s="68"/>
      <c r="F24" s="2"/>
      <c r="G24" s="2"/>
      <c r="H24" s="2"/>
      <c r="I24" s="2"/>
      <c r="J24" s="2"/>
      <c r="K24" s="2"/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67" t="s">
        <v>19</v>
      </c>
      <c r="B25" s="68"/>
      <c r="C25" s="68"/>
      <c r="D25" s="68"/>
      <c r="E25" s="68"/>
      <c r="F25" s="2"/>
      <c r="G25" s="2"/>
      <c r="H25" s="2"/>
      <c r="I25" s="2"/>
      <c r="J25" s="2"/>
      <c r="K25" s="2"/>
      <c r="L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67" t="s">
        <v>20</v>
      </c>
      <c r="B26" s="68"/>
      <c r="C26" s="68"/>
      <c r="D26" s="68"/>
      <c r="E26" s="68"/>
      <c r="F26" s="2"/>
      <c r="G26" s="2"/>
      <c r="H26" s="2"/>
      <c r="I26" s="2"/>
      <c r="J26" s="2"/>
      <c r="K26" s="2"/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A25:E25"/>
    <mergeCell ref="A26:E26"/>
    <mergeCell ref="A1:E1"/>
    <mergeCell ref="A2:E2"/>
    <mergeCell ref="A3:E3"/>
    <mergeCell ref="A4:E4"/>
    <mergeCell ref="B5:C5"/>
    <mergeCell ref="A6:C6"/>
    <mergeCell ref="B7:C7"/>
    <mergeCell ref="A8:A10"/>
    <mergeCell ref="A12:A14"/>
    <mergeCell ref="A15:C15"/>
    <mergeCell ref="A23:E23"/>
    <mergeCell ref="A24:E24"/>
  </mergeCells>
  <pageMargins left="0.45" right="0.41" top="0.62" bottom="0.68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06"/>
  <sheetViews>
    <sheetView topLeftCell="A9" workbookViewId="0">
      <selection activeCell="A17" sqref="A1:XFD1048576"/>
    </sheetView>
  </sheetViews>
  <sheetFormatPr defaultColWidth="14.36328125" defaultRowHeight="15" customHeight="1"/>
  <cols>
    <col min="1" max="1" width="6.81640625" customWidth="1"/>
    <col min="2" max="2" width="27.6328125" customWidth="1"/>
    <col min="3" max="3" width="11.36328125" customWidth="1"/>
    <col min="4" max="4" width="10.36328125" customWidth="1"/>
    <col min="5" max="5" width="11.26953125" customWidth="1"/>
    <col min="6" max="6" width="8.81640625" customWidth="1"/>
    <col min="7" max="7" width="8.26953125" customWidth="1"/>
    <col min="8" max="8" width="12.81640625" customWidth="1"/>
    <col min="9" max="9" width="9.90625" customWidth="1"/>
    <col min="10" max="27" width="9.1796875" customWidth="1"/>
  </cols>
  <sheetData>
    <row r="1" spans="1:27" ht="24.75" customHeight="1">
      <c r="A1" s="91" t="s">
        <v>21</v>
      </c>
      <c r="B1" s="92"/>
      <c r="C1" s="92"/>
      <c r="D1" s="92"/>
      <c r="E1" s="92"/>
      <c r="F1" s="92"/>
      <c r="G1" s="92"/>
      <c r="H1" s="9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75" customHeight="1">
      <c r="A2" s="96" t="s">
        <v>22</v>
      </c>
      <c r="B2" s="97"/>
      <c r="C2" s="97"/>
      <c r="D2" s="97"/>
      <c r="E2" s="97"/>
      <c r="F2" s="97"/>
      <c r="G2" s="97"/>
      <c r="H2" s="9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48" customHeight="1">
      <c r="A3" s="99" t="s">
        <v>23</v>
      </c>
      <c r="B3" s="94"/>
      <c r="C3" s="94"/>
      <c r="D3" s="94"/>
      <c r="E3" s="94"/>
      <c r="F3" s="94"/>
      <c r="G3" s="94"/>
      <c r="H3" s="9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17.75" customHeight="1">
      <c r="A4" s="100" t="s">
        <v>41</v>
      </c>
      <c r="B4" s="101"/>
      <c r="C4" s="101"/>
      <c r="D4" s="101"/>
      <c r="E4" s="101"/>
      <c r="F4" s="101"/>
      <c r="G4" s="101"/>
      <c r="H4" s="10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27"/>
      <c r="B5" s="28"/>
      <c r="C5" s="28"/>
      <c r="D5" s="28"/>
      <c r="E5" s="103" t="s">
        <v>43</v>
      </c>
      <c r="F5" s="103"/>
      <c r="G5" s="103"/>
      <c r="H5" s="10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56.25" customHeight="1" thickBot="1">
      <c r="A6" s="23" t="s">
        <v>24</v>
      </c>
      <c r="B6" s="24" t="s">
        <v>25</v>
      </c>
      <c r="C6" s="25" t="s">
        <v>32</v>
      </c>
      <c r="D6" s="24" t="s">
        <v>26</v>
      </c>
      <c r="E6" s="25" t="s">
        <v>27</v>
      </c>
      <c r="F6" s="25" t="s">
        <v>28</v>
      </c>
      <c r="G6" s="104" t="s">
        <v>33</v>
      </c>
      <c r="H6" s="26" t="s">
        <v>29</v>
      </c>
      <c r="I6" s="14"/>
      <c r="J6" s="14"/>
      <c r="K6" s="14"/>
      <c r="L6" s="14"/>
      <c r="M6" s="14"/>
      <c r="N6" s="15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4.75" customHeight="1">
      <c r="A7" s="21">
        <v>1</v>
      </c>
      <c r="B7" s="20" t="s">
        <v>30</v>
      </c>
      <c r="C7" s="126">
        <v>371.87</v>
      </c>
      <c r="D7" s="126">
        <v>879</v>
      </c>
      <c r="E7" s="126">
        <f>C7+D7</f>
        <v>1250.8699999999999</v>
      </c>
      <c r="F7" s="126">
        <v>236</v>
      </c>
      <c r="G7" s="127">
        <v>0</v>
      </c>
      <c r="H7" s="128">
        <f>E7-F7</f>
        <v>1014.8699999999999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4.75" customHeight="1">
      <c r="A8" s="22">
        <v>2</v>
      </c>
      <c r="B8" s="18" t="s">
        <v>35</v>
      </c>
      <c r="C8" s="129">
        <v>7426</v>
      </c>
      <c r="D8" s="129">
        <v>4800</v>
      </c>
      <c r="E8" s="129">
        <f t="shared" ref="E8:E13" si="0">C8+D8</f>
        <v>12226</v>
      </c>
      <c r="F8" s="129">
        <v>3599</v>
      </c>
      <c r="G8" s="127">
        <v>0</v>
      </c>
      <c r="H8" s="128">
        <f t="shared" ref="H8:H13" si="1">E8-F8</f>
        <v>8627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4.75" customHeight="1">
      <c r="A9" s="22">
        <v>3</v>
      </c>
      <c r="B9" s="18" t="s">
        <v>36</v>
      </c>
      <c r="C9" s="129">
        <v>15779</v>
      </c>
      <c r="D9" s="129">
        <v>21919</v>
      </c>
      <c r="E9" s="129">
        <f t="shared" si="0"/>
        <v>37698</v>
      </c>
      <c r="F9" s="129">
        <v>7500</v>
      </c>
      <c r="G9" s="127">
        <v>0</v>
      </c>
      <c r="H9" s="128">
        <f t="shared" si="1"/>
        <v>30198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4.75" customHeight="1">
      <c r="A10" s="22">
        <v>4</v>
      </c>
      <c r="B10" s="18" t="s">
        <v>37</v>
      </c>
      <c r="C10" s="129">
        <v>200</v>
      </c>
      <c r="D10" s="129">
        <v>0</v>
      </c>
      <c r="E10" s="129">
        <f t="shared" si="0"/>
        <v>200</v>
      </c>
      <c r="F10" s="129">
        <v>0</v>
      </c>
      <c r="G10" s="127">
        <v>0</v>
      </c>
      <c r="H10" s="128">
        <f t="shared" si="1"/>
        <v>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4.75" customHeight="1">
      <c r="A11" s="22">
        <v>5</v>
      </c>
      <c r="B11" s="18" t="s">
        <v>38</v>
      </c>
      <c r="C11" s="129">
        <v>0</v>
      </c>
      <c r="D11" s="129">
        <v>840</v>
      </c>
      <c r="E11" s="129">
        <f>C11+D11</f>
        <v>840</v>
      </c>
      <c r="F11" s="129">
        <v>840</v>
      </c>
      <c r="G11" s="127">
        <v>0</v>
      </c>
      <c r="H11" s="128">
        <f t="shared" si="1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4" customHeight="1">
      <c r="A12" s="22">
        <v>6</v>
      </c>
      <c r="B12" s="19" t="s">
        <v>39</v>
      </c>
      <c r="C12" s="129">
        <v>0</v>
      </c>
      <c r="D12" s="129">
        <v>1400</v>
      </c>
      <c r="E12" s="129">
        <f t="shared" si="0"/>
        <v>1400</v>
      </c>
      <c r="F12" s="129">
        <v>1400</v>
      </c>
      <c r="G12" s="127">
        <v>0</v>
      </c>
      <c r="H12" s="128">
        <f t="shared" si="1"/>
        <v>0</v>
      </c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4.75" customHeight="1">
      <c r="A13" s="22">
        <v>7</v>
      </c>
      <c r="B13" s="18" t="s">
        <v>34</v>
      </c>
      <c r="C13" s="129">
        <v>1243.51</v>
      </c>
      <c r="D13" s="129">
        <v>0</v>
      </c>
      <c r="E13" s="129">
        <f t="shared" si="0"/>
        <v>1243.51</v>
      </c>
      <c r="F13" s="129">
        <v>0</v>
      </c>
      <c r="G13" s="127">
        <v>0</v>
      </c>
      <c r="H13" s="128">
        <f t="shared" si="1"/>
        <v>1243.51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4.75" customHeight="1">
      <c r="A14" s="109"/>
      <c r="B14" s="108"/>
      <c r="C14" s="106"/>
      <c r="D14" s="106"/>
      <c r="E14" s="106"/>
      <c r="F14" s="106"/>
      <c r="G14" s="108"/>
      <c r="H14" s="10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4.75" customHeight="1">
      <c r="A15" s="110" t="s">
        <v>31</v>
      </c>
      <c r="B15" s="110"/>
      <c r="C15" s="124">
        <f>SUM(C7:C14)</f>
        <v>25020.379999999997</v>
      </c>
      <c r="D15" s="125">
        <f t="shared" ref="D15:H15" si="2">SUM(D7:D14)</f>
        <v>29838</v>
      </c>
      <c r="E15" s="125">
        <f t="shared" si="2"/>
        <v>54858.38</v>
      </c>
      <c r="F15" s="125">
        <f>SUM(F7:F14)</f>
        <v>13575</v>
      </c>
      <c r="G15" s="125">
        <f t="shared" si="2"/>
        <v>0</v>
      </c>
      <c r="H15" s="125">
        <f t="shared" si="2"/>
        <v>41283.379999999997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24.75" customHeight="1">
      <c r="A16" s="111"/>
      <c r="B16" s="112"/>
      <c r="C16" s="112"/>
      <c r="D16" s="111"/>
      <c r="E16" s="112"/>
      <c r="F16" s="112"/>
      <c r="G16" s="112"/>
      <c r="H16" s="1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24.75" customHeight="1">
      <c r="A17" s="114" t="s">
        <v>44</v>
      </c>
      <c r="B17" s="107"/>
      <c r="C17" s="116"/>
      <c r="D17" s="119"/>
      <c r="E17" s="118"/>
      <c r="F17" s="118"/>
      <c r="G17" s="118"/>
      <c r="H17" s="12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4.5" customHeight="1">
      <c r="A18" s="115" t="s">
        <v>40</v>
      </c>
      <c r="B18" s="94"/>
      <c r="C18" s="117"/>
      <c r="D18" s="121"/>
      <c r="E18" s="122"/>
      <c r="F18" s="122"/>
      <c r="G18" s="122"/>
      <c r="H18" s="123"/>
      <c r="I18" s="1"/>
      <c r="J18" s="1"/>
      <c r="K18" s="1"/>
      <c r="L18" s="1"/>
      <c r="M18" s="1"/>
      <c r="N18" s="1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4.75" customHeight="1">
      <c r="A19" s="17"/>
      <c r="B19" s="17"/>
      <c r="C19" s="17"/>
      <c r="D19" s="17"/>
      <c r="E19" s="17"/>
      <c r="F19" s="17"/>
      <c r="G19" s="17"/>
      <c r="H19" s="1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4.75" customHeight="1">
      <c r="A20" s="17"/>
      <c r="B20" s="17"/>
      <c r="C20" s="17"/>
      <c r="D20" s="17"/>
      <c r="E20" s="17"/>
      <c r="F20" s="17"/>
      <c r="G20" s="17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4.75" customHeight="1">
      <c r="A21" s="17"/>
      <c r="B21" s="17"/>
      <c r="C21" s="17"/>
      <c r="D21" s="17"/>
      <c r="E21" s="17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4.75" customHeight="1">
      <c r="A22" s="17"/>
      <c r="B22" s="17"/>
      <c r="C22" s="17"/>
      <c r="D22" s="17"/>
      <c r="E22" s="17"/>
      <c r="F22" s="17"/>
      <c r="G22" s="17"/>
      <c r="H22" s="1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4.75" customHeight="1">
      <c r="A23" s="17"/>
      <c r="B23" s="17"/>
      <c r="C23" s="17"/>
      <c r="D23" s="17"/>
      <c r="E23" s="17"/>
      <c r="F23" s="17"/>
      <c r="G23" s="17"/>
      <c r="H23" s="1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4.75" customHeight="1">
      <c r="A24" s="17"/>
      <c r="B24" s="17"/>
      <c r="C24" s="17"/>
      <c r="D24" s="17"/>
      <c r="E24" s="17"/>
      <c r="F24" s="17"/>
      <c r="G24" s="17"/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4.75" customHeight="1">
      <c r="A25" s="17"/>
      <c r="B25" s="17"/>
      <c r="C25" s="17"/>
      <c r="D25" s="17"/>
      <c r="E25" s="17"/>
      <c r="F25" s="17"/>
      <c r="G25" s="17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4.75" customHeight="1">
      <c r="A26" s="17"/>
      <c r="B26" s="17"/>
      <c r="C26" s="17"/>
      <c r="D26" s="17"/>
      <c r="E26" s="17"/>
      <c r="F26" s="17"/>
      <c r="G26" s="17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4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4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4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4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4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4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4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4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4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4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4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4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4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4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4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4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4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4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4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4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4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4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4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4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4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4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4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4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4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4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4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4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4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4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4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4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4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4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4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4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4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4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4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4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4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4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4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4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4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4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4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4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4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4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4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4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4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4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4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4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4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4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4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4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4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4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4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4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4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4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4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4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4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4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4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4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4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4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4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4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4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4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4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4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4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4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4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4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4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4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4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4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4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4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4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4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4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4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4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4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4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4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4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4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4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4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4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4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4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4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4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4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4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4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4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4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4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4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4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4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4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4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4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4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4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4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4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4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4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4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4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4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4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4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4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4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4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4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4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4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4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4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4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4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4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4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4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4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4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4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4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4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4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4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4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4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4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4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4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4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4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4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4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4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4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4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4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4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4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4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4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4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4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4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4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4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4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4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4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4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4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4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4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4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4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4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4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4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4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4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4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4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4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4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4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4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4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4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4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4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4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4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4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4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4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4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4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4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4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4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4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4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4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4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4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4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4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4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4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4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4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4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4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4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4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4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4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4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4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4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4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4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4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4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4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4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4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4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4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4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4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4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4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4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4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4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4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4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4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4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4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4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4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4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4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4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4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4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4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4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4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4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4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4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4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4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4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4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4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4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4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4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4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4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4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4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4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4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4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4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4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4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4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4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4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4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4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4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4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4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4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4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4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4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4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4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4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4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4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4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4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4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4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4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4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4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4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4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4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4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4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4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4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4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4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4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4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4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4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4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4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4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4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4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4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4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4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4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4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4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4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4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4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4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4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4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4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4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4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4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4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4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4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4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4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4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4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4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4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4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4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4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4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4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4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4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4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4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4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4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4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4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4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4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4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4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4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4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24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4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4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4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4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4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4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4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4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4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4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4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4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4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4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4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4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4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4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4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4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4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4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4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4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4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4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4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4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4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4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4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4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4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4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4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4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4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4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4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4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4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4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4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4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4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4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4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4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4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4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4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4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4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4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4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4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4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4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4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4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4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4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4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4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4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4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4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4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4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4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4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4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4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4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4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4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4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4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4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4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4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4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4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4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4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4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4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4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4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4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4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4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4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4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4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4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4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4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4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4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4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4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4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4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4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4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4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4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4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4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4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4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4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4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4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4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4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4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4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4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4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4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4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4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4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4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4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4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4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4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4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4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4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4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4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4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4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4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4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4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4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4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4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4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4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4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4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4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24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4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4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4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4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4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4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4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4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4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4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24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4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4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4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4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4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4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4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4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4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4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4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4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4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4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4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4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4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4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4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4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4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4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4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4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24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4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4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4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4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4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4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4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4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4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4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4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4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4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4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4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4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24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4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24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4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4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4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24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4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4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4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4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4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4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4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4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4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4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24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4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4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4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4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4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4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4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4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4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4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4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4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4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4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4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4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4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4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4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4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4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4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4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4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4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4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4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4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4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4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4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4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4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4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4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4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4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4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4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4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4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4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4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4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4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4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4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4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4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4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4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4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4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4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4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4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4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4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4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4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4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4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4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4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4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4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4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4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4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4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4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4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4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4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4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24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4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4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4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4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4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4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4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4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4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4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4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4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4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4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4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4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4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4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4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4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4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4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4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4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4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4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4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4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4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4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4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4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4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4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4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4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4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4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4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4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4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4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4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4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4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4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4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4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4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4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4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4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4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4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4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4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4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4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4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4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4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24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24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24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24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24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24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24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24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24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24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24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24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24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24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24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24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24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24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24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24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24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</sheetData>
  <mergeCells count="10">
    <mergeCell ref="E18:H18"/>
    <mergeCell ref="E17:H17"/>
    <mergeCell ref="E5:H5"/>
    <mergeCell ref="A17:C17"/>
    <mergeCell ref="A18:C18"/>
    <mergeCell ref="A15:B15"/>
    <mergeCell ref="A1:H1"/>
    <mergeCell ref="A2:H2"/>
    <mergeCell ref="A3:H3"/>
    <mergeCell ref="A4:H4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BE38-22D5-4ECF-BA47-7A0C5D8B16A9}">
  <dimension ref="A1:AA906"/>
  <sheetViews>
    <sheetView tabSelected="1" topLeftCell="A6" workbookViewId="0">
      <selection activeCell="B8" sqref="B8"/>
    </sheetView>
  </sheetViews>
  <sheetFormatPr defaultColWidth="14.36328125" defaultRowHeight="14.5"/>
  <cols>
    <col min="1" max="1" width="6.81640625" customWidth="1"/>
    <col min="2" max="2" width="27.6328125" customWidth="1"/>
    <col min="3" max="3" width="11.36328125" customWidth="1"/>
    <col min="4" max="4" width="10.36328125" customWidth="1"/>
    <col min="5" max="5" width="11.26953125" customWidth="1"/>
    <col min="6" max="6" width="8.81640625" customWidth="1"/>
    <col min="7" max="7" width="8.26953125" customWidth="1"/>
    <col min="8" max="8" width="12.81640625" customWidth="1"/>
    <col min="9" max="9" width="9.90625" customWidth="1"/>
    <col min="10" max="27" width="9.1796875" customWidth="1"/>
  </cols>
  <sheetData>
    <row r="1" spans="1:27" ht="24.75" customHeight="1">
      <c r="A1" s="91" t="s">
        <v>45</v>
      </c>
      <c r="B1" s="92"/>
      <c r="C1" s="92"/>
      <c r="D1" s="92"/>
      <c r="E1" s="92"/>
      <c r="F1" s="92"/>
      <c r="G1" s="92"/>
      <c r="H1" s="9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75" customHeight="1">
      <c r="A2" s="96" t="s">
        <v>22</v>
      </c>
      <c r="B2" s="97"/>
      <c r="C2" s="97"/>
      <c r="D2" s="97"/>
      <c r="E2" s="97"/>
      <c r="F2" s="97"/>
      <c r="G2" s="97"/>
      <c r="H2" s="9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48" customHeight="1">
      <c r="A3" s="99" t="s">
        <v>23</v>
      </c>
      <c r="B3" s="94"/>
      <c r="C3" s="94"/>
      <c r="D3" s="94"/>
      <c r="E3" s="94"/>
      <c r="F3" s="94"/>
      <c r="G3" s="94"/>
      <c r="H3" s="9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17.75" customHeight="1">
      <c r="A4" s="100" t="s">
        <v>41</v>
      </c>
      <c r="B4" s="101"/>
      <c r="C4" s="101"/>
      <c r="D4" s="101"/>
      <c r="E4" s="101"/>
      <c r="F4" s="101"/>
      <c r="G4" s="101"/>
      <c r="H4" s="10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>
      <c r="A5" s="27"/>
      <c r="B5" s="28"/>
      <c r="C5" s="28"/>
      <c r="D5" s="28"/>
      <c r="E5" s="103" t="s">
        <v>46</v>
      </c>
      <c r="F5" s="103"/>
      <c r="G5" s="103"/>
      <c r="H5" s="10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56.25" customHeight="1" thickBot="1">
      <c r="A6" s="23" t="s">
        <v>24</v>
      </c>
      <c r="B6" s="24" t="s">
        <v>25</v>
      </c>
      <c r="C6" s="25" t="s">
        <v>32</v>
      </c>
      <c r="D6" s="24" t="s">
        <v>26</v>
      </c>
      <c r="E6" s="25" t="s">
        <v>27</v>
      </c>
      <c r="F6" s="25" t="s">
        <v>28</v>
      </c>
      <c r="G6" s="104" t="s">
        <v>33</v>
      </c>
      <c r="H6" s="26" t="s">
        <v>29</v>
      </c>
      <c r="I6" s="14"/>
      <c r="J6" s="14"/>
      <c r="K6" s="14"/>
      <c r="L6" s="14"/>
      <c r="M6" s="14"/>
      <c r="N6" s="15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4.75" customHeight="1">
      <c r="A7" s="21">
        <v>1</v>
      </c>
      <c r="B7" s="20" t="s">
        <v>30</v>
      </c>
      <c r="C7" s="126">
        <v>371.87</v>
      </c>
      <c r="D7" s="126">
        <v>879</v>
      </c>
      <c r="E7" s="126">
        <f>C7+D7</f>
        <v>1250.8699999999999</v>
      </c>
      <c r="F7" s="126">
        <v>236</v>
      </c>
      <c r="G7" s="127">
        <v>0</v>
      </c>
      <c r="H7" s="128">
        <f>E7-F7</f>
        <v>1014.8699999999999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4.75" customHeight="1">
      <c r="A8" s="22">
        <v>2</v>
      </c>
      <c r="B8" s="18" t="s">
        <v>35</v>
      </c>
      <c r="C8" s="129">
        <v>7426</v>
      </c>
      <c r="D8" s="129">
        <v>4800</v>
      </c>
      <c r="E8" s="129">
        <f t="shared" ref="E8:E13" si="0">C8+D8</f>
        <v>12226</v>
      </c>
      <c r="F8" s="129">
        <v>3599</v>
      </c>
      <c r="G8" s="127">
        <v>0</v>
      </c>
      <c r="H8" s="128">
        <f t="shared" ref="H8:H13" si="1">E8-F8</f>
        <v>8627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4.75" customHeight="1">
      <c r="A9" s="22">
        <v>3</v>
      </c>
      <c r="B9" s="18" t="s">
        <v>36</v>
      </c>
      <c r="C9" s="129">
        <v>15779</v>
      </c>
      <c r="D9" s="129">
        <v>21919</v>
      </c>
      <c r="E9" s="129">
        <f t="shared" si="0"/>
        <v>37698</v>
      </c>
      <c r="F9" s="129">
        <v>7500</v>
      </c>
      <c r="G9" s="127">
        <v>0</v>
      </c>
      <c r="H9" s="128">
        <f t="shared" si="1"/>
        <v>30198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4.75" customHeight="1">
      <c r="A10" s="22">
        <v>4</v>
      </c>
      <c r="B10" s="18" t="s">
        <v>37</v>
      </c>
      <c r="C10" s="129">
        <v>200</v>
      </c>
      <c r="D10" s="129">
        <v>0</v>
      </c>
      <c r="E10" s="129">
        <f t="shared" si="0"/>
        <v>200</v>
      </c>
      <c r="F10" s="129">
        <v>0</v>
      </c>
      <c r="G10" s="127">
        <v>0</v>
      </c>
      <c r="H10" s="128">
        <f t="shared" si="1"/>
        <v>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4.75" customHeight="1">
      <c r="A11" s="22">
        <v>5</v>
      </c>
      <c r="B11" s="18" t="s">
        <v>38</v>
      </c>
      <c r="C11" s="129">
        <v>0</v>
      </c>
      <c r="D11" s="129">
        <v>840</v>
      </c>
      <c r="E11" s="129">
        <f>C11+D11</f>
        <v>840</v>
      </c>
      <c r="F11" s="129">
        <v>840</v>
      </c>
      <c r="G11" s="127">
        <v>0</v>
      </c>
      <c r="H11" s="128">
        <f t="shared" si="1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4" customHeight="1">
      <c r="A12" s="22">
        <v>6</v>
      </c>
      <c r="B12" s="19" t="s">
        <v>39</v>
      </c>
      <c r="C12" s="129">
        <v>0</v>
      </c>
      <c r="D12" s="129">
        <v>1400</v>
      </c>
      <c r="E12" s="129">
        <f t="shared" si="0"/>
        <v>1400</v>
      </c>
      <c r="F12" s="129">
        <v>1400</v>
      </c>
      <c r="G12" s="127">
        <v>0</v>
      </c>
      <c r="H12" s="128">
        <f t="shared" si="1"/>
        <v>0</v>
      </c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4.75" customHeight="1">
      <c r="A13" s="22">
        <v>7</v>
      </c>
      <c r="B13" s="18" t="s">
        <v>34</v>
      </c>
      <c r="C13" s="129">
        <v>1243.51</v>
      </c>
      <c r="D13" s="129">
        <v>0</v>
      </c>
      <c r="E13" s="129">
        <f t="shared" si="0"/>
        <v>1243.51</v>
      </c>
      <c r="F13" s="129">
        <v>0</v>
      </c>
      <c r="G13" s="127">
        <v>0</v>
      </c>
      <c r="H13" s="128">
        <f t="shared" si="1"/>
        <v>1243.51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4.75" customHeight="1">
      <c r="A14" s="109"/>
      <c r="B14" s="108"/>
      <c r="C14" s="106"/>
      <c r="D14" s="106"/>
      <c r="E14" s="106"/>
      <c r="F14" s="106"/>
      <c r="G14" s="108"/>
      <c r="H14" s="10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4.75" customHeight="1">
      <c r="A15" s="110" t="s">
        <v>31</v>
      </c>
      <c r="B15" s="110"/>
      <c r="C15" s="124">
        <f>SUM(C7:C14)</f>
        <v>25020.379999999997</v>
      </c>
      <c r="D15" s="125">
        <f t="shared" ref="D15:H15" si="2">SUM(D7:D14)</f>
        <v>29838</v>
      </c>
      <c r="E15" s="125">
        <f t="shared" si="2"/>
        <v>54858.38</v>
      </c>
      <c r="F15" s="125">
        <f>SUM(F7:F14)</f>
        <v>13575</v>
      </c>
      <c r="G15" s="125">
        <f t="shared" si="2"/>
        <v>0</v>
      </c>
      <c r="H15" s="125">
        <f t="shared" si="2"/>
        <v>41283.379999999997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24.75" customHeight="1">
      <c r="A16" s="111"/>
      <c r="B16" s="112"/>
      <c r="C16" s="112"/>
      <c r="D16" s="111"/>
      <c r="E16" s="112"/>
      <c r="F16" s="112"/>
      <c r="G16" s="112"/>
      <c r="H16" s="1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24.75" customHeight="1">
      <c r="A17" s="114" t="s">
        <v>47</v>
      </c>
      <c r="B17" s="107"/>
      <c r="C17" s="116"/>
      <c r="D17" s="119"/>
      <c r="E17" s="118"/>
      <c r="F17" s="118"/>
      <c r="G17" s="118"/>
      <c r="H17" s="12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4.5" customHeight="1">
      <c r="A18" s="115" t="s">
        <v>40</v>
      </c>
      <c r="B18" s="94"/>
      <c r="C18" s="117"/>
      <c r="D18" s="121"/>
      <c r="E18" s="122"/>
      <c r="F18" s="122"/>
      <c r="G18" s="122"/>
      <c r="H18" s="123"/>
      <c r="I18" s="1"/>
      <c r="J18" s="1"/>
      <c r="K18" s="1"/>
      <c r="L18" s="1"/>
      <c r="M18" s="1"/>
      <c r="N18" s="1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4.75" customHeight="1">
      <c r="A19" s="17"/>
      <c r="B19" s="17"/>
      <c r="C19" s="17"/>
      <c r="D19" s="17"/>
      <c r="E19" s="17"/>
      <c r="F19" s="17"/>
      <c r="G19" s="17"/>
      <c r="H19" s="1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4.75" customHeight="1">
      <c r="A20" s="17"/>
      <c r="B20" s="17"/>
      <c r="C20" s="17"/>
      <c r="D20" s="17"/>
      <c r="E20" s="17"/>
      <c r="F20" s="17"/>
      <c r="G20" s="17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4.75" customHeight="1">
      <c r="A21" s="17"/>
      <c r="B21" s="17"/>
      <c r="C21" s="17"/>
      <c r="D21" s="17"/>
      <c r="E21" s="17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4.75" customHeight="1">
      <c r="A22" s="17"/>
      <c r="B22" s="17"/>
      <c r="C22" s="17"/>
      <c r="D22" s="17"/>
      <c r="E22" s="17"/>
      <c r="F22" s="17"/>
      <c r="G22" s="17"/>
      <c r="H22" s="1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4.75" customHeight="1">
      <c r="A23" s="17"/>
      <c r="B23" s="17"/>
      <c r="C23" s="17"/>
      <c r="D23" s="17"/>
      <c r="E23" s="17"/>
      <c r="F23" s="17"/>
      <c r="G23" s="17"/>
      <c r="H23" s="1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4.75" customHeight="1">
      <c r="A24" s="17"/>
      <c r="B24" s="17"/>
      <c r="C24" s="17"/>
      <c r="D24" s="17"/>
      <c r="E24" s="17"/>
      <c r="F24" s="17"/>
      <c r="G24" s="17"/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4.75" customHeight="1">
      <c r="A25" s="17"/>
      <c r="B25" s="17"/>
      <c r="C25" s="17"/>
      <c r="D25" s="17"/>
      <c r="E25" s="17"/>
      <c r="F25" s="17"/>
      <c r="G25" s="17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4.75" customHeight="1">
      <c r="A26" s="17"/>
      <c r="B26" s="17"/>
      <c r="C26" s="17"/>
      <c r="D26" s="17"/>
      <c r="E26" s="17"/>
      <c r="F26" s="17"/>
      <c r="G26" s="17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4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4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4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4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4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4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4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4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4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4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4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4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4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4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4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4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4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4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4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4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4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4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4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4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4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4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4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4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4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4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4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4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4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4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4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4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4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4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4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4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4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4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4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4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4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4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4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4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4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4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4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4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4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4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4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4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4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4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4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4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4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4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4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4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4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4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4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4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4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4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4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4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4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4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4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4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4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4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4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4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4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4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4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4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4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4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4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4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4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4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4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4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4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4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4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4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4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4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4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4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4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4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4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4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4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4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4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4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4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4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4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4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4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4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4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4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4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4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4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4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4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4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4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4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4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4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4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4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4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4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4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4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4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4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4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4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4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4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4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4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4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4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4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4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4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4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4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4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4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4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4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4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4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4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4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4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4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4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4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4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4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4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4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4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4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4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4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4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4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4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4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4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4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4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4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4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4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4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4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4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4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4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4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4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4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4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4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4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4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4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4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4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4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4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4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4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4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4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4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4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4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4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4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4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4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4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4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4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4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4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4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4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4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4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4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4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4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4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4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4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4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4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4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4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4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4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4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4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4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4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4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4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4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4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4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4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4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4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4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4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4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4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4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4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4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4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4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4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4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4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4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4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4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4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4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4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4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4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4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4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4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4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4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4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4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4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4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4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4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4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4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4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4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4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4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4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4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4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4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4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4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4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4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4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4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4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4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4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4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4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4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4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4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4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4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4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4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4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4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4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4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4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4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4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4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4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4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4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4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4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4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4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4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4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4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4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4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4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4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4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4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4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4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4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4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4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4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4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4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4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4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4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4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4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4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4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4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4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4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4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4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4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4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4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4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4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4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4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4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4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4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4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4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4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4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4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4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4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4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4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4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4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4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4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4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4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4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4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24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4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4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4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4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4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4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4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4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4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4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4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4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4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4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4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4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4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4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4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4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4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4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4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4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4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4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4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4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4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4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4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4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4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4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4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4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4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4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4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4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4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4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4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4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4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4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4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4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4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4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4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4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4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4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4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4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4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4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4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4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4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4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4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4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4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4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4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4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4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4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4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4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4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4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4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4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4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4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4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4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4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4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4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4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4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4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4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4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4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4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4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4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4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4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4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4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4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4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4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4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4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4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4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4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4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4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4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4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4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4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4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4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4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4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4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4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4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4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4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4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4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4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4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4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4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4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4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4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4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4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4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4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4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4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4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4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4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4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4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4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4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4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4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4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4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4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4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4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24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4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4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4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4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4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4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4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4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4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4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24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4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4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4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4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4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4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4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4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4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4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4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4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4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4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4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4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4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4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4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4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4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4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4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4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24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4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4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4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4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4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4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4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4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4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4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4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4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4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4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4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4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24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4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24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4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4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4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24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4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4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4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4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4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4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4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4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4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4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24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4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4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4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4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4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4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4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4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4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4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4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4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4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4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4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4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4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4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4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4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4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4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4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4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4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4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4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4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4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4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4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4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4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4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4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4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4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4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4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4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4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4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4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4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4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4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4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4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4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4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4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4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4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4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4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4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4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4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4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4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4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4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4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4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4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4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4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4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4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4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4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4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4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4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4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24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4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4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4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4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4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4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4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4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4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4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4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4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4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4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4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4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4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4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4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4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4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4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4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4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4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4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4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4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4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4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4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4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4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4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4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4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4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4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4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4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4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4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4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4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4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4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4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4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4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4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4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4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4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4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4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4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4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4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4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4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4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24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24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24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24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24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24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24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24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24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24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24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24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24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24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24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24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24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24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24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24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24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</sheetData>
  <mergeCells count="10">
    <mergeCell ref="A17:C17"/>
    <mergeCell ref="E17:H17"/>
    <mergeCell ref="A18:C18"/>
    <mergeCell ref="E18:H18"/>
    <mergeCell ref="A1:H1"/>
    <mergeCell ref="A2:H2"/>
    <mergeCell ref="A3:H3"/>
    <mergeCell ref="A4:H4"/>
    <mergeCell ref="E5:H5"/>
    <mergeCell ref="A15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197B-4838-42FA-AA0C-297FD23C8474}">
  <dimension ref="A1:Z1000"/>
  <sheetViews>
    <sheetView workbookViewId="0">
      <selection activeCell="H8" sqref="H8"/>
    </sheetView>
  </sheetViews>
  <sheetFormatPr defaultColWidth="14.36328125" defaultRowHeight="14.5"/>
  <cols>
    <col min="1" max="1" width="5" customWidth="1"/>
    <col min="2" max="2" width="6.54296875" customWidth="1"/>
    <col min="3" max="3" width="42.36328125" customWidth="1"/>
    <col min="4" max="4" width="13.26953125" customWidth="1"/>
    <col min="5" max="5" width="17.90625" customWidth="1"/>
    <col min="6" max="12" width="9.1796875" customWidth="1"/>
    <col min="13" max="26" width="8.7265625" customWidth="1"/>
  </cols>
  <sheetData>
    <row r="1" spans="1:26" ht="27" customHeight="1">
      <c r="A1" s="69" t="s">
        <v>4</v>
      </c>
      <c r="B1" s="70"/>
      <c r="C1" s="70"/>
      <c r="D1" s="70"/>
      <c r="E1" s="71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A2" s="72" t="s">
        <v>5</v>
      </c>
      <c r="B2" s="73"/>
      <c r="C2" s="73"/>
      <c r="D2" s="73"/>
      <c r="E2" s="74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>
      <c r="A3" s="75" t="s">
        <v>6</v>
      </c>
      <c r="B3" s="73"/>
      <c r="C3" s="73"/>
      <c r="D3" s="73"/>
      <c r="E3" s="74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76" t="s">
        <v>7</v>
      </c>
      <c r="B4" s="77"/>
      <c r="C4" s="77"/>
      <c r="D4" s="77"/>
      <c r="E4" s="78"/>
      <c r="F4" s="2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.75" customHeight="1" thickBot="1">
      <c r="A5" s="51"/>
      <c r="B5" s="79"/>
      <c r="C5" s="73"/>
      <c r="D5" s="52"/>
      <c r="E5" s="53"/>
      <c r="F5" s="2"/>
      <c r="G5" s="2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 thickBot="1">
      <c r="A6" s="80" t="s">
        <v>0</v>
      </c>
      <c r="B6" s="81"/>
      <c r="C6" s="82"/>
      <c r="D6" s="65" t="s">
        <v>2</v>
      </c>
      <c r="E6" s="66" t="s">
        <v>3</v>
      </c>
      <c r="F6" s="2"/>
      <c r="G6" s="2"/>
      <c r="H6" s="2"/>
      <c r="I6" s="2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8.25" customHeight="1">
      <c r="A7" s="49" t="s">
        <v>8</v>
      </c>
      <c r="B7" s="83" t="s">
        <v>42</v>
      </c>
      <c r="C7" s="84"/>
      <c r="D7" s="50"/>
      <c r="E7" s="63">
        <v>41283.379999999997</v>
      </c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9" customHeight="1">
      <c r="A8" s="85"/>
      <c r="B8" s="55">
        <v>1</v>
      </c>
      <c r="C8" s="54" t="s">
        <v>9</v>
      </c>
      <c r="D8" s="56">
        <v>0</v>
      </c>
      <c r="E8" s="64">
        <v>0</v>
      </c>
      <c r="F8" s="2"/>
      <c r="G8" s="2"/>
      <c r="H8" s="2"/>
      <c r="I8" s="2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9.75" customHeight="1">
      <c r="A9" s="86"/>
      <c r="B9" s="55">
        <v>2</v>
      </c>
      <c r="C9" s="54" t="s">
        <v>10</v>
      </c>
      <c r="D9" s="56">
        <v>0</v>
      </c>
      <c r="E9" s="57">
        <v>0</v>
      </c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87"/>
      <c r="B10" s="6"/>
      <c r="C10" s="7" t="s">
        <v>11</v>
      </c>
      <c r="D10" s="8"/>
      <c r="E10" s="61">
        <v>41283.379999999997</v>
      </c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1" t="s">
        <v>12</v>
      </c>
      <c r="B11" s="9"/>
      <c r="C11" s="10" t="s">
        <v>13</v>
      </c>
      <c r="D11" s="5"/>
      <c r="E11" s="30"/>
      <c r="F11" s="2"/>
      <c r="G11" s="2"/>
      <c r="H11" s="2"/>
      <c r="I11" s="2"/>
      <c r="J11" s="2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9.75" customHeight="1">
      <c r="A12" s="85"/>
      <c r="B12" s="55">
        <v>1</v>
      </c>
      <c r="C12" s="54" t="s">
        <v>14</v>
      </c>
      <c r="D12" s="58">
        <v>0</v>
      </c>
      <c r="E12" s="57">
        <v>0</v>
      </c>
      <c r="F12" s="2"/>
      <c r="G12" s="2"/>
      <c r="H12" s="2"/>
      <c r="I12" s="2"/>
      <c r="J12" s="2"/>
      <c r="K12" s="2"/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9.75" customHeight="1">
      <c r="A13" s="86"/>
      <c r="B13" s="55">
        <v>2</v>
      </c>
      <c r="C13" s="54" t="s">
        <v>15</v>
      </c>
      <c r="D13" s="58">
        <v>0</v>
      </c>
      <c r="E13" s="57">
        <v>0</v>
      </c>
      <c r="F13" s="2"/>
      <c r="G13" s="2"/>
      <c r="H13" s="2"/>
      <c r="I13" s="2"/>
      <c r="J13" s="2"/>
      <c r="K13" s="2"/>
      <c r="L13" s="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87"/>
      <c r="B14" s="11"/>
      <c r="C14" s="12" t="s">
        <v>11</v>
      </c>
      <c r="D14" s="59"/>
      <c r="E14" s="60">
        <v>0</v>
      </c>
      <c r="F14" s="2"/>
      <c r="G14" s="2"/>
      <c r="H14" s="2"/>
      <c r="I14" s="2"/>
      <c r="J14" s="2"/>
      <c r="K14" s="2"/>
      <c r="L14" s="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8.5" customHeight="1">
      <c r="A15" s="88" t="s">
        <v>16</v>
      </c>
      <c r="B15" s="89"/>
      <c r="C15" s="90"/>
      <c r="D15" s="8"/>
      <c r="E15" s="62">
        <v>41283.379999999997</v>
      </c>
      <c r="F15" s="2"/>
      <c r="G15" s="2"/>
      <c r="H15" s="2"/>
      <c r="I15" s="2"/>
      <c r="J15" s="2"/>
      <c r="K15" s="2"/>
      <c r="L15" s="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2"/>
      <c r="B16" s="33"/>
      <c r="C16" s="34"/>
      <c r="D16" s="35"/>
      <c r="E16" s="36"/>
      <c r="F16" s="2"/>
      <c r="G16" s="2"/>
      <c r="H16" s="2"/>
      <c r="I16" s="2"/>
      <c r="J16" s="2"/>
      <c r="K16" s="2"/>
      <c r="L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7"/>
      <c r="B17" s="33"/>
      <c r="C17" s="33"/>
      <c r="D17" s="38"/>
      <c r="E17" s="39"/>
      <c r="F17" s="2"/>
      <c r="G17" s="2"/>
      <c r="H17" s="2"/>
      <c r="I17" s="2"/>
      <c r="J17" s="2"/>
      <c r="K17" s="2"/>
      <c r="L17" s="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>
      <c r="A18" s="37"/>
      <c r="B18" s="40"/>
      <c r="C18" s="41"/>
      <c r="D18" s="42"/>
      <c r="E18" s="43"/>
      <c r="F18" s="2"/>
      <c r="G18" s="2"/>
      <c r="H18" s="2"/>
      <c r="I18" s="2"/>
      <c r="J18" s="2"/>
      <c r="K18" s="2"/>
      <c r="L18" s="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>
      <c r="A19" s="37"/>
      <c r="B19" s="29"/>
      <c r="C19" s="44"/>
      <c r="D19" s="45" t="s">
        <v>1</v>
      </c>
      <c r="E19" s="43"/>
      <c r="F19" s="2"/>
      <c r="G19" s="2"/>
      <c r="H19" s="2"/>
      <c r="I19" s="2"/>
      <c r="J19" s="2"/>
      <c r="K19" s="2"/>
      <c r="L19" s="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thickBot="1">
      <c r="A20" s="46"/>
      <c r="B20" s="47"/>
      <c r="C20" s="47"/>
      <c r="D20" s="47"/>
      <c r="E20" s="48"/>
      <c r="F20" s="2"/>
      <c r="G20" s="2"/>
      <c r="H20" s="2"/>
      <c r="I20" s="2"/>
      <c r="J20" s="2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>
      <c r="A21" s="3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>
      <c r="A22" s="3"/>
      <c r="B22" s="3"/>
      <c r="C22" s="3"/>
      <c r="D22" s="3"/>
      <c r="E22" s="3"/>
      <c r="F22" s="2"/>
      <c r="G22" s="2"/>
      <c r="H22" s="2"/>
      <c r="I22" s="2"/>
      <c r="J22" s="2"/>
      <c r="K22" s="2"/>
      <c r="L22" s="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67" t="s">
        <v>17</v>
      </c>
      <c r="B23" s="68"/>
      <c r="C23" s="68"/>
      <c r="D23" s="68"/>
      <c r="E23" s="68"/>
      <c r="F23" s="2"/>
      <c r="G23" s="2"/>
      <c r="H23" s="2"/>
      <c r="I23" s="2"/>
      <c r="J23" s="2"/>
      <c r="K23" s="2"/>
      <c r="L23" s="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67" t="s">
        <v>18</v>
      </c>
      <c r="B24" s="68"/>
      <c r="C24" s="68"/>
      <c r="D24" s="68"/>
      <c r="E24" s="68"/>
      <c r="F24" s="2"/>
      <c r="G24" s="2"/>
      <c r="H24" s="2"/>
      <c r="I24" s="2"/>
      <c r="J24" s="2"/>
      <c r="K24" s="2"/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67" t="s">
        <v>19</v>
      </c>
      <c r="B25" s="68"/>
      <c r="C25" s="68"/>
      <c r="D25" s="68"/>
      <c r="E25" s="68"/>
      <c r="F25" s="2"/>
      <c r="G25" s="2"/>
      <c r="H25" s="2"/>
      <c r="I25" s="2"/>
      <c r="J25" s="2"/>
      <c r="K25" s="2"/>
      <c r="L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67" t="s">
        <v>20</v>
      </c>
      <c r="B26" s="68"/>
      <c r="C26" s="68"/>
      <c r="D26" s="68"/>
      <c r="E26" s="68"/>
      <c r="F26" s="2"/>
      <c r="G26" s="2"/>
      <c r="H26" s="2"/>
      <c r="I26" s="2"/>
      <c r="J26" s="2"/>
      <c r="K26" s="2"/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A25:E25"/>
    <mergeCell ref="A26:E26"/>
    <mergeCell ref="B7:C7"/>
    <mergeCell ref="A8:A10"/>
    <mergeCell ref="A12:A14"/>
    <mergeCell ref="A15:C15"/>
    <mergeCell ref="A23:E23"/>
    <mergeCell ref="A24:E24"/>
    <mergeCell ref="A1:E1"/>
    <mergeCell ref="A2:E2"/>
    <mergeCell ref="A3:E3"/>
    <mergeCell ref="A4:E4"/>
    <mergeCell ref="B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૫રિશિષ્ટ - ૯ smc edu</vt:lpstr>
      <vt:lpstr>૫રિશિષ્ટ - ૧૦ smc edu</vt:lpstr>
      <vt:lpstr>smc 10</vt:lpstr>
      <vt:lpstr>smc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 infosys</dc:creator>
  <cp:lastModifiedBy>Prathamsinh Parmar</cp:lastModifiedBy>
  <cp:lastPrinted>2025-04-05T17:50:25Z</cp:lastPrinted>
  <dcterms:created xsi:type="dcterms:W3CDTF">2015-03-17T09:49:43Z</dcterms:created>
  <dcterms:modified xsi:type="dcterms:W3CDTF">2025-04-05T17:53:50Z</dcterms:modified>
</cp:coreProperties>
</file>