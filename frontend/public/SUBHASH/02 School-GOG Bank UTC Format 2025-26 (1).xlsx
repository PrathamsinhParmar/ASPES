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HASH\"/>
    </mc:Choice>
  </mc:AlternateContent>
  <xr:revisionPtr revIDLastSave="0" documentId="13_ncr:1_{3EEEDD6D-70C8-45EC-828C-8169C9C0A994}" xr6:coauthVersionLast="47" xr6:coauthVersionMax="47" xr10:uidLastSave="{00000000-0000-0000-0000-000000000000}"/>
  <bookViews>
    <workbookView xWindow="-110" yWindow="-110" windowWidth="19420" windowHeight="10300" tabRatio="931" activeTab="4" xr2:uid="{00000000-000D-0000-FFFF-FFFF00000000}"/>
  </bookViews>
  <sheets>
    <sheet name="Annex.A School (GOG)" sheetId="13" r:id="rId1"/>
    <sheet name="Annex.B School (GOG)" sheetId="24" r:id="rId2"/>
    <sheet name="Annex.C School (GOG)" sheetId="14" r:id="rId3"/>
    <sheet name="Annex.D School (GOG)" sheetId="32" r:id="rId4"/>
    <sheet name="Sheet1" sheetId="34" r:id="rId5"/>
  </sheets>
  <definedNames>
    <definedName name="_xlnm.Print_Area" localSheetId="1">'Annex.B School (GOG)'!$A$1:$E$29</definedName>
    <definedName name="_xlnm.Print_Area" localSheetId="2">'Annex.C School (GOG)'!$A$1:$G$22</definedName>
    <definedName name="_xlnm.Print_Area" localSheetId="3">'Annex.D School (GOG)'!$A$1:$M$30</definedName>
    <definedName name="_xlnm.Print_Titles" localSheetId="0">'Annex.A School (GOG)'!$1:$8</definedName>
    <definedName name="_xlnm.Print_Titles" localSheetId="3">'Annex.D School (GOG)'!$1:$8</definedName>
    <definedName name="TASC_TAT_UAT_JUN22">#REF!</definedName>
    <definedName name="uuu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34" l="1"/>
  <c r="H19" i="34"/>
  <c r="J24" i="32"/>
  <c r="H24" i="32"/>
  <c r="L38" i="13"/>
  <c r="K38" i="13"/>
  <c r="E24" i="24"/>
  <c r="D24" i="24"/>
  <c r="C24" i="24"/>
</calcChain>
</file>

<file path=xl/sharedStrings.xml><?xml version="1.0" encoding="utf-8"?>
<sst xmlns="http://schemas.openxmlformats.org/spreadsheetml/2006/main" count="323" uniqueCount="91">
  <si>
    <t>Sr</t>
  </si>
  <si>
    <t>Head</t>
  </si>
  <si>
    <t>Block</t>
  </si>
  <si>
    <t>Authorised Signatory Stamp</t>
  </si>
  <si>
    <t>__________________________</t>
  </si>
  <si>
    <t>::</t>
  </si>
  <si>
    <t>R[S VYJF 5L5LV[ .:I] YIF CMI 5Z\T] J8FJ[, G CMI</t>
  </si>
  <si>
    <t>A\[SDF\ HDF GM\W Y. CMI 5Z\T] ZMHD[/DF\ NXF"jI] G CMI</t>
  </si>
  <si>
    <t>S],o</t>
  </si>
  <si>
    <t>AFN SZJ\]P</t>
  </si>
  <si>
    <t>A\[SDF\ DMS,JFDF\ VFJ[, ZMS0 S[ R[S VYJF 5L5LV[ A\[S BFTFDF\ HDF G Y. CMI</t>
  </si>
  <si>
    <t>A\[S BFTFDF\ pWFZJFDF\ VFJ[, RFlH"; 5Z\T] T[ ZMHD[/DF\ p&lt;,[B YI[, G CMI</t>
  </si>
  <si>
    <t>Cluster</t>
  </si>
  <si>
    <t>Total</t>
  </si>
  <si>
    <t>Budget Sub Activity</t>
  </si>
  <si>
    <t>5F;A]S q A\[S :8[8D[g8 5|DF6[ TFP#!P_#PZ&amp; l;,S</t>
  </si>
  <si>
    <t>Party Name</t>
  </si>
  <si>
    <t>School DISE Code</t>
  </si>
  <si>
    <t>Date As Per
Bank Statement</t>
  </si>
  <si>
    <t>School Name</t>
  </si>
  <si>
    <t>ZMHD[/ 5||DF6[ TFP#!P_#PZ5 GL l;,S</t>
  </si>
  <si>
    <r>
      <rPr>
        <b/>
        <sz val="14"/>
        <rFont val="Arial"/>
        <family val="2"/>
      </rPr>
      <t>બાદ</t>
    </r>
    <r>
      <rPr>
        <b/>
        <sz val="16"/>
        <rFont val="Arial"/>
        <family val="2"/>
      </rPr>
      <t xml:space="preserve"> (-)</t>
    </r>
  </si>
  <si>
    <r>
      <rPr>
        <b/>
        <sz val="12"/>
        <rFont val="Arial"/>
        <family val="2"/>
      </rPr>
      <t>ઉમેરો</t>
    </r>
    <r>
      <rPr>
        <b/>
        <sz val="16"/>
        <rFont val="Arial"/>
        <family val="2"/>
      </rPr>
      <t xml:space="preserve"> (+)</t>
    </r>
  </si>
  <si>
    <t>Date From 01.04.2025 To 31.03.2026 (F.Y.2025-26)</t>
  </si>
  <si>
    <t>Annexure - C (Bank Reconciliation) for School</t>
  </si>
  <si>
    <t>School Name :</t>
  </si>
  <si>
    <t>Cluster :</t>
  </si>
  <si>
    <t>Block :</t>
  </si>
  <si>
    <t>School DISE Code :</t>
  </si>
  <si>
    <t xml:space="preserve">નોધ: </t>
  </si>
  <si>
    <t>બાકી રહેલ બચત</t>
  </si>
  <si>
    <t>Principal Mob. Number</t>
  </si>
  <si>
    <t>Sr.
No.</t>
  </si>
  <si>
    <t>પદર ખર્ચની વિગત
(પદર રકમ જમા-ઉધાર લીધા તે વ્યક્તિનું નામ)</t>
  </si>
  <si>
    <t>Budget Sub Activity
(જે પ્રવૃત્તિ માટે પદર ખર્ચ કર્યો છે તે પ્રવૃત્તિનું નામ)</t>
  </si>
  <si>
    <t>Dr Date
(પદર ખર્ચનાં બિલ / વાઉચરની તારીખ લખવી)</t>
  </si>
  <si>
    <t>Cr Date
(As per Bank Statement)</t>
  </si>
  <si>
    <t>Dr Amount
(પદર ખર્ચની રકમ અહી લખવી)</t>
  </si>
  <si>
    <t>Cr Amount
(પદર ખર્ચની રકમ પરત મેળવી હોય તે અહી લખવી)</t>
  </si>
  <si>
    <t>Sr. No.
[Annexure-A માં દર્શાવેલ પ્રવૃતિનો Sr.No. (કોલમ A)  અહી લખવો]</t>
  </si>
  <si>
    <t>Annexure-D (Reimbursement of Expenses / Padar Kharch Details) for School</t>
  </si>
  <si>
    <t>Annexure-B (Income &amp; Expenditure Details) for School</t>
  </si>
  <si>
    <t>A\[S ;FY[ D[/J6]\vZLSg;L&lt;V[XG</t>
  </si>
  <si>
    <t>Samagra Shiksha-Anand (GOG)</t>
  </si>
  <si>
    <t>Annexure-A (Cheque/NEFT Through Transaction Payment Report) for School</t>
  </si>
  <si>
    <t>Bank A/c Type</t>
  </si>
  <si>
    <t>SMC Education</t>
  </si>
  <si>
    <t>BOB Bank</t>
  </si>
  <si>
    <t>GoG</t>
  </si>
  <si>
    <t>Cheque Number</t>
  </si>
  <si>
    <t>Cr Amount
(જો પેયમેન્ટ મળેલ હોય તો અહી રકમ લખવી)</t>
  </si>
  <si>
    <t>Dr Amount
(જો પેયમેન્ટ કર્યું હોય તો અહી રકમ લખવી)</t>
  </si>
  <si>
    <t>GoG Bank A/c No.</t>
  </si>
  <si>
    <t>GoG Savings Bank A/c Name</t>
  </si>
  <si>
    <t>Bank Name</t>
  </si>
  <si>
    <t>BOB</t>
  </si>
  <si>
    <t>Bank Name
(BOB / SBI Bank)</t>
  </si>
  <si>
    <t>BANK CHARGES / INTEREST</t>
  </si>
  <si>
    <t>(1) Annexure-A ની તમામ પ્રવૃત્તિનાં ખર્ચ નો ઉલ્લેખ Annexure-B માં કરવાનો રહેશે.જેથી Annex.-A નો કુલ ખર્ચ અને Annex.-B નો કુલ ખર્ચ સેમ જ રહે.</t>
  </si>
  <si>
    <t>GoG Bank A/c Name</t>
  </si>
  <si>
    <t xml:space="preserve">BOB Savings Bank </t>
  </si>
  <si>
    <t xml:space="preserve">SBI Savings Bank </t>
  </si>
  <si>
    <r>
      <t xml:space="preserve">Bank Name
(BOB Bank)
</t>
    </r>
    <r>
      <rPr>
        <b/>
        <sz val="9"/>
        <rFont val="Calibri"/>
        <family val="2"/>
        <scheme val="minor"/>
      </rPr>
      <t>(પદર ખર્ચ પરત મેળવતી વખતે કઈ બેંકથી રકમ મળેલ છેતે બેંકનું નામ લખવું)</t>
    </r>
  </si>
  <si>
    <r>
      <t xml:space="preserve">Cheque/NEFT No. 
</t>
    </r>
    <r>
      <rPr>
        <b/>
        <sz val="9"/>
        <rFont val="Calibri"/>
        <family val="2"/>
        <scheme val="minor"/>
      </rPr>
      <t>(પદર ખર્ચ પરત મેળવતી વખતે કયા Cheque No. થી રકમ મળેલ છે તેની વિગત લખવી)</t>
    </r>
  </si>
  <si>
    <t>(1) Annexure-D માં દર્શાવેલ પદર પ્રવૃત્તિનાં ખર્ચા Annexure-A માં પણ તેજ પ્રવૃત્તિનાં ખર્ચા ફરી રીપીટ થશે, કારણકે પદર ખર્ચની હિસાબીમાં અસર હવાલા એન્ટ્રી તરીકે થશે.
(2) Annexure-D માં દર્શાવેલ પદર પરતની રકમ, Cheque No., બેંકનું નામ આ ૩ વિગત Annexure-A ની વિગત સાથે મેચ થવી જોઈએ.</t>
  </si>
  <si>
    <t>Cheque Date</t>
  </si>
  <si>
    <t>વર્ષ ૨૦૨૫-૨૬ દરમિયાન
મળેલ ગ્રાન્ટ</t>
  </si>
  <si>
    <t>મળેલ ગ્રાન્ટ પૈકી થયેલ ખર્ચ</t>
  </si>
  <si>
    <t xml:space="preserve">ADHYAXSHRI SCHOOL MANAGEMENT COMMITTEE EDUCATION </t>
  </si>
  <si>
    <t>P.S JUNADADAPOR</t>
  </si>
  <si>
    <t>AMOD KUMAR</t>
  </si>
  <si>
    <t>SUBHASH PARMAR</t>
  </si>
  <si>
    <t>BALMELO</t>
  </si>
  <si>
    <t>MENTENANCE</t>
  </si>
  <si>
    <t>PRAGNA</t>
  </si>
  <si>
    <t>VALI SAMMELAN</t>
  </si>
  <si>
    <t>SHITAL TREDERS</t>
  </si>
  <si>
    <t>RAMEBHAI CHHOTUBHAI VASAVA</t>
  </si>
  <si>
    <t>DPC BHARUCH</t>
  </si>
  <si>
    <t>RETURN</t>
  </si>
  <si>
    <t>INTERNET</t>
  </si>
  <si>
    <t>SHALA SIDHHI</t>
  </si>
  <si>
    <t xml:space="preserve">M.D.M FOOD </t>
  </si>
  <si>
    <t xml:space="preserve">AMOD </t>
  </si>
  <si>
    <t>ADHYAXSREE SCHOOL MANAGEMENT COMMITTEE EDUCATION JUNADADAPOR</t>
  </si>
  <si>
    <t>SRHEEJI XEROX STETINARI</t>
  </si>
  <si>
    <t>NARESHBHAI MISTRI</t>
  </si>
  <si>
    <t>KANUBHAI VALAND</t>
  </si>
  <si>
    <t>SANGITABENHAKOR</t>
  </si>
  <si>
    <t>RAMESHBHAI CHHOTU</t>
  </si>
  <si>
    <t>RETUTN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</si>
</sst>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2"/>
      <color rgb="FF0000FF"/>
      <name val="Calibri"/>
      <family val="2"/>
      <scheme val="minor"/>
    </font>
    <font>
      <sz val="2"/>
      <color rgb="FFFF0000"/>
      <name val="LMG-Rupen"/>
    </font>
    <font>
      <b/>
      <sz val="11"/>
      <color indexed="12"/>
      <name val="Calibri"/>
      <family val="2"/>
      <scheme val="minor"/>
    </font>
    <font>
      <sz val="16"/>
      <name val="LMG-Arun"/>
    </font>
    <font>
      <b/>
      <sz val="16"/>
      <color rgb="FFFF0000"/>
      <name val="LMG-Rupen"/>
    </font>
    <font>
      <sz val="16"/>
      <color rgb="FFFF0000"/>
      <name val="LMG-Rupen"/>
    </font>
    <font>
      <sz val="16"/>
      <color rgb="FF0000FF"/>
      <name val="Arial"/>
      <family val="2"/>
    </font>
    <font>
      <sz val="16"/>
      <color rgb="FF0000FF"/>
      <name val="LMG-Rupen"/>
    </font>
    <font>
      <b/>
      <sz val="16"/>
      <name val="Arial"/>
      <family val="2"/>
    </font>
    <font>
      <b/>
      <sz val="16"/>
      <name val="LMG-Rupen"/>
    </font>
    <font>
      <b/>
      <sz val="14"/>
      <color rgb="FFFF0000"/>
      <name val="LMG-Rupen"/>
    </font>
    <font>
      <sz val="12"/>
      <name val="Arial"/>
      <family val="2"/>
    </font>
    <font>
      <sz val="18"/>
      <name val="HARI"/>
    </font>
    <font>
      <sz val="10"/>
      <color rgb="FF000000"/>
      <name val="Calibri"/>
      <family val="1"/>
      <scheme val="minor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60066"/>
      <name val="Arial"/>
      <family val="2"/>
    </font>
    <font>
      <sz val="12"/>
      <color rgb="FFFF0000"/>
      <name val="Arial"/>
      <family val="2"/>
    </font>
    <font>
      <b/>
      <sz val="11"/>
      <color rgb="FF0000FF"/>
      <name val="Calibri"/>
      <family val="2"/>
      <scheme val="minor"/>
    </font>
    <font>
      <sz val="12"/>
      <name val="Cambria"/>
      <family val="1"/>
    </font>
    <font>
      <sz val="14"/>
      <color rgb="FF0000FF"/>
      <name val="LMG-Rupen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rial"/>
      <family val="2"/>
    </font>
    <font>
      <b/>
      <sz val="18"/>
      <name val="Calibri"/>
      <family val="2"/>
      <scheme val="minor"/>
    </font>
    <font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9"/>
      <name val="Calibri"/>
      <family val="2"/>
      <scheme val="minor"/>
    </font>
    <font>
      <sz val="16"/>
      <name val="Calibri Light"/>
      <family val="2"/>
      <scheme val="major"/>
    </font>
    <font>
      <b/>
      <sz val="16"/>
      <name val="Calibri Light"/>
      <family val="2"/>
      <scheme val="maj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1" fillId="0" borderId="0"/>
  </cellStyleXfs>
  <cellXfs count="127">
    <xf numFmtId="0" fontId="0" fillId="0" borderId="0" xfId="0"/>
    <xf numFmtId="0" fontId="7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0" xfId="0" applyFont="1"/>
    <xf numFmtId="0" fontId="2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justify" wrapText="1"/>
    </xf>
    <xf numFmtId="0" fontId="8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11" fillId="0" borderId="0" xfId="0" applyFont="1"/>
    <xf numFmtId="0" fontId="14" fillId="0" borderId="0" xfId="0" applyFont="1"/>
    <xf numFmtId="0" fontId="16" fillId="0" borderId="0" xfId="0" applyFont="1"/>
    <xf numFmtId="0" fontId="11" fillId="0" borderId="5" xfId="0" applyFont="1" applyBorder="1"/>
    <xf numFmtId="0" fontId="19" fillId="0" borderId="5" xfId="0" applyFont="1" applyBorder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23" fillId="0" borderId="0" xfId="0" applyFont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wrapText="1"/>
    </xf>
    <xf numFmtId="0" fontId="11" fillId="0" borderId="1" xfId="0" applyFont="1" applyBorder="1"/>
    <xf numFmtId="0" fontId="20" fillId="0" borderId="1" xfId="0" applyFont="1" applyBorder="1"/>
    <xf numFmtId="0" fontId="27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right" vertical="center" wrapText="1"/>
    </xf>
    <xf numFmtId="2" fontId="22" fillId="0" borderId="1" xfId="0" applyNumberFormat="1" applyFont="1" applyBorder="1" applyAlignment="1">
      <alignment horizontal="right" vertical="center" wrapText="1"/>
    </xf>
    <xf numFmtId="0" fontId="38" fillId="0" borderId="0" xfId="0" applyFont="1" applyAlignment="1">
      <alignment horizontal="left" vertical="top" wrapText="1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vertical="center" wrapText="1"/>
    </xf>
    <xf numFmtId="0" fontId="40" fillId="0" borderId="0" xfId="0" applyFont="1" applyAlignment="1">
      <alignment horizontal="left" vertical="top" wrapText="1"/>
    </xf>
    <xf numFmtId="0" fontId="42" fillId="0" borderId="1" xfId="0" applyFont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2" fillId="0" borderId="1" xfId="0" applyFont="1" applyBorder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44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33" fillId="0" borderId="1" xfId="0" applyFont="1" applyBorder="1"/>
    <xf numFmtId="0" fontId="45" fillId="0" borderId="1" xfId="0" applyFont="1" applyBorder="1" applyAlignment="1">
      <alignment horizontal="center" vertical="center" wrapText="1"/>
    </xf>
    <xf numFmtId="2" fontId="45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right" wrapText="1"/>
    </xf>
    <xf numFmtId="0" fontId="19" fillId="0" borderId="1" xfId="0" applyFont="1" applyBorder="1" applyAlignment="1">
      <alignment horizontal="right" vertical="center" wrapText="1"/>
    </xf>
    <xf numFmtId="1" fontId="33" fillId="0" borderId="2" xfId="0" applyNumberFormat="1" applyFont="1" applyBorder="1" applyAlignment="1">
      <alignment horizontal="left" vertical="center"/>
    </xf>
    <xf numFmtId="0" fontId="33" fillId="0" borderId="2" xfId="0" applyFont="1" applyBorder="1"/>
    <xf numFmtId="0" fontId="33" fillId="0" borderId="0" xfId="0" applyFont="1"/>
    <xf numFmtId="0" fontId="34" fillId="0" borderId="1" xfId="0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right" vertical="center"/>
    </xf>
    <xf numFmtId="0" fontId="33" fillId="0" borderId="1" xfId="0" applyFont="1" applyBorder="1" applyAlignment="1">
      <alignment horizontal="right" vertical="center"/>
    </xf>
    <xf numFmtId="14" fontId="33" fillId="0" borderId="1" xfId="0" applyNumberFormat="1" applyFont="1" applyBorder="1"/>
    <xf numFmtId="0" fontId="33" fillId="0" borderId="1" xfId="0" applyFont="1" applyBorder="1" applyAlignment="1">
      <alignment horizontal="center" vertical="center"/>
    </xf>
    <xf numFmtId="2" fontId="33" fillId="0" borderId="1" xfId="0" applyNumberFormat="1" applyFont="1" applyBorder="1"/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4" fillId="0" borderId="1" xfId="0" applyFont="1" applyBorder="1"/>
    <xf numFmtId="0" fontId="33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7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1" fontId="33" fillId="0" borderId="1" xfId="0" applyNumberFormat="1" applyFont="1" applyBorder="1" applyAlignment="1">
      <alignment horizontal="left"/>
    </xf>
    <xf numFmtId="0" fontId="32" fillId="0" borderId="2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14" fontId="33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16" fillId="0" borderId="0" xfId="0" applyFont="1" applyAlignment="1">
      <alignment horizontal="center" wrapText="1"/>
    </xf>
    <xf numFmtId="0" fontId="36" fillId="0" borderId="0" xfId="0" applyFont="1" applyAlignment="1">
      <alignment horizontal="center"/>
    </xf>
    <xf numFmtId="0" fontId="33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6" fillId="0" borderId="2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6" fillId="0" borderId="2" xfId="0" applyFont="1" applyBorder="1" applyAlignment="1">
      <alignment horizontal="right"/>
    </xf>
    <xf numFmtId="0" fontId="16" fillId="0" borderId="3" xfId="0" applyFont="1" applyBorder="1" applyAlignment="1">
      <alignment horizontal="right"/>
    </xf>
    <xf numFmtId="0" fontId="16" fillId="0" borderId="4" xfId="0" applyFont="1" applyBorder="1" applyAlignment="1">
      <alignment horizontal="righ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17" fillId="0" borderId="2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2" xfId="0" applyFont="1" applyBorder="1" applyAlignment="1">
      <alignment horizontal="right" wrapText="1"/>
    </xf>
    <xf numFmtId="0" fontId="17" fillId="0" borderId="3" xfId="0" applyFont="1" applyBorder="1" applyAlignment="1">
      <alignment horizontal="right" wrapText="1"/>
    </xf>
    <xf numFmtId="0" fontId="33" fillId="0" borderId="1" xfId="0" applyFont="1" applyBorder="1" applyAlignment="1">
      <alignment horizontal="center"/>
    </xf>
    <xf numFmtId="14" fontId="33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1" fontId="33" fillId="0" borderId="2" xfId="0" applyNumberFormat="1" applyFont="1" applyBorder="1" applyAlignment="1">
      <alignment horizontal="left"/>
    </xf>
    <xf numFmtId="1" fontId="33" fillId="0" borderId="3" xfId="0" applyNumberFormat="1" applyFont="1" applyBorder="1" applyAlignment="1">
      <alignment horizontal="left"/>
    </xf>
    <xf numFmtId="1" fontId="33" fillId="0" borderId="4" xfId="0" applyNumberFormat="1" applyFont="1" applyBorder="1" applyAlignment="1">
      <alignment horizontal="left"/>
    </xf>
    <xf numFmtId="0" fontId="33" fillId="0" borderId="2" xfId="0" applyFont="1" applyBorder="1"/>
    <xf numFmtId="0" fontId="33" fillId="0" borderId="3" xfId="0" applyFont="1" applyBorder="1"/>
    <xf numFmtId="0" fontId="33" fillId="0" borderId="4" xfId="0" applyFont="1" applyBorder="1"/>
    <xf numFmtId="0" fontId="6" fillId="0" borderId="1" xfId="0" applyFont="1" applyBorder="1" applyAlignment="1">
      <alignment horizontal="center"/>
    </xf>
    <xf numFmtId="14" fontId="33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43"/>
  <sheetViews>
    <sheetView topLeftCell="B9" workbookViewId="0">
      <selection activeCell="G8" sqref="G8:H8"/>
    </sheetView>
  </sheetViews>
  <sheetFormatPr defaultColWidth="8.7265625" defaultRowHeight="14.5"/>
  <cols>
    <col min="1" max="1" width="4" style="12" customWidth="1"/>
    <col min="2" max="2" width="8.7265625" style="12" customWidth="1"/>
    <col min="3" max="3" width="1" style="12" customWidth="1"/>
    <col min="4" max="4" width="10" style="12" customWidth="1"/>
    <col min="5" max="5" width="10.54296875" style="12" customWidth="1"/>
    <col min="6" max="6" width="25.7265625" style="12" customWidth="1"/>
    <col min="7" max="7" width="16.7265625" style="12" customWidth="1"/>
    <col min="8" max="8" width="1.81640625" style="12" bestFit="1" customWidth="1"/>
    <col min="9" max="9" width="10.26953125" style="12" customWidth="1"/>
    <col min="10" max="10" width="32" style="12" customWidth="1"/>
    <col min="11" max="12" width="12.1796875" style="12" customWidth="1"/>
    <col min="13" max="16384" width="8.7265625" style="12"/>
  </cols>
  <sheetData>
    <row r="1" spans="1:12" customFormat="1" ht="23.5">
      <c r="A1" s="72" t="s">
        <v>43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customFormat="1" ht="18.5">
      <c r="A2" s="73" t="s">
        <v>44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customFormat="1" ht="18.5">
      <c r="A3" s="73" t="s">
        <v>23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s="5" customFormat="1" ht="13">
      <c r="A4" s="67" t="s">
        <v>19</v>
      </c>
      <c r="B4" s="67"/>
      <c r="C4" s="4" t="s">
        <v>5</v>
      </c>
      <c r="D4" s="65" t="s">
        <v>69</v>
      </c>
      <c r="E4" s="66"/>
      <c r="F4" s="66"/>
      <c r="G4" s="3" t="s">
        <v>45</v>
      </c>
      <c r="H4" s="3" t="s">
        <v>5</v>
      </c>
      <c r="I4" s="68" t="s">
        <v>46</v>
      </c>
      <c r="J4" s="68"/>
      <c r="K4" s="68"/>
      <c r="L4" s="68"/>
    </row>
    <row r="5" spans="1:12" s="5" customFormat="1" ht="13">
      <c r="A5" s="67" t="s">
        <v>12</v>
      </c>
      <c r="B5" s="67"/>
      <c r="C5" s="4" t="s">
        <v>5</v>
      </c>
      <c r="D5" s="65" t="s">
        <v>70</v>
      </c>
      <c r="E5" s="66"/>
      <c r="F5" s="66"/>
      <c r="G5" s="3" t="s">
        <v>52</v>
      </c>
      <c r="H5" s="3" t="s">
        <v>5</v>
      </c>
      <c r="I5" s="74">
        <v>16710100008622</v>
      </c>
      <c r="J5" s="74"/>
      <c r="K5" s="74"/>
      <c r="L5" s="74"/>
    </row>
    <row r="6" spans="1:12" s="5" customFormat="1" ht="13">
      <c r="A6" s="67" t="s">
        <v>2</v>
      </c>
      <c r="B6" s="67"/>
      <c r="C6" s="4" t="s">
        <v>5</v>
      </c>
      <c r="D6" s="65" t="s">
        <v>70</v>
      </c>
      <c r="E6" s="66"/>
      <c r="F6" s="66"/>
      <c r="G6" s="3" t="s">
        <v>59</v>
      </c>
      <c r="H6" s="3" t="s">
        <v>5</v>
      </c>
      <c r="I6" s="68" t="s">
        <v>68</v>
      </c>
      <c r="J6" s="68"/>
      <c r="K6" s="68"/>
      <c r="L6" s="68"/>
    </row>
    <row r="7" spans="1:12" s="5" customFormat="1" ht="13">
      <c r="A7" s="69" t="s">
        <v>17</v>
      </c>
      <c r="B7" s="70"/>
      <c r="C7" s="71"/>
      <c r="D7" s="65">
        <v>24210101701</v>
      </c>
      <c r="E7" s="66"/>
      <c r="F7" s="66"/>
      <c r="G7" s="67" t="s">
        <v>54</v>
      </c>
      <c r="H7" s="67"/>
      <c r="I7" s="68" t="s">
        <v>55</v>
      </c>
      <c r="J7" s="68"/>
      <c r="K7" s="68"/>
      <c r="L7" s="68"/>
    </row>
    <row r="8" spans="1:12" s="32" customFormat="1" ht="65">
      <c r="A8" s="30" t="s">
        <v>0</v>
      </c>
      <c r="B8" s="75" t="s">
        <v>1</v>
      </c>
      <c r="C8" s="76"/>
      <c r="D8" s="31" t="s">
        <v>56</v>
      </c>
      <c r="E8" s="31" t="s">
        <v>18</v>
      </c>
      <c r="F8" s="31" t="s">
        <v>16</v>
      </c>
      <c r="G8" s="78" t="s">
        <v>65</v>
      </c>
      <c r="H8" s="79"/>
      <c r="I8" s="31" t="s">
        <v>49</v>
      </c>
      <c r="J8" s="30" t="s">
        <v>14</v>
      </c>
      <c r="K8" s="31" t="s">
        <v>51</v>
      </c>
      <c r="L8" s="31" t="s">
        <v>50</v>
      </c>
    </row>
    <row r="9" spans="1:12" s="6" customFormat="1" ht="21" customHeight="1">
      <c r="A9" s="33">
        <v>1</v>
      </c>
      <c r="B9" s="65" t="s">
        <v>48</v>
      </c>
      <c r="C9" s="77"/>
      <c r="D9" s="50" t="s">
        <v>47</v>
      </c>
      <c r="E9" s="62">
        <v>45840</v>
      </c>
      <c r="F9" s="50" t="s">
        <v>71</v>
      </c>
      <c r="G9" s="80">
        <v>45840</v>
      </c>
      <c r="H9" s="66"/>
      <c r="I9" s="63">
        <v>149</v>
      </c>
      <c r="J9" s="34" t="s">
        <v>72</v>
      </c>
      <c r="K9" s="50">
        <v>1100</v>
      </c>
      <c r="L9" s="50">
        <v>0</v>
      </c>
    </row>
    <row r="10" spans="1:12" s="6" customFormat="1" ht="23.5" customHeight="1">
      <c r="A10" s="33">
        <v>2</v>
      </c>
      <c r="B10" s="65" t="s">
        <v>48</v>
      </c>
      <c r="C10" s="77"/>
      <c r="D10" s="50" t="s">
        <v>47</v>
      </c>
      <c r="E10" s="62">
        <v>45840</v>
      </c>
      <c r="F10" s="50" t="s">
        <v>71</v>
      </c>
      <c r="G10" s="80">
        <v>45840</v>
      </c>
      <c r="H10" s="66"/>
      <c r="I10" s="50">
        <v>149</v>
      </c>
      <c r="J10" s="34" t="s">
        <v>73</v>
      </c>
      <c r="K10" s="50">
        <v>5200</v>
      </c>
      <c r="L10" s="50">
        <v>0</v>
      </c>
    </row>
    <row r="11" spans="1:12" s="6" customFormat="1" ht="23.5" customHeight="1">
      <c r="A11" s="33">
        <v>3</v>
      </c>
      <c r="B11" s="65" t="s">
        <v>48</v>
      </c>
      <c r="C11" s="77"/>
      <c r="D11" s="50" t="s">
        <v>47</v>
      </c>
      <c r="E11" s="62">
        <v>45909</v>
      </c>
      <c r="F11" s="50" t="s">
        <v>71</v>
      </c>
      <c r="G11" s="80">
        <v>45909</v>
      </c>
      <c r="H11" s="66"/>
      <c r="I11" s="50">
        <v>150</v>
      </c>
      <c r="J11" s="34" t="s">
        <v>74</v>
      </c>
      <c r="K11" s="50">
        <v>1200</v>
      </c>
      <c r="L11" s="50">
        <v>0</v>
      </c>
    </row>
    <row r="12" spans="1:12" s="6" customFormat="1" ht="30" customHeight="1">
      <c r="A12" s="33">
        <v>4</v>
      </c>
      <c r="B12" s="65" t="s">
        <v>48</v>
      </c>
      <c r="C12" s="77"/>
      <c r="D12" s="50" t="s">
        <v>47</v>
      </c>
      <c r="E12" s="62">
        <v>45909</v>
      </c>
      <c r="F12" s="50" t="s">
        <v>71</v>
      </c>
      <c r="G12" s="80">
        <v>45909</v>
      </c>
      <c r="H12" s="66"/>
      <c r="I12" s="50">
        <v>150</v>
      </c>
      <c r="J12" s="34" t="s">
        <v>75</v>
      </c>
      <c r="K12" s="50">
        <v>500</v>
      </c>
      <c r="L12" s="50">
        <v>0</v>
      </c>
    </row>
    <row r="13" spans="1:12" s="6" customFormat="1" ht="23.5" customHeight="1">
      <c r="A13" s="33">
        <v>5</v>
      </c>
      <c r="B13" s="65" t="s">
        <v>48</v>
      </c>
      <c r="C13" s="77"/>
      <c r="D13" s="50" t="s">
        <v>47</v>
      </c>
      <c r="E13" s="62">
        <v>46106</v>
      </c>
      <c r="F13" s="50" t="s">
        <v>76</v>
      </c>
      <c r="G13" s="80">
        <v>46106</v>
      </c>
      <c r="H13" s="77"/>
      <c r="I13" s="50">
        <v>167</v>
      </c>
      <c r="J13" s="34" t="s">
        <v>73</v>
      </c>
      <c r="K13" s="50">
        <v>33443</v>
      </c>
      <c r="L13" s="50">
        <v>0</v>
      </c>
    </row>
    <row r="14" spans="1:12" s="6" customFormat="1" ht="23.5" customHeight="1">
      <c r="A14" s="33">
        <v>6</v>
      </c>
      <c r="B14" s="65" t="s">
        <v>48</v>
      </c>
      <c r="C14" s="77"/>
      <c r="D14" s="50" t="s">
        <v>47</v>
      </c>
      <c r="E14" s="62">
        <v>46106</v>
      </c>
      <c r="F14" s="50" t="s">
        <v>77</v>
      </c>
      <c r="G14" s="80">
        <v>46106</v>
      </c>
      <c r="H14" s="77"/>
      <c r="I14" s="50">
        <v>168</v>
      </c>
      <c r="J14" s="34" t="s">
        <v>73</v>
      </c>
      <c r="K14" s="50">
        <v>9500</v>
      </c>
      <c r="L14" s="50">
        <v>0</v>
      </c>
    </row>
    <row r="15" spans="1:12" s="6" customFormat="1" ht="27.75" customHeight="1">
      <c r="A15" s="33">
        <v>7</v>
      </c>
      <c r="B15" s="65" t="s">
        <v>48</v>
      </c>
      <c r="C15" s="77"/>
      <c r="D15" s="50" t="s">
        <v>47</v>
      </c>
      <c r="E15" s="62">
        <v>46106</v>
      </c>
      <c r="F15" s="50" t="s">
        <v>77</v>
      </c>
      <c r="G15" s="80">
        <v>46106</v>
      </c>
      <c r="H15" s="77"/>
      <c r="I15" s="50">
        <v>169</v>
      </c>
      <c r="J15" s="34" t="s">
        <v>73</v>
      </c>
      <c r="K15" s="50">
        <v>9000</v>
      </c>
      <c r="L15" s="50">
        <v>0</v>
      </c>
    </row>
    <row r="16" spans="1:12" s="6" customFormat="1" ht="28.5" customHeight="1">
      <c r="A16" s="33">
        <v>8</v>
      </c>
      <c r="B16" s="65" t="s">
        <v>48</v>
      </c>
      <c r="C16" s="77"/>
      <c r="D16" s="50" t="s">
        <v>47</v>
      </c>
      <c r="E16" s="62">
        <v>46106</v>
      </c>
      <c r="F16" s="50" t="s">
        <v>71</v>
      </c>
      <c r="G16" s="80">
        <v>46106</v>
      </c>
      <c r="H16" s="77"/>
      <c r="I16" s="50">
        <v>170</v>
      </c>
      <c r="J16" s="34" t="s">
        <v>75</v>
      </c>
      <c r="K16" s="50">
        <v>500</v>
      </c>
      <c r="L16" s="50">
        <v>0</v>
      </c>
    </row>
    <row r="17" spans="1:12" s="6" customFormat="1" ht="23.5" customHeight="1">
      <c r="A17" s="33">
        <v>9</v>
      </c>
      <c r="B17" s="65" t="s">
        <v>48</v>
      </c>
      <c r="C17" s="77"/>
      <c r="D17" s="50" t="s">
        <v>47</v>
      </c>
      <c r="E17" s="62">
        <v>46108</v>
      </c>
      <c r="F17" s="50" t="s">
        <v>78</v>
      </c>
      <c r="G17" s="80">
        <v>46108</v>
      </c>
      <c r="H17" s="66"/>
      <c r="I17" s="50">
        <v>166</v>
      </c>
      <c r="J17" s="34" t="s">
        <v>79</v>
      </c>
      <c r="K17" s="64">
        <v>10791.63</v>
      </c>
      <c r="L17" s="50">
        <v>0</v>
      </c>
    </row>
    <row r="18" spans="1:12" s="6" customFormat="1" ht="23.5" customHeight="1">
      <c r="A18" s="33">
        <v>10</v>
      </c>
      <c r="B18" s="65" t="s">
        <v>48</v>
      </c>
      <c r="C18" s="77"/>
      <c r="D18" s="50"/>
      <c r="E18" s="50"/>
      <c r="F18" s="50"/>
      <c r="G18" s="65"/>
      <c r="H18" s="66"/>
      <c r="I18" s="50"/>
      <c r="J18" s="34"/>
      <c r="K18" s="50"/>
      <c r="L18" s="50"/>
    </row>
    <row r="19" spans="1:12" s="6" customFormat="1" ht="23.5" customHeight="1">
      <c r="A19" s="33">
        <v>11</v>
      </c>
      <c r="B19" s="65" t="s">
        <v>48</v>
      </c>
      <c r="C19" s="77"/>
      <c r="D19" s="50"/>
      <c r="E19" s="50"/>
      <c r="F19" s="50"/>
      <c r="G19" s="65"/>
      <c r="H19" s="66"/>
      <c r="I19" s="50"/>
      <c r="J19" s="34"/>
      <c r="K19" s="50"/>
      <c r="L19" s="50"/>
    </row>
    <row r="20" spans="1:12" s="6" customFormat="1" ht="23.5" customHeight="1">
      <c r="A20" s="33">
        <v>12</v>
      </c>
      <c r="B20" s="65" t="s">
        <v>48</v>
      </c>
      <c r="C20" s="77"/>
      <c r="D20" s="50"/>
      <c r="E20" s="50"/>
      <c r="F20" s="50"/>
      <c r="G20" s="65"/>
      <c r="H20" s="66"/>
      <c r="I20" s="50"/>
      <c r="J20" s="34"/>
      <c r="K20" s="50"/>
      <c r="L20" s="50"/>
    </row>
    <row r="21" spans="1:12" s="6" customFormat="1" ht="23.5" customHeight="1">
      <c r="A21" s="33">
        <v>13</v>
      </c>
      <c r="B21" s="65" t="s">
        <v>48</v>
      </c>
      <c r="C21" s="77"/>
      <c r="D21" s="50"/>
      <c r="E21" s="50"/>
      <c r="F21" s="50"/>
      <c r="G21" s="65"/>
      <c r="H21" s="66"/>
      <c r="I21" s="50"/>
      <c r="J21" s="34"/>
      <c r="K21" s="50"/>
      <c r="L21" s="50"/>
    </row>
    <row r="22" spans="1:12" s="6" customFormat="1" ht="23.5" customHeight="1">
      <c r="A22" s="33">
        <v>14</v>
      </c>
      <c r="B22" s="65" t="s">
        <v>48</v>
      </c>
      <c r="C22" s="77"/>
      <c r="D22" s="50"/>
      <c r="E22" s="50"/>
      <c r="F22" s="50"/>
      <c r="G22" s="65"/>
      <c r="H22" s="66"/>
      <c r="I22" s="50"/>
      <c r="J22" s="34"/>
      <c r="K22" s="50"/>
      <c r="L22" s="50"/>
    </row>
    <row r="23" spans="1:12" s="6" customFormat="1" ht="23.5" customHeight="1">
      <c r="A23" s="33">
        <v>15</v>
      </c>
      <c r="B23" s="65" t="s">
        <v>48</v>
      </c>
      <c r="C23" s="77"/>
      <c r="D23" s="50"/>
      <c r="E23" s="50"/>
      <c r="F23" s="50"/>
      <c r="G23" s="65"/>
      <c r="H23" s="66"/>
      <c r="I23" s="50"/>
      <c r="J23" s="34"/>
      <c r="K23" s="50"/>
      <c r="L23" s="50"/>
    </row>
    <row r="24" spans="1:12" s="6" customFormat="1" ht="27" customHeight="1">
      <c r="A24" s="33">
        <v>16</v>
      </c>
      <c r="B24" s="65" t="s">
        <v>48</v>
      </c>
      <c r="C24" s="77"/>
      <c r="D24" s="50"/>
      <c r="E24" s="50"/>
      <c r="F24" s="50"/>
      <c r="G24" s="65"/>
      <c r="H24" s="66"/>
      <c r="I24" s="50"/>
      <c r="J24" s="34"/>
      <c r="K24" s="50"/>
      <c r="L24" s="50"/>
    </row>
    <row r="25" spans="1:12" s="6" customFormat="1" ht="23.5" customHeight="1">
      <c r="A25" s="33">
        <v>17</v>
      </c>
      <c r="B25" s="65" t="s">
        <v>48</v>
      </c>
      <c r="C25" s="77"/>
      <c r="D25" s="50"/>
      <c r="E25" s="50"/>
      <c r="F25" s="50"/>
      <c r="G25" s="65"/>
      <c r="H25" s="66"/>
      <c r="I25" s="50"/>
      <c r="J25" s="34"/>
      <c r="K25" s="50"/>
      <c r="L25" s="50"/>
    </row>
    <row r="26" spans="1:12" s="6" customFormat="1" ht="27.75" customHeight="1">
      <c r="A26" s="33">
        <v>18</v>
      </c>
      <c r="B26" s="65" t="s">
        <v>48</v>
      </c>
      <c r="C26" s="77"/>
      <c r="D26" s="50"/>
      <c r="E26" s="50"/>
      <c r="F26" s="50"/>
      <c r="G26" s="65"/>
      <c r="H26" s="66"/>
      <c r="I26" s="50"/>
      <c r="J26" s="34"/>
      <c r="K26" s="50"/>
      <c r="L26" s="50"/>
    </row>
    <row r="27" spans="1:12" s="6" customFormat="1" ht="25.5" customHeight="1">
      <c r="A27" s="33">
        <v>19</v>
      </c>
      <c r="B27" s="65" t="s">
        <v>48</v>
      </c>
      <c r="C27" s="77"/>
      <c r="D27" s="50"/>
      <c r="E27" s="50"/>
      <c r="F27" s="50"/>
      <c r="G27" s="65"/>
      <c r="H27" s="66"/>
      <c r="I27" s="50"/>
      <c r="J27" s="34"/>
      <c r="K27" s="50"/>
      <c r="L27" s="50"/>
    </row>
    <row r="28" spans="1:12" s="6" customFormat="1" ht="26.25" customHeight="1">
      <c r="A28" s="33">
        <v>20</v>
      </c>
      <c r="B28" s="65" t="s">
        <v>48</v>
      </c>
      <c r="C28" s="77"/>
      <c r="D28" s="50"/>
      <c r="E28" s="50"/>
      <c r="F28" s="50"/>
      <c r="G28" s="65"/>
      <c r="H28" s="66"/>
      <c r="I28" s="50"/>
      <c r="J28" s="34"/>
      <c r="K28" s="50"/>
      <c r="L28" s="50"/>
    </row>
    <row r="29" spans="1:12" s="6" customFormat="1" ht="23.5" customHeight="1">
      <c r="A29" s="33">
        <v>21</v>
      </c>
      <c r="B29" s="65" t="s">
        <v>48</v>
      </c>
      <c r="C29" s="77"/>
      <c r="D29" s="50"/>
      <c r="E29" s="50"/>
      <c r="F29" s="50"/>
      <c r="G29" s="65"/>
      <c r="H29" s="66"/>
      <c r="I29" s="50"/>
      <c r="J29" s="35"/>
      <c r="K29" s="50"/>
      <c r="L29" s="50"/>
    </row>
    <row r="30" spans="1:12" s="6" customFormat="1" ht="23.5" customHeight="1">
      <c r="A30" s="33">
        <v>22</v>
      </c>
      <c r="B30" s="65" t="s">
        <v>48</v>
      </c>
      <c r="C30" s="77"/>
      <c r="D30" s="50"/>
      <c r="E30" s="50"/>
      <c r="F30" s="50"/>
      <c r="G30" s="65"/>
      <c r="H30" s="66"/>
      <c r="I30" s="50"/>
      <c r="J30" s="35"/>
      <c r="K30" s="50"/>
      <c r="L30" s="50"/>
    </row>
    <row r="31" spans="1:12" s="6" customFormat="1" ht="23.5" customHeight="1">
      <c r="A31" s="33">
        <v>23</v>
      </c>
      <c r="B31" s="65" t="s">
        <v>48</v>
      </c>
      <c r="C31" s="77"/>
      <c r="D31" s="50"/>
      <c r="E31" s="50"/>
      <c r="F31" s="50"/>
      <c r="G31" s="65"/>
      <c r="H31" s="66"/>
      <c r="I31" s="50"/>
      <c r="J31" s="35"/>
      <c r="K31" s="50"/>
      <c r="L31" s="50"/>
    </row>
    <row r="32" spans="1:12" s="6" customFormat="1" ht="23.5" customHeight="1">
      <c r="A32" s="33">
        <v>24</v>
      </c>
      <c r="B32" s="65" t="s">
        <v>48</v>
      </c>
      <c r="C32" s="77"/>
      <c r="D32" s="50"/>
      <c r="E32" s="50"/>
      <c r="F32" s="50"/>
      <c r="G32" s="65"/>
      <c r="H32" s="66"/>
      <c r="I32" s="50"/>
      <c r="J32" s="35"/>
      <c r="K32" s="50"/>
      <c r="L32" s="50"/>
    </row>
    <row r="33" spans="1:12" s="6" customFormat="1" ht="23.5" customHeight="1">
      <c r="A33" s="33">
        <v>25</v>
      </c>
      <c r="B33" s="65" t="s">
        <v>48</v>
      </c>
      <c r="C33" s="77"/>
      <c r="D33" s="50"/>
      <c r="E33" s="50"/>
      <c r="F33" s="50"/>
      <c r="G33" s="65"/>
      <c r="H33" s="66"/>
      <c r="I33" s="50"/>
      <c r="J33" s="35"/>
      <c r="K33" s="50"/>
      <c r="L33" s="50"/>
    </row>
    <row r="34" spans="1:12" s="6" customFormat="1" ht="23.5" customHeight="1">
      <c r="A34" s="33">
        <v>26</v>
      </c>
      <c r="B34" s="65" t="s">
        <v>48</v>
      </c>
      <c r="C34" s="77"/>
      <c r="D34" s="50"/>
      <c r="E34" s="50"/>
      <c r="F34" s="50"/>
      <c r="G34" s="65"/>
      <c r="H34" s="66"/>
      <c r="I34" s="50"/>
      <c r="J34" s="35"/>
      <c r="K34" s="50"/>
      <c r="L34" s="50"/>
    </row>
    <row r="35" spans="1:12" s="6" customFormat="1" ht="23.5" customHeight="1">
      <c r="A35" s="33">
        <v>27</v>
      </c>
      <c r="B35" s="65" t="s">
        <v>48</v>
      </c>
      <c r="C35" s="77"/>
      <c r="D35" s="50"/>
      <c r="E35" s="50"/>
      <c r="F35" s="50"/>
      <c r="G35" s="65"/>
      <c r="H35" s="66"/>
      <c r="I35" s="50"/>
      <c r="J35" s="35"/>
      <c r="K35" s="50"/>
      <c r="L35" s="50"/>
    </row>
    <row r="36" spans="1:12" s="6" customFormat="1" ht="23.5" customHeight="1">
      <c r="A36" s="33">
        <v>28</v>
      </c>
      <c r="B36" s="65" t="s">
        <v>48</v>
      </c>
      <c r="C36" s="77"/>
      <c r="D36" s="50"/>
      <c r="E36" s="50"/>
      <c r="F36" s="50"/>
      <c r="G36" s="65"/>
      <c r="H36" s="66"/>
      <c r="I36" s="50"/>
      <c r="J36" s="35"/>
      <c r="K36" s="50"/>
      <c r="L36" s="50"/>
    </row>
    <row r="37" spans="1:12" s="6" customFormat="1" ht="23.5" customHeight="1">
      <c r="A37" s="33">
        <v>29</v>
      </c>
      <c r="B37" s="65" t="s">
        <v>48</v>
      </c>
      <c r="C37" s="77"/>
      <c r="D37" s="50"/>
      <c r="E37" s="50"/>
      <c r="F37" s="50"/>
      <c r="G37" s="65"/>
      <c r="H37" s="66"/>
      <c r="I37" s="50"/>
      <c r="J37" s="35"/>
      <c r="K37" s="50"/>
      <c r="L37" s="50"/>
    </row>
    <row r="38" spans="1:12" s="46" customFormat="1" ht="23.5" customHeight="1">
      <c r="A38" s="75" t="s">
        <v>13</v>
      </c>
      <c r="B38" s="83"/>
      <c r="C38" s="83"/>
      <c r="D38" s="83"/>
      <c r="E38" s="83"/>
      <c r="F38" s="83"/>
      <c r="G38" s="83"/>
      <c r="H38" s="83"/>
      <c r="I38" s="83"/>
      <c r="J38" s="76"/>
      <c r="K38" s="61">
        <f>SUM(K9:K37)</f>
        <v>71234.63</v>
      </c>
      <c r="L38" s="61">
        <f>SUM(L9:L37)</f>
        <v>0</v>
      </c>
    </row>
    <row r="39" spans="1:12" s="9" customFormat="1" ht="4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s="6" customFormat="1">
      <c r="A40" s="10"/>
      <c r="B40" s="11"/>
      <c r="C40" s="11"/>
      <c r="J40" s="81" t="s">
        <v>3</v>
      </c>
      <c r="K40" s="81"/>
      <c r="L40" s="81"/>
    </row>
    <row r="41" spans="1:12" s="6" customFormat="1">
      <c r="A41" s="10"/>
      <c r="B41" s="11"/>
      <c r="C41" s="11"/>
      <c r="J41" s="1"/>
    </row>
    <row r="42" spans="1:12">
      <c r="J42" s="1"/>
    </row>
    <row r="43" spans="1:12">
      <c r="J43" s="82" t="s">
        <v>4</v>
      </c>
      <c r="K43" s="82"/>
      <c r="L43" s="82"/>
    </row>
  </sheetData>
  <mergeCells count="79"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B34:C34"/>
    <mergeCell ref="J40:L40"/>
    <mergeCell ref="J43:L43"/>
    <mergeCell ref="B35:C35"/>
    <mergeCell ref="B36:C36"/>
    <mergeCell ref="B37:C37"/>
    <mergeCell ref="G36:H36"/>
    <mergeCell ref="G37:H37"/>
    <mergeCell ref="A38:J38"/>
    <mergeCell ref="B32:C32"/>
    <mergeCell ref="B33:C33"/>
    <mergeCell ref="B26:C26"/>
    <mergeCell ref="B27:C27"/>
    <mergeCell ref="B28:C28"/>
    <mergeCell ref="B29:C29"/>
    <mergeCell ref="B30:C30"/>
    <mergeCell ref="B31:C31"/>
    <mergeCell ref="B23:C23"/>
    <mergeCell ref="B24:C24"/>
    <mergeCell ref="B25:C25"/>
    <mergeCell ref="G23:H23"/>
    <mergeCell ref="G24:H24"/>
    <mergeCell ref="G25:H25"/>
    <mergeCell ref="B20:C20"/>
    <mergeCell ref="B21:C21"/>
    <mergeCell ref="B22:C22"/>
    <mergeCell ref="G20:H20"/>
    <mergeCell ref="G21:H21"/>
    <mergeCell ref="G22:H22"/>
    <mergeCell ref="B17:C17"/>
    <mergeCell ref="B18:C18"/>
    <mergeCell ref="B19:C19"/>
    <mergeCell ref="G17:H17"/>
    <mergeCell ref="G18:H18"/>
    <mergeCell ref="G19:H19"/>
    <mergeCell ref="B14:C14"/>
    <mergeCell ref="B15:C15"/>
    <mergeCell ref="B16:C16"/>
    <mergeCell ref="G14:H14"/>
    <mergeCell ref="G15:H15"/>
    <mergeCell ref="G16:H16"/>
    <mergeCell ref="B11:C11"/>
    <mergeCell ref="B12:C12"/>
    <mergeCell ref="B13:C13"/>
    <mergeCell ref="G11:H11"/>
    <mergeCell ref="G12:H12"/>
    <mergeCell ref="G13:H13"/>
    <mergeCell ref="B8:C8"/>
    <mergeCell ref="B9:C9"/>
    <mergeCell ref="B10:C10"/>
    <mergeCell ref="G8:H8"/>
    <mergeCell ref="G9:H9"/>
    <mergeCell ref="G10:H10"/>
    <mergeCell ref="D7:F7"/>
    <mergeCell ref="G7:H7"/>
    <mergeCell ref="I7:L7"/>
    <mergeCell ref="A7:C7"/>
    <mergeCell ref="A1:L1"/>
    <mergeCell ref="A2:L2"/>
    <mergeCell ref="A3:L3"/>
    <mergeCell ref="A4:B4"/>
    <mergeCell ref="D4:F4"/>
    <mergeCell ref="I4:L4"/>
    <mergeCell ref="A5:B5"/>
    <mergeCell ref="D5:F5"/>
    <mergeCell ref="I5:L5"/>
    <mergeCell ref="A6:B6"/>
    <mergeCell ref="D6:F6"/>
    <mergeCell ref="I6:L6"/>
  </mergeCells>
  <conditionalFormatting sqref="J9:J17">
    <cfRule type="duplicateValues" dxfId="24" priority="9"/>
  </conditionalFormatting>
  <conditionalFormatting sqref="J18:J19">
    <cfRule type="duplicateValues" dxfId="23" priority="8"/>
  </conditionalFormatting>
  <conditionalFormatting sqref="J20:J23">
    <cfRule type="duplicateValues" dxfId="22" priority="7"/>
  </conditionalFormatting>
  <conditionalFormatting sqref="J24">
    <cfRule type="duplicateValues" dxfId="21" priority="6"/>
  </conditionalFormatting>
  <conditionalFormatting sqref="J25">
    <cfRule type="duplicateValues" dxfId="20" priority="5"/>
  </conditionalFormatting>
  <conditionalFormatting sqref="J26:J28">
    <cfRule type="duplicateValues" dxfId="19" priority="4"/>
  </conditionalFormatting>
  <printOptions horizontalCentered="1"/>
  <pageMargins left="0.23622047244094491" right="0" top="0.74803149606299213" bottom="0.51181102362204722" header="0.51181102362204722" footer="0.23622047244094491"/>
  <pageSetup paperSize="9" scale="75" orientation="landscape" r:id="rId1"/>
  <headerFooter>
    <oddFooter>&amp;L&amp;F&amp;R&amp;A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31"/>
  <sheetViews>
    <sheetView topLeftCell="A8" workbookViewId="0">
      <selection activeCell="E5" sqref="E5:E6"/>
    </sheetView>
  </sheetViews>
  <sheetFormatPr defaultColWidth="8.7265625" defaultRowHeight="12.5"/>
  <cols>
    <col min="1" max="1" width="4.7265625" style="21" customWidth="1"/>
    <col min="2" max="2" width="36.453125" style="21" customWidth="1"/>
    <col min="3" max="3" width="23.54296875" style="21" customWidth="1"/>
    <col min="4" max="4" width="22.81640625" style="21" customWidth="1"/>
    <col min="5" max="5" width="49.36328125" style="21" customWidth="1"/>
    <col min="6" max="16384" width="8.7265625" style="20"/>
  </cols>
  <sheetData>
    <row r="1" spans="1:12" ht="20.25" customHeight="1">
      <c r="A1" s="86" t="s">
        <v>43</v>
      </c>
      <c r="B1" s="86"/>
      <c r="C1" s="86"/>
      <c r="D1" s="86"/>
      <c r="E1" s="86"/>
      <c r="G1"/>
      <c r="H1"/>
      <c r="I1"/>
      <c r="J1"/>
      <c r="K1"/>
      <c r="L1"/>
    </row>
    <row r="2" spans="1:12" ht="20.25" customHeight="1">
      <c r="A2" s="86" t="s">
        <v>41</v>
      </c>
      <c r="B2" s="86"/>
      <c r="C2" s="86"/>
      <c r="D2" s="86"/>
      <c r="E2" s="86"/>
    </row>
    <row r="3" spans="1:12" ht="20">
      <c r="A3" s="86" t="s">
        <v>23</v>
      </c>
      <c r="B3" s="86"/>
      <c r="C3" s="86"/>
      <c r="D3" s="86"/>
      <c r="E3" s="86"/>
    </row>
    <row r="4" spans="1:12" s="5" customFormat="1" ht="14.5">
      <c r="A4" s="85" t="s">
        <v>25</v>
      </c>
      <c r="B4" s="85"/>
      <c r="C4" s="48" t="s">
        <v>69</v>
      </c>
      <c r="D4" s="3" t="s">
        <v>45</v>
      </c>
      <c r="E4" s="49" t="s">
        <v>46</v>
      </c>
      <c r="G4"/>
      <c r="H4"/>
      <c r="I4"/>
      <c r="J4"/>
    </row>
    <row r="5" spans="1:12" s="5" customFormat="1" ht="14.5">
      <c r="A5" s="85" t="s">
        <v>26</v>
      </c>
      <c r="B5" s="85"/>
      <c r="C5" s="48" t="s">
        <v>70</v>
      </c>
      <c r="D5" s="3" t="s">
        <v>52</v>
      </c>
      <c r="E5" s="55">
        <v>16710100008622</v>
      </c>
      <c r="G5"/>
      <c r="H5"/>
      <c r="I5"/>
      <c r="J5"/>
    </row>
    <row r="6" spans="1:12" s="5" customFormat="1" ht="14.5">
      <c r="A6" s="85" t="s">
        <v>27</v>
      </c>
      <c r="B6" s="85"/>
      <c r="C6" s="48" t="s">
        <v>70</v>
      </c>
      <c r="D6" s="3" t="s">
        <v>53</v>
      </c>
      <c r="E6" s="56" t="s">
        <v>68</v>
      </c>
      <c r="F6" s="57"/>
      <c r="G6" s="57"/>
      <c r="H6" s="57"/>
      <c r="I6"/>
      <c r="J6"/>
    </row>
    <row r="7" spans="1:12" s="5" customFormat="1" ht="14.5">
      <c r="A7" s="85" t="s">
        <v>28</v>
      </c>
      <c r="B7" s="85"/>
      <c r="C7" s="48">
        <v>24210101701</v>
      </c>
      <c r="D7" s="3" t="s">
        <v>54</v>
      </c>
      <c r="E7" s="49" t="s">
        <v>55</v>
      </c>
      <c r="G7"/>
      <c r="H7"/>
      <c r="I7"/>
      <c r="J7"/>
    </row>
    <row r="8" spans="1:12" s="2" customFormat="1" ht="28.5" customHeight="1">
      <c r="A8" s="47" t="s">
        <v>0</v>
      </c>
      <c r="B8" s="47" t="s">
        <v>14</v>
      </c>
      <c r="C8" s="47" t="s">
        <v>66</v>
      </c>
      <c r="D8" s="47" t="s">
        <v>67</v>
      </c>
      <c r="E8" s="47" t="s">
        <v>30</v>
      </c>
    </row>
    <row r="9" spans="1:12" ht="14.5">
      <c r="A9" s="39">
        <v>1</v>
      </c>
      <c r="B9" s="34" t="s">
        <v>57</v>
      </c>
      <c r="C9" s="51">
        <v>2164.63</v>
      </c>
      <c r="D9" s="51">
        <v>2164.63</v>
      </c>
      <c r="E9" s="52">
        <v>0</v>
      </c>
    </row>
    <row r="10" spans="1:12" ht="14.5">
      <c r="A10" s="39">
        <v>2</v>
      </c>
      <c r="B10" s="34" t="s">
        <v>80</v>
      </c>
      <c r="C10" s="51">
        <v>8627</v>
      </c>
      <c r="D10" s="51">
        <v>8627</v>
      </c>
      <c r="E10" s="52">
        <v>0</v>
      </c>
    </row>
    <row r="11" spans="1:12" ht="14.5">
      <c r="A11" s="39">
        <v>3</v>
      </c>
      <c r="B11" s="34" t="s">
        <v>81</v>
      </c>
      <c r="C11" s="51">
        <v>200</v>
      </c>
      <c r="D11" s="51">
        <v>0</v>
      </c>
      <c r="E11" s="52">
        <v>200</v>
      </c>
    </row>
    <row r="12" spans="1:12" ht="14.5">
      <c r="A12" s="39">
        <v>4</v>
      </c>
      <c r="B12" s="34" t="s">
        <v>72</v>
      </c>
      <c r="C12" s="51">
        <v>1100</v>
      </c>
      <c r="D12" s="51">
        <v>1100</v>
      </c>
      <c r="E12" s="52">
        <v>0</v>
      </c>
    </row>
    <row r="13" spans="1:12" ht="14.5">
      <c r="A13" s="39">
        <v>5</v>
      </c>
      <c r="B13" s="34" t="s">
        <v>75</v>
      </c>
      <c r="C13" s="51">
        <v>1000</v>
      </c>
      <c r="D13" s="51">
        <v>1000</v>
      </c>
      <c r="E13" s="52">
        <v>0</v>
      </c>
    </row>
    <row r="14" spans="1:12" ht="14.5">
      <c r="A14" s="39">
        <v>6</v>
      </c>
      <c r="B14" s="34" t="s">
        <v>82</v>
      </c>
      <c r="C14" s="51">
        <v>1243.51</v>
      </c>
      <c r="D14" s="51">
        <v>0</v>
      </c>
      <c r="E14" s="52">
        <v>1243.51</v>
      </c>
    </row>
    <row r="15" spans="1:12" ht="14.5">
      <c r="A15" s="39">
        <v>7</v>
      </c>
      <c r="B15" s="34" t="s">
        <v>73</v>
      </c>
      <c r="C15" s="51">
        <v>57143</v>
      </c>
      <c r="D15" s="51">
        <v>57143</v>
      </c>
      <c r="E15" s="52">
        <v>0</v>
      </c>
    </row>
    <row r="16" spans="1:12" ht="14.5">
      <c r="A16" s="39">
        <v>8</v>
      </c>
      <c r="B16" s="34" t="s">
        <v>74</v>
      </c>
      <c r="C16" s="51">
        <v>1200</v>
      </c>
      <c r="D16" s="51">
        <v>1200</v>
      </c>
      <c r="E16" s="52">
        <v>0</v>
      </c>
    </row>
    <row r="17" spans="1:5" ht="14.5">
      <c r="A17" s="39">
        <v>9</v>
      </c>
      <c r="B17" s="34"/>
      <c r="C17" s="36"/>
      <c r="D17" s="36"/>
      <c r="E17" s="37"/>
    </row>
    <row r="18" spans="1:5" ht="14.5">
      <c r="A18" s="39">
        <v>10</v>
      </c>
      <c r="B18" s="34"/>
      <c r="C18" s="36"/>
      <c r="D18" s="36"/>
      <c r="E18" s="37"/>
    </row>
    <row r="19" spans="1:5" ht="14.5">
      <c r="A19" s="39">
        <v>11</v>
      </c>
      <c r="B19" s="34"/>
      <c r="C19" s="36"/>
      <c r="D19" s="36"/>
      <c r="E19" s="37"/>
    </row>
    <row r="20" spans="1:5" ht="14.5">
      <c r="A20" s="39">
        <v>12</v>
      </c>
      <c r="B20" s="34"/>
      <c r="C20" s="36"/>
      <c r="D20" s="36"/>
      <c r="E20" s="37"/>
    </row>
    <row r="21" spans="1:5" ht="14.5">
      <c r="A21" s="39">
        <v>13</v>
      </c>
      <c r="B21" s="34"/>
      <c r="C21" s="36"/>
      <c r="D21" s="36"/>
      <c r="E21" s="37"/>
    </row>
    <row r="22" spans="1:5" ht="14.5">
      <c r="A22" s="39">
        <v>14</v>
      </c>
      <c r="B22" s="34"/>
      <c r="C22" s="36"/>
      <c r="D22" s="36"/>
      <c r="E22" s="37"/>
    </row>
    <row r="23" spans="1:5" ht="14.5">
      <c r="A23" s="39">
        <v>15</v>
      </c>
      <c r="B23" s="34"/>
      <c r="C23" s="36"/>
      <c r="D23" s="36"/>
      <c r="E23" s="37"/>
    </row>
    <row r="24" spans="1:5" ht="15.5">
      <c r="A24" s="22"/>
      <c r="B24" s="53" t="s">
        <v>13</v>
      </c>
      <c r="C24" s="54">
        <f>SUM(C9:C23)</f>
        <v>72678.14</v>
      </c>
      <c r="D24" s="54">
        <f>SUM(D9:D23)</f>
        <v>71234.63</v>
      </c>
      <c r="E24" s="54">
        <f>SUM(E9:E23)</f>
        <v>1443.51</v>
      </c>
    </row>
    <row r="26" spans="1:5" ht="14.5">
      <c r="D26" s="81" t="s">
        <v>3</v>
      </c>
      <c r="E26" s="81"/>
    </row>
    <row r="27" spans="1:5" ht="14.5">
      <c r="D27" s="1"/>
      <c r="E27" s="6"/>
    </row>
    <row r="28" spans="1:5" ht="14.5">
      <c r="D28" s="1"/>
      <c r="E28" s="12"/>
    </row>
    <row r="29" spans="1:5" ht="14.5">
      <c r="D29" s="82" t="s">
        <v>4</v>
      </c>
      <c r="E29" s="82"/>
    </row>
    <row r="31" spans="1:5">
      <c r="A31" s="38" t="s">
        <v>29</v>
      </c>
      <c r="B31" s="84" t="s">
        <v>58</v>
      </c>
      <c r="C31" s="84"/>
      <c r="D31" s="84"/>
      <c r="E31" s="84"/>
    </row>
  </sheetData>
  <mergeCells count="10">
    <mergeCell ref="A1:E1"/>
    <mergeCell ref="A2:E2"/>
    <mergeCell ref="A3:E3"/>
    <mergeCell ref="D26:E26"/>
    <mergeCell ref="A7:B7"/>
    <mergeCell ref="B31:E31"/>
    <mergeCell ref="A4:B4"/>
    <mergeCell ref="A5:B5"/>
    <mergeCell ref="A6:B6"/>
    <mergeCell ref="D29:E29"/>
  </mergeCells>
  <conditionalFormatting sqref="B9:B15">
    <cfRule type="duplicateValues" dxfId="18" priority="2"/>
  </conditionalFormatting>
  <conditionalFormatting sqref="B16:B17">
    <cfRule type="duplicateValues" dxfId="17" priority="8"/>
  </conditionalFormatting>
  <conditionalFormatting sqref="B18:B19">
    <cfRule type="duplicateValues" dxfId="16" priority="7"/>
  </conditionalFormatting>
  <conditionalFormatting sqref="B20:B23">
    <cfRule type="duplicateValues" dxfId="15" priority="6"/>
  </conditionalFormatting>
  <printOptions horizontalCentered="1"/>
  <pageMargins left="0.31496062992125984" right="0" top="0.98425196850393704" bottom="0.51181102362204722" header="0.51181102362204722" footer="0.23622047244094491"/>
  <pageSetup scale="90" orientation="landscape" r:id="rId1"/>
  <headerFooter>
    <oddFooter>&amp;L&amp;F&amp;R&amp;A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O33"/>
  <sheetViews>
    <sheetView topLeftCell="A3" workbookViewId="0">
      <selection activeCell="G16" sqref="G16"/>
    </sheetView>
  </sheetViews>
  <sheetFormatPr defaultColWidth="9.26953125" defaultRowHeight="20"/>
  <cols>
    <col min="1" max="1" width="13.54296875" style="13" customWidth="1"/>
    <col min="2" max="2" width="3.81640625" style="13" customWidth="1"/>
    <col min="3" max="3" width="43.7265625" style="13" customWidth="1"/>
    <col min="4" max="4" width="22.81640625" style="13" customWidth="1"/>
    <col min="5" max="5" width="4.26953125" style="13" customWidth="1"/>
    <col min="6" max="6" width="23" style="13" customWidth="1"/>
    <col min="7" max="7" width="21.1796875" style="13" customWidth="1"/>
    <col min="8" max="16384" width="9.26953125" style="13"/>
  </cols>
  <sheetData>
    <row r="1" spans="1:15" ht="23">
      <c r="A1" s="87" t="s">
        <v>43</v>
      </c>
      <c r="B1" s="87"/>
      <c r="C1" s="87"/>
      <c r="D1" s="87"/>
      <c r="E1" s="87"/>
      <c r="F1" s="87"/>
      <c r="G1" s="87"/>
      <c r="I1"/>
      <c r="J1"/>
      <c r="K1"/>
      <c r="L1"/>
      <c r="M1"/>
      <c r="N1"/>
      <c r="O1"/>
    </row>
    <row r="2" spans="1:15" ht="23">
      <c r="A2" s="87" t="s">
        <v>24</v>
      </c>
      <c r="B2" s="87"/>
      <c r="C2" s="87"/>
      <c r="D2" s="87"/>
      <c r="E2" s="87"/>
      <c r="F2" s="87"/>
      <c r="G2" s="87"/>
    </row>
    <row r="3" spans="1:15" ht="23">
      <c r="A3" s="87" t="s">
        <v>23</v>
      </c>
      <c r="B3" s="87"/>
      <c r="C3" s="87"/>
      <c r="D3" s="87"/>
      <c r="E3" s="87"/>
      <c r="F3" s="87"/>
      <c r="G3" s="87"/>
    </row>
    <row r="4" spans="1:15" s="12" customFormat="1" ht="28.5" customHeight="1">
      <c r="A4" s="29" t="s">
        <v>19</v>
      </c>
      <c r="B4" s="29" t="s">
        <v>5</v>
      </c>
      <c r="C4" s="48" t="s">
        <v>69</v>
      </c>
      <c r="D4" s="29" t="s">
        <v>45</v>
      </c>
      <c r="E4" s="29" t="s">
        <v>5</v>
      </c>
      <c r="F4" s="68" t="s">
        <v>46</v>
      </c>
      <c r="G4" s="68"/>
      <c r="H4" s="68"/>
      <c r="I4" s="68"/>
    </row>
    <row r="5" spans="1:15" s="12" customFormat="1" ht="25.9" customHeight="1">
      <c r="A5" s="29" t="s">
        <v>12</v>
      </c>
      <c r="B5" s="29" t="s">
        <v>5</v>
      </c>
      <c r="C5" s="48" t="s">
        <v>70</v>
      </c>
      <c r="D5" s="29" t="s">
        <v>52</v>
      </c>
      <c r="E5" s="29" t="s">
        <v>5</v>
      </c>
      <c r="F5" s="74">
        <v>16710100008622</v>
      </c>
      <c r="G5" s="74"/>
      <c r="H5" s="74"/>
      <c r="I5" s="74"/>
    </row>
    <row r="6" spans="1:15" s="12" customFormat="1" ht="25.9" customHeight="1">
      <c r="A6" s="29" t="s">
        <v>2</v>
      </c>
      <c r="B6" s="29" t="s">
        <v>5</v>
      </c>
      <c r="C6" s="48" t="s">
        <v>83</v>
      </c>
      <c r="D6" s="29" t="s">
        <v>59</v>
      </c>
      <c r="E6" s="29" t="s">
        <v>5</v>
      </c>
      <c r="F6" s="68" t="s">
        <v>68</v>
      </c>
      <c r="G6" s="68"/>
      <c r="H6" s="68"/>
      <c r="I6" s="68"/>
    </row>
    <row r="7" spans="1:15" s="12" customFormat="1" ht="28.5" customHeight="1">
      <c r="A7" s="25" t="s">
        <v>28</v>
      </c>
      <c r="B7" s="29" t="s">
        <v>5</v>
      </c>
      <c r="C7" s="40">
        <v>24210101701</v>
      </c>
      <c r="D7" s="41" t="s">
        <v>31</v>
      </c>
      <c r="E7" s="29" t="s">
        <v>5</v>
      </c>
      <c r="F7" s="88">
        <v>7436005036</v>
      </c>
      <c r="G7" s="88"/>
      <c r="H7" s="88"/>
      <c r="I7" s="88"/>
    </row>
    <row r="8" spans="1:15" ht="25.9" customHeight="1">
      <c r="A8" s="89" t="s">
        <v>42</v>
      </c>
      <c r="B8" s="90"/>
      <c r="C8" s="90"/>
      <c r="D8" s="90"/>
      <c r="E8" s="91"/>
      <c r="F8" s="26" t="s">
        <v>60</v>
      </c>
      <c r="G8" s="26" t="s">
        <v>61</v>
      </c>
    </row>
    <row r="9" spans="1:15" ht="25.9" customHeight="1">
      <c r="A9" s="97" t="s">
        <v>22</v>
      </c>
      <c r="B9" s="98"/>
      <c r="C9" s="94" t="s">
        <v>20</v>
      </c>
      <c r="D9" s="94"/>
      <c r="E9" s="94"/>
      <c r="F9" s="45">
        <v>41283.379999999997</v>
      </c>
      <c r="G9" s="43"/>
    </row>
    <row r="10" spans="1:15" s="14" customFormat="1" ht="25.9" customHeight="1">
      <c r="A10" s="92">
        <v>1</v>
      </c>
      <c r="B10" s="93"/>
      <c r="C10" s="95" t="s">
        <v>6</v>
      </c>
      <c r="D10" s="96"/>
      <c r="E10" s="96"/>
      <c r="F10" s="45">
        <v>0</v>
      </c>
      <c r="G10" s="43"/>
    </row>
    <row r="11" spans="1:15" s="14" customFormat="1" ht="25.9" customHeight="1">
      <c r="A11" s="92">
        <v>2</v>
      </c>
      <c r="B11" s="93"/>
      <c r="C11" s="95" t="s">
        <v>7</v>
      </c>
      <c r="D11" s="96"/>
      <c r="E11" s="96"/>
      <c r="F11" s="45">
        <v>0</v>
      </c>
      <c r="G11" s="43"/>
    </row>
    <row r="12" spans="1:15" s="15" customFormat="1" ht="25.9" customHeight="1">
      <c r="A12" s="111"/>
      <c r="B12" s="112"/>
      <c r="C12" s="107" t="s">
        <v>8</v>
      </c>
      <c r="D12" s="108"/>
      <c r="E12" s="108"/>
      <c r="F12" s="44">
        <v>0</v>
      </c>
      <c r="G12" s="44"/>
    </row>
    <row r="13" spans="1:15" s="15" customFormat="1" ht="25.9" customHeight="1">
      <c r="A13" s="102" t="s">
        <v>21</v>
      </c>
      <c r="B13" s="103"/>
      <c r="C13" s="104"/>
      <c r="D13" s="113" t="s">
        <v>9</v>
      </c>
      <c r="E13" s="114"/>
      <c r="F13" s="44"/>
      <c r="G13" s="43"/>
    </row>
    <row r="14" spans="1:15" s="14" customFormat="1" ht="25.9" customHeight="1">
      <c r="A14" s="92">
        <v>1</v>
      </c>
      <c r="B14" s="93"/>
      <c r="C14" s="105" t="s">
        <v>10</v>
      </c>
      <c r="D14" s="106"/>
      <c r="E14" s="106"/>
      <c r="F14" s="45">
        <v>0</v>
      </c>
      <c r="G14" s="43"/>
    </row>
    <row r="15" spans="1:15" s="14" customFormat="1" ht="25.9" customHeight="1">
      <c r="A15" s="92">
        <v>2</v>
      </c>
      <c r="B15" s="93"/>
      <c r="C15" s="105" t="s">
        <v>11</v>
      </c>
      <c r="D15" s="106"/>
      <c r="E15" s="106"/>
      <c r="F15" s="45">
        <v>0</v>
      </c>
      <c r="G15" s="43"/>
    </row>
    <row r="16" spans="1:15" s="15" customFormat="1" ht="25.9" customHeight="1">
      <c r="A16" s="99"/>
      <c r="B16" s="100"/>
      <c r="C16" s="101"/>
      <c r="D16" s="107" t="s">
        <v>8</v>
      </c>
      <c r="E16" s="108"/>
      <c r="F16" s="44"/>
      <c r="G16" s="44"/>
    </row>
    <row r="17" spans="1:7" ht="25.9" customHeight="1">
      <c r="A17" s="109" t="s">
        <v>15</v>
      </c>
      <c r="B17" s="110"/>
      <c r="C17" s="110"/>
      <c r="D17" s="110"/>
      <c r="E17" s="110"/>
      <c r="F17" s="44">
        <v>1443.51</v>
      </c>
      <c r="G17" s="44"/>
    </row>
    <row r="18" spans="1:7" ht="2.5" customHeight="1">
      <c r="A18" s="16"/>
      <c r="B18" s="16"/>
      <c r="C18" s="17"/>
      <c r="D18" s="16"/>
      <c r="E18" s="16"/>
      <c r="F18" s="27"/>
      <c r="G18" s="28"/>
    </row>
    <row r="19" spans="1:7">
      <c r="C19" s="18"/>
      <c r="F19" s="81" t="s">
        <v>3</v>
      </c>
      <c r="G19" s="81"/>
    </row>
    <row r="20" spans="1:7">
      <c r="F20" s="1"/>
      <c r="G20" s="6"/>
    </row>
    <row r="21" spans="1:7">
      <c r="F21" s="1"/>
      <c r="G21" s="12"/>
    </row>
    <row r="22" spans="1:7">
      <c r="F22" s="82" t="s">
        <v>4</v>
      </c>
      <c r="G22" s="82"/>
    </row>
    <row r="23" spans="1:7" ht="22.5">
      <c r="G23" s="19"/>
    </row>
    <row r="24" spans="1:7" ht="22.5">
      <c r="G24" s="19"/>
    </row>
    <row r="25" spans="1:7" ht="22.5">
      <c r="G25" s="19"/>
    </row>
    <row r="26" spans="1:7" ht="22.5">
      <c r="G26" s="19"/>
    </row>
    <row r="27" spans="1:7" ht="22.5">
      <c r="G27" s="19"/>
    </row>
    <row r="28" spans="1:7" ht="22.5">
      <c r="G28" s="19"/>
    </row>
    <row r="29" spans="1:7" ht="22.5">
      <c r="G29" s="19"/>
    </row>
    <row r="30" spans="1:7" ht="22.5">
      <c r="G30" s="19"/>
    </row>
    <row r="31" spans="1:7" ht="22.5">
      <c r="G31" s="19"/>
    </row>
    <row r="32" spans="1:7" ht="22.5">
      <c r="G32" s="19"/>
    </row>
    <row r="33" spans="7:7" ht="22.5">
      <c r="G33" s="19"/>
    </row>
  </sheetData>
  <mergeCells count="27">
    <mergeCell ref="F22:G22"/>
    <mergeCell ref="A9:B9"/>
    <mergeCell ref="A15:B15"/>
    <mergeCell ref="A16:C16"/>
    <mergeCell ref="A13:C13"/>
    <mergeCell ref="A14:B14"/>
    <mergeCell ref="C15:E15"/>
    <mergeCell ref="D16:E16"/>
    <mergeCell ref="A17:E17"/>
    <mergeCell ref="A11:B11"/>
    <mergeCell ref="A12:B12"/>
    <mergeCell ref="C11:E11"/>
    <mergeCell ref="C12:E12"/>
    <mergeCell ref="D13:E13"/>
    <mergeCell ref="C14:E14"/>
    <mergeCell ref="A1:G1"/>
    <mergeCell ref="A2:G2"/>
    <mergeCell ref="A3:G3"/>
    <mergeCell ref="F4:I4"/>
    <mergeCell ref="F19:G19"/>
    <mergeCell ref="F5:I5"/>
    <mergeCell ref="F6:I6"/>
    <mergeCell ref="F7:I7"/>
    <mergeCell ref="A8:E8"/>
    <mergeCell ref="A10:B10"/>
    <mergeCell ref="C9:E9"/>
    <mergeCell ref="C10:E10"/>
  </mergeCells>
  <printOptions horizontalCentered="1"/>
  <pageMargins left="0.3" right="0" top="1" bottom="0.5" header="0.5" footer="0.25"/>
  <pageSetup orientation="landscape" r:id="rId1"/>
  <headerFooter>
    <oddFooter>&amp;L&amp;F&amp;R&amp;A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N31"/>
  <sheetViews>
    <sheetView topLeftCell="C8" workbookViewId="0">
      <selection activeCell="F21" sqref="F21:G21"/>
    </sheetView>
  </sheetViews>
  <sheetFormatPr defaultColWidth="8.7265625" defaultRowHeight="14.5"/>
  <cols>
    <col min="1" max="1" width="4" style="12" customWidth="1"/>
    <col min="2" max="2" width="8.7265625" style="12" customWidth="1"/>
    <col min="3" max="3" width="1.81640625" style="12" customWidth="1"/>
    <col min="4" max="4" width="20.26953125" style="12" bestFit="1" customWidth="1"/>
    <col min="5" max="5" width="36.54296875" style="12" customWidth="1"/>
    <col min="6" max="6" width="20.81640625" style="12" customWidth="1"/>
    <col min="7" max="7" width="1.81640625" style="12" bestFit="1" customWidth="1"/>
    <col min="8" max="8" width="14.26953125" style="12" customWidth="1"/>
    <col min="9" max="9" width="11" style="12" customWidth="1"/>
    <col min="10" max="10" width="13.26953125" style="12" customWidth="1"/>
    <col min="11" max="11" width="15" style="12" customWidth="1"/>
    <col min="12" max="12" width="13.7265625" style="12" customWidth="1"/>
    <col min="13" max="13" width="12.1796875" style="12" customWidth="1"/>
    <col min="14" max="16384" width="8.7265625" style="12"/>
  </cols>
  <sheetData>
    <row r="1" spans="1:14" customFormat="1" ht="23.5">
      <c r="A1" s="72" t="s">
        <v>43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4" customFormat="1" ht="18.5">
      <c r="A2" s="73" t="s">
        <v>40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4" customFormat="1" ht="18.5">
      <c r="A3" s="125" t="s">
        <v>23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4" s="5" customFormat="1" ht="13">
      <c r="A4" s="67" t="s">
        <v>19</v>
      </c>
      <c r="B4" s="67"/>
      <c r="C4" s="4" t="s">
        <v>5</v>
      </c>
      <c r="D4" s="65" t="s">
        <v>69</v>
      </c>
      <c r="E4" s="66"/>
      <c r="F4" s="3" t="s">
        <v>45</v>
      </c>
      <c r="G4" s="3" t="s">
        <v>5</v>
      </c>
      <c r="H4" s="68" t="s">
        <v>46</v>
      </c>
      <c r="I4" s="68"/>
      <c r="J4" s="68"/>
      <c r="K4" s="68"/>
      <c r="L4" s="68"/>
      <c r="M4" s="68"/>
    </row>
    <row r="5" spans="1:14" s="5" customFormat="1" ht="13">
      <c r="A5" s="67" t="s">
        <v>12</v>
      </c>
      <c r="B5" s="67"/>
      <c r="C5" s="4" t="s">
        <v>5</v>
      </c>
      <c r="D5" s="65" t="s">
        <v>70</v>
      </c>
      <c r="E5" s="66"/>
      <c r="F5" s="3" t="s">
        <v>52</v>
      </c>
      <c r="G5" s="3" t="s">
        <v>5</v>
      </c>
      <c r="H5" s="119">
        <v>16710100008622</v>
      </c>
      <c r="I5" s="120"/>
      <c r="J5" s="120"/>
      <c r="K5" s="120"/>
      <c r="L5" s="120"/>
      <c r="M5" s="121"/>
    </row>
    <row r="6" spans="1:14" s="5" customFormat="1" ht="13">
      <c r="A6" s="67" t="s">
        <v>2</v>
      </c>
      <c r="B6" s="67"/>
      <c r="C6" s="4" t="s">
        <v>5</v>
      </c>
      <c r="D6" s="65" t="s">
        <v>83</v>
      </c>
      <c r="E6" s="66"/>
      <c r="F6" s="3" t="s">
        <v>53</v>
      </c>
      <c r="G6" s="3" t="s">
        <v>5</v>
      </c>
      <c r="H6" s="122" t="s">
        <v>84</v>
      </c>
      <c r="I6" s="123"/>
      <c r="J6" s="123"/>
      <c r="K6" s="123"/>
      <c r="L6" s="123"/>
      <c r="M6" s="124"/>
    </row>
    <row r="7" spans="1:14" s="5" customFormat="1" ht="13">
      <c r="A7" s="69" t="s">
        <v>17</v>
      </c>
      <c r="B7" s="70"/>
      <c r="C7" s="71"/>
      <c r="D7" s="65">
        <v>24210101701</v>
      </c>
      <c r="E7" s="66"/>
      <c r="F7" s="67" t="s">
        <v>54</v>
      </c>
      <c r="G7" s="67"/>
      <c r="H7" s="68" t="s">
        <v>55</v>
      </c>
      <c r="I7" s="68"/>
      <c r="J7" s="68"/>
      <c r="K7" s="68"/>
      <c r="L7" s="68"/>
      <c r="M7" s="68"/>
    </row>
    <row r="8" spans="1:14" s="32" customFormat="1" ht="87.75" customHeight="1">
      <c r="A8" s="31" t="s">
        <v>32</v>
      </c>
      <c r="B8" s="117" t="s">
        <v>1</v>
      </c>
      <c r="C8" s="117"/>
      <c r="D8" s="31" t="s">
        <v>33</v>
      </c>
      <c r="E8" s="31" t="s">
        <v>34</v>
      </c>
      <c r="F8" s="118" t="s">
        <v>35</v>
      </c>
      <c r="G8" s="118"/>
      <c r="H8" s="31" t="s">
        <v>37</v>
      </c>
      <c r="I8" s="31" t="s">
        <v>36</v>
      </c>
      <c r="J8" s="31" t="s">
        <v>38</v>
      </c>
      <c r="K8" s="31" t="s">
        <v>62</v>
      </c>
      <c r="L8" s="31" t="s">
        <v>63</v>
      </c>
      <c r="M8" s="31" t="s">
        <v>39</v>
      </c>
    </row>
    <row r="9" spans="1:14" s="6" customFormat="1" ht="21" customHeight="1">
      <c r="A9" s="33">
        <v>1</v>
      </c>
      <c r="B9" s="65" t="s">
        <v>48</v>
      </c>
      <c r="C9" s="77"/>
      <c r="D9" s="50" t="s">
        <v>85</v>
      </c>
      <c r="E9" s="58" t="s">
        <v>72</v>
      </c>
      <c r="F9" s="80">
        <v>45844</v>
      </c>
      <c r="G9" s="126"/>
      <c r="H9" s="33">
        <v>1100</v>
      </c>
      <c r="I9" s="59">
        <v>45840</v>
      </c>
      <c r="J9" s="58">
        <v>1100</v>
      </c>
      <c r="K9" s="33" t="s">
        <v>47</v>
      </c>
      <c r="L9" s="33">
        <v>149</v>
      </c>
      <c r="M9" s="33">
        <v>1</v>
      </c>
    </row>
    <row r="10" spans="1:14" s="6" customFormat="1" ht="23.5" customHeight="1">
      <c r="A10" s="33">
        <v>2</v>
      </c>
      <c r="B10" s="115" t="s">
        <v>48</v>
      </c>
      <c r="C10" s="115"/>
      <c r="D10" s="50" t="s">
        <v>86</v>
      </c>
      <c r="E10" s="58" t="s">
        <v>73</v>
      </c>
      <c r="F10" s="116">
        <v>45762</v>
      </c>
      <c r="G10" s="115"/>
      <c r="H10" s="33">
        <v>1950</v>
      </c>
      <c r="I10" s="59">
        <v>45840</v>
      </c>
      <c r="J10" s="33">
        <v>1950</v>
      </c>
      <c r="K10" s="33" t="s">
        <v>47</v>
      </c>
      <c r="L10" s="33">
        <v>149</v>
      </c>
      <c r="M10" s="33">
        <v>2</v>
      </c>
    </row>
    <row r="11" spans="1:14" s="6" customFormat="1" ht="23.5" customHeight="1">
      <c r="A11" s="33">
        <v>3</v>
      </c>
      <c r="B11" s="115" t="s">
        <v>48</v>
      </c>
      <c r="C11" s="115"/>
      <c r="D11" s="50" t="s">
        <v>87</v>
      </c>
      <c r="E11" s="58" t="s">
        <v>73</v>
      </c>
      <c r="F11" s="116">
        <v>45762</v>
      </c>
      <c r="G11" s="115"/>
      <c r="H11" s="33">
        <v>650</v>
      </c>
      <c r="I11" s="59">
        <v>45840</v>
      </c>
      <c r="J11" s="33">
        <v>650</v>
      </c>
      <c r="K11" s="33" t="s">
        <v>47</v>
      </c>
      <c r="L11" s="33">
        <v>149</v>
      </c>
      <c r="M11" s="33">
        <v>2</v>
      </c>
    </row>
    <row r="12" spans="1:14" s="6" customFormat="1" ht="30" customHeight="1">
      <c r="A12" s="33">
        <v>4</v>
      </c>
      <c r="B12" s="115" t="s">
        <v>48</v>
      </c>
      <c r="C12" s="115"/>
      <c r="D12" s="50" t="s">
        <v>86</v>
      </c>
      <c r="E12" s="58" t="s">
        <v>73</v>
      </c>
      <c r="F12" s="116">
        <v>45840</v>
      </c>
      <c r="G12" s="115"/>
      <c r="H12" s="33">
        <v>1950</v>
      </c>
      <c r="I12" s="59">
        <v>45840</v>
      </c>
      <c r="J12" s="33">
        <v>1950</v>
      </c>
      <c r="K12" s="33" t="s">
        <v>47</v>
      </c>
      <c r="L12" s="33">
        <v>149</v>
      </c>
      <c r="M12" s="33">
        <v>2</v>
      </c>
    </row>
    <row r="13" spans="1:14" s="6" customFormat="1" ht="23.5" customHeight="1">
      <c r="A13" s="33">
        <v>5</v>
      </c>
      <c r="B13" s="115" t="s">
        <v>48</v>
      </c>
      <c r="C13" s="115"/>
      <c r="D13" s="50" t="s">
        <v>87</v>
      </c>
      <c r="E13" s="58" t="s">
        <v>73</v>
      </c>
      <c r="F13" s="116">
        <v>45840</v>
      </c>
      <c r="G13" s="115"/>
      <c r="H13" s="33">
        <v>650</v>
      </c>
      <c r="I13" s="59">
        <v>45840</v>
      </c>
      <c r="J13" s="33">
        <v>650</v>
      </c>
      <c r="K13" s="33" t="s">
        <v>47</v>
      </c>
      <c r="L13" s="33">
        <v>149</v>
      </c>
      <c r="M13" s="33">
        <v>2</v>
      </c>
      <c r="N13" s="6">
        <v>6300</v>
      </c>
    </row>
    <row r="14" spans="1:14" s="6" customFormat="1" ht="23.5" customHeight="1">
      <c r="A14" s="33">
        <v>6</v>
      </c>
      <c r="B14" s="115" t="s">
        <v>48</v>
      </c>
      <c r="C14" s="115"/>
      <c r="D14" s="50" t="s">
        <v>88</v>
      </c>
      <c r="E14" s="58" t="s">
        <v>75</v>
      </c>
      <c r="F14" s="116">
        <v>45884</v>
      </c>
      <c r="G14" s="115"/>
      <c r="H14" s="33">
        <v>500</v>
      </c>
      <c r="I14" s="59">
        <v>45909</v>
      </c>
      <c r="J14" s="58">
        <v>500</v>
      </c>
      <c r="K14" s="33" t="s">
        <v>47</v>
      </c>
      <c r="L14" s="33">
        <v>150</v>
      </c>
      <c r="M14" s="33">
        <v>4</v>
      </c>
    </row>
    <row r="15" spans="1:14" s="6" customFormat="1" ht="27.75" customHeight="1">
      <c r="A15" s="33">
        <v>7</v>
      </c>
      <c r="B15" s="115" t="s">
        <v>48</v>
      </c>
      <c r="C15" s="115"/>
      <c r="D15" s="50" t="s">
        <v>85</v>
      </c>
      <c r="E15" s="58" t="s">
        <v>74</v>
      </c>
      <c r="F15" s="116">
        <v>45884</v>
      </c>
      <c r="G15" s="115"/>
      <c r="H15" s="33">
        <v>1200</v>
      </c>
      <c r="I15" s="59">
        <v>45909</v>
      </c>
      <c r="J15" s="58">
        <v>1200</v>
      </c>
      <c r="K15" s="33" t="s">
        <v>47</v>
      </c>
      <c r="L15" s="33">
        <v>150</v>
      </c>
      <c r="M15" s="33">
        <v>3</v>
      </c>
    </row>
    <row r="16" spans="1:14" s="6" customFormat="1" ht="28.5" customHeight="1">
      <c r="A16" s="33">
        <v>8</v>
      </c>
      <c r="B16" s="65" t="s">
        <v>48</v>
      </c>
      <c r="C16" s="77"/>
      <c r="D16" s="50" t="s">
        <v>76</v>
      </c>
      <c r="E16" s="58" t="s">
        <v>73</v>
      </c>
      <c r="F16" s="80">
        <v>46106</v>
      </c>
      <c r="G16" s="126"/>
      <c r="H16" s="33">
        <v>33443</v>
      </c>
      <c r="I16" s="59">
        <v>46106</v>
      </c>
      <c r="J16" s="58">
        <v>33443</v>
      </c>
      <c r="K16" s="33" t="s">
        <v>47</v>
      </c>
      <c r="L16" s="33">
        <v>167</v>
      </c>
      <c r="M16" s="33">
        <v>5</v>
      </c>
    </row>
    <row r="17" spans="1:13" s="6" customFormat="1" ht="23.5" customHeight="1">
      <c r="A17" s="33">
        <v>9</v>
      </c>
      <c r="B17" s="65" t="s">
        <v>48</v>
      </c>
      <c r="C17" s="77"/>
      <c r="D17" s="50" t="s">
        <v>89</v>
      </c>
      <c r="E17" s="58" t="s">
        <v>73</v>
      </c>
      <c r="F17" s="80">
        <v>46106</v>
      </c>
      <c r="G17" s="126"/>
      <c r="H17" s="33">
        <v>9500</v>
      </c>
      <c r="I17" s="59">
        <v>46106</v>
      </c>
      <c r="J17" s="33">
        <v>9500</v>
      </c>
      <c r="K17" s="33" t="s">
        <v>47</v>
      </c>
      <c r="L17" s="33">
        <v>168</v>
      </c>
      <c r="M17" s="33">
        <v>6</v>
      </c>
    </row>
    <row r="18" spans="1:13" s="6" customFormat="1" ht="23.5" customHeight="1">
      <c r="A18" s="33">
        <v>10</v>
      </c>
      <c r="B18" s="65" t="s">
        <v>48</v>
      </c>
      <c r="C18" s="77"/>
      <c r="D18" s="50" t="s">
        <v>89</v>
      </c>
      <c r="E18" s="58" t="s">
        <v>73</v>
      </c>
      <c r="F18" s="80">
        <v>46106</v>
      </c>
      <c r="G18" s="126"/>
      <c r="H18" s="33">
        <v>9000</v>
      </c>
      <c r="I18" s="59">
        <v>46106</v>
      </c>
      <c r="J18" s="33">
        <v>9000</v>
      </c>
      <c r="K18" s="33" t="s">
        <v>47</v>
      </c>
      <c r="L18" s="33">
        <v>169</v>
      </c>
      <c r="M18" s="33">
        <v>7</v>
      </c>
    </row>
    <row r="19" spans="1:13" s="6" customFormat="1" ht="23.5" customHeight="1">
      <c r="A19" s="33">
        <v>11</v>
      </c>
      <c r="B19" s="115" t="s">
        <v>48</v>
      </c>
      <c r="C19" s="115"/>
      <c r="D19" s="50" t="s">
        <v>71</v>
      </c>
      <c r="E19" s="58" t="s">
        <v>75</v>
      </c>
      <c r="F19" s="116">
        <v>46106</v>
      </c>
      <c r="G19" s="115"/>
      <c r="H19" s="33">
        <v>500</v>
      </c>
      <c r="I19" s="59">
        <v>46106</v>
      </c>
      <c r="J19" s="33">
        <v>500</v>
      </c>
      <c r="K19" s="33" t="s">
        <v>47</v>
      </c>
      <c r="L19" s="33">
        <v>170</v>
      </c>
      <c r="M19" s="33">
        <v>8</v>
      </c>
    </row>
    <row r="20" spans="1:13" s="6" customFormat="1" ht="23.5" customHeight="1">
      <c r="A20" s="33">
        <v>12</v>
      </c>
      <c r="B20" s="65" t="s">
        <v>48</v>
      </c>
      <c r="C20" s="77"/>
      <c r="D20" s="50" t="s">
        <v>78</v>
      </c>
      <c r="E20" s="58" t="s">
        <v>90</v>
      </c>
      <c r="F20" s="80">
        <v>46108</v>
      </c>
      <c r="G20" s="126"/>
      <c r="H20" s="33">
        <v>10791.63</v>
      </c>
      <c r="I20" s="59">
        <v>46108</v>
      </c>
      <c r="J20" s="58">
        <v>10791.63</v>
      </c>
      <c r="K20" s="33" t="s">
        <v>47</v>
      </c>
      <c r="L20" s="33">
        <v>166</v>
      </c>
      <c r="M20" s="33">
        <v>9</v>
      </c>
    </row>
    <row r="21" spans="1:13" s="6" customFormat="1" ht="23.5" customHeight="1">
      <c r="A21" s="33">
        <v>13</v>
      </c>
      <c r="B21" s="115" t="s">
        <v>48</v>
      </c>
      <c r="C21" s="115"/>
      <c r="D21" s="50"/>
      <c r="E21" s="34"/>
      <c r="F21" s="115"/>
      <c r="G21" s="115"/>
      <c r="H21" s="50"/>
      <c r="I21" s="34"/>
      <c r="J21" s="34"/>
      <c r="K21" s="50"/>
      <c r="L21" s="50"/>
      <c r="M21" s="50"/>
    </row>
    <row r="22" spans="1:13" s="6" customFormat="1" ht="23.5" customHeight="1">
      <c r="A22" s="33">
        <v>14</v>
      </c>
      <c r="B22" s="115" t="s">
        <v>48</v>
      </c>
      <c r="C22" s="115"/>
      <c r="D22" s="50"/>
      <c r="E22" s="34"/>
      <c r="F22" s="115"/>
      <c r="G22" s="115"/>
      <c r="H22" s="50"/>
      <c r="I22" s="34"/>
      <c r="J22" s="34"/>
      <c r="K22" s="50"/>
      <c r="L22" s="50"/>
      <c r="M22" s="50"/>
    </row>
    <row r="23" spans="1:13" s="6" customFormat="1" ht="23.5" customHeight="1">
      <c r="A23" s="33">
        <v>15</v>
      </c>
      <c r="B23" s="115" t="s">
        <v>48</v>
      </c>
      <c r="C23" s="115"/>
      <c r="D23" s="50"/>
      <c r="E23" s="34"/>
      <c r="F23" s="115"/>
      <c r="G23" s="115"/>
      <c r="H23" s="50"/>
      <c r="I23" s="34"/>
      <c r="J23" s="34"/>
      <c r="K23" s="50"/>
      <c r="L23" s="50"/>
      <c r="M23" s="50"/>
    </row>
    <row r="24" spans="1:13" s="23" customFormat="1" ht="23.5" customHeight="1">
      <c r="A24" s="75" t="s">
        <v>13</v>
      </c>
      <c r="B24" s="83"/>
      <c r="C24" s="83"/>
      <c r="D24" s="83"/>
      <c r="E24" s="83"/>
      <c r="F24" s="83"/>
      <c r="G24" s="76"/>
      <c r="H24" s="60">
        <f>SUM(H9:H23)</f>
        <v>71234.63</v>
      </c>
      <c r="I24" s="60"/>
      <c r="J24" s="60">
        <f>SUM(J9:J23)</f>
        <v>71234.63</v>
      </c>
      <c r="K24" s="61"/>
      <c r="L24" s="61"/>
      <c r="M24" s="61"/>
    </row>
    <row r="25" spans="1:13" s="9" customFormat="1" ht="4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s="6" customFormat="1">
      <c r="A26" s="10"/>
      <c r="B26" s="11"/>
      <c r="C26" s="11"/>
      <c r="I26" s="81" t="s">
        <v>3</v>
      </c>
      <c r="J26" s="81"/>
      <c r="K26" s="81"/>
      <c r="L26" s="81"/>
      <c r="M26" s="81"/>
    </row>
    <row r="27" spans="1:13" s="6" customFormat="1">
      <c r="A27" s="10"/>
      <c r="B27" s="11"/>
      <c r="C27" s="11"/>
      <c r="I27" s="1"/>
      <c r="J27" s="1"/>
    </row>
    <row r="28" spans="1:13">
      <c r="I28" s="1"/>
      <c r="J28" s="1"/>
    </row>
    <row r="29" spans="1:13">
      <c r="I29" s="82" t="s">
        <v>4</v>
      </c>
      <c r="J29" s="82"/>
      <c r="K29" s="82"/>
      <c r="L29" s="82"/>
      <c r="M29" s="82"/>
    </row>
    <row r="30" spans="1:13">
      <c r="I30" s="24"/>
      <c r="J30" s="24"/>
      <c r="K30" s="24"/>
      <c r="L30" s="24"/>
      <c r="M30" s="24"/>
    </row>
    <row r="31" spans="1:13" ht="25.5" customHeight="1">
      <c r="A31" s="42" t="s">
        <v>29</v>
      </c>
      <c r="B31" s="84" t="s">
        <v>64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</row>
  </sheetData>
  <mergeCells count="52">
    <mergeCell ref="A1:M1"/>
    <mergeCell ref="A2:M2"/>
    <mergeCell ref="A3:M3"/>
    <mergeCell ref="A4:B4"/>
    <mergeCell ref="D4:E4"/>
    <mergeCell ref="H4:M4"/>
    <mergeCell ref="H7:M7"/>
    <mergeCell ref="B8:C8"/>
    <mergeCell ref="F8:G8"/>
    <mergeCell ref="A5:B5"/>
    <mergeCell ref="D5:E5"/>
    <mergeCell ref="H5:M5"/>
    <mergeCell ref="A6:B6"/>
    <mergeCell ref="D6:E6"/>
    <mergeCell ref="H6:M6"/>
    <mergeCell ref="B9:C9"/>
    <mergeCell ref="F9:G9"/>
    <mergeCell ref="B10:C10"/>
    <mergeCell ref="F10:G10"/>
    <mergeCell ref="A7:C7"/>
    <mergeCell ref="D7:E7"/>
    <mergeCell ref="F7:G7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7:C17"/>
    <mergeCell ref="F17:G17"/>
    <mergeCell ref="B18:C18"/>
    <mergeCell ref="F18:G18"/>
    <mergeCell ref="B19:C19"/>
    <mergeCell ref="F19:G19"/>
    <mergeCell ref="F16:G16"/>
    <mergeCell ref="B16:C16"/>
    <mergeCell ref="B20:C20"/>
    <mergeCell ref="F20:G20"/>
    <mergeCell ref="B21:C21"/>
    <mergeCell ref="F21:G21"/>
    <mergeCell ref="B22:C22"/>
    <mergeCell ref="F22:G22"/>
    <mergeCell ref="I26:M26"/>
    <mergeCell ref="I29:M29"/>
    <mergeCell ref="B31:M31"/>
    <mergeCell ref="A24:G24"/>
    <mergeCell ref="B23:C23"/>
    <mergeCell ref="F23:G23"/>
  </mergeCells>
  <conditionalFormatting sqref="E9:E14">
    <cfRule type="duplicateValues" dxfId="14" priority="3"/>
  </conditionalFormatting>
  <conditionalFormatting sqref="E15:E17">
    <cfRule type="duplicateValues" dxfId="13" priority="10"/>
  </conditionalFormatting>
  <conditionalFormatting sqref="E18:E19">
    <cfRule type="duplicateValues" dxfId="12" priority="9"/>
  </conditionalFormatting>
  <conditionalFormatting sqref="E20:E23">
    <cfRule type="duplicateValues" dxfId="11" priority="8"/>
  </conditionalFormatting>
  <conditionalFormatting sqref="I18">
    <cfRule type="duplicateValues" dxfId="10" priority="2"/>
  </conditionalFormatting>
  <conditionalFormatting sqref="I19">
    <cfRule type="duplicateValues" dxfId="9" priority="1"/>
  </conditionalFormatting>
  <conditionalFormatting sqref="I9:J9 I10:I13 I14:J16 I17">
    <cfRule type="duplicateValues" dxfId="8" priority="17"/>
  </conditionalFormatting>
  <conditionalFormatting sqref="I20:J23">
    <cfRule type="duplicateValues" dxfId="7" priority="15"/>
  </conditionalFormatting>
  <printOptions horizontalCentered="1"/>
  <pageMargins left="0.23622047244094491" right="0" top="0.74803149606299213" bottom="0.51181102362204722" header="0.51181102362204722" footer="0.23622047244094491"/>
  <pageSetup paperSize="9" scale="75" orientation="landscape" r:id="rId1"/>
  <headerFooter>
    <oddFooter>&amp;L&amp;F&amp;R&amp;A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C45C-1194-44D5-9E72-452F29AB53BE}">
  <dimension ref="A1:N19"/>
  <sheetViews>
    <sheetView tabSelected="1" topLeftCell="A15" workbookViewId="0">
      <selection activeCell="H22" sqref="H22"/>
    </sheetView>
  </sheetViews>
  <sheetFormatPr defaultRowHeight="14.5"/>
  <cols>
    <col min="4" max="4" width="20.26953125" bestFit="1" customWidth="1"/>
    <col min="9" max="9" width="10.08984375" bestFit="1" customWidth="1"/>
  </cols>
  <sheetData>
    <row r="1" spans="1:14" ht="23.5">
      <c r="A1" s="72" t="s">
        <v>43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4" ht="18.5">
      <c r="A2" s="73" t="s">
        <v>40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4" ht="18.5">
      <c r="A3" s="125" t="s">
        <v>23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4">
      <c r="A4" s="67" t="s">
        <v>19</v>
      </c>
      <c r="B4" s="67"/>
      <c r="C4" s="4" t="s">
        <v>5</v>
      </c>
      <c r="D4" s="65" t="s">
        <v>69</v>
      </c>
      <c r="E4" s="66"/>
      <c r="F4" s="3" t="s">
        <v>45</v>
      </c>
      <c r="G4" s="3" t="s">
        <v>5</v>
      </c>
      <c r="H4" s="68" t="s">
        <v>46</v>
      </c>
      <c r="I4" s="68"/>
      <c r="J4" s="68"/>
      <c r="K4" s="68"/>
      <c r="L4" s="68"/>
      <c r="M4" s="68"/>
      <c r="N4" s="5"/>
    </row>
    <row r="5" spans="1:14">
      <c r="A5" s="67" t="s">
        <v>12</v>
      </c>
      <c r="B5" s="67"/>
      <c r="C5" s="4" t="s">
        <v>5</v>
      </c>
      <c r="D5" s="65" t="s">
        <v>70</v>
      </c>
      <c r="E5" s="66"/>
      <c r="F5" s="3" t="s">
        <v>52</v>
      </c>
      <c r="G5" s="3" t="s">
        <v>5</v>
      </c>
      <c r="H5" s="119">
        <v>16710100008622</v>
      </c>
      <c r="I5" s="120"/>
      <c r="J5" s="120"/>
      <c r="K5" s="120"/>
      <c r="L5" s="120"/>
      <c r="M5" s="121"/>
      <c r="N5" s="5"/>
    </row>
    <row r="6" spans="1:14">
      <c r="A6" s="67" t="s">
        <v>2</v>
      </c>
      <c r="B6" s="67"/>
      <c r="C6" s="4" t="s">
        <v>5</v>
      </c>
      <c r="D6" s="65" t="s">
        <v>83</v>
      </c>
      <c r="E6" s="66"/>
      <c r="F6" s="3" t="s">
        <v>53</v>
      </c>
      <c r="G6" s="3" t="s">
        <v>5</v>
      </c>
      <c r="H6" s="122" t="s">
        <v>84</v>
      </c>
      <c r="I6" s="123"/>
      <c r="J6" s="123"/>
      <c r="K6" s="123"/>
      <c r="L6" s="123"/>
      <c r="M6" s="124"/>
      <c r="N6" s="5"/>
    </row>
    <row r="7" spans="1:14">
      <c r="A7" s="69" t="s">
        <v>17</v>
      </c>
      <c r="B7" s="70"/>
      <c r="C7" s="71"/>
      <c r="D7" s="65">
        <v>24210101701</v>
      </c>
      <c r="E7" s="66"/>
      <c r="F7" s="67" t="s">
        <v>54</v>
      </c>
      <c r="G7" s="67"/>
      <c r="H7" s="68" t="s">
        <v>55</v>
      </c>
      <c r="I7" s="68"/>
      <c r="J7" s="68"/>
      <c r="K7" s="68"/>
      <c r="L7" s="68"/>
      <c r="M7" s="68"/>
      <c r="N7" s="5"/>
    </row>
    <row r="8" spans="1:14" ht="160">
      <c r="A8" s="31" t="s">
        <v>32</v>
      </c>
      <c r="B8" s="117" t="s">
        <v>1</v>
      </c>
      <c r="C8" s="117"/>
      <c r="D8" s="31" t="s">
        <v>33</v>
      </c>
      <c r="E8" s="31" t="s">
        <v>34</v>
      </c>
      <c r="F8" s="118" t="s">
        <v>35</v>
      </c>
      <c r="G8" s="118"/>
      <c r="H8" s="31" t="s">
        <v>37</v>
      </c>
      <c r="I8" s="31" t="s">
        <v>36</v>
      </c>
      <c r="J8" s="31" t="s">
        <v>38</v>
      </c>
      <c r="K8" s="31" t="s">
        <v>62</v>
      </c>
      <c r="L8" s="31" t="s">
        <v>63</v>
      </c>
      <c r="M8" s="31" t="s">
        <v>39</v>
      </c>
      <c r="N8" s="32"/>
    </row>
    <row r="9" spans="1:14" ht="29">
      <c r="A9" s="33">
        <v>2</v>
      </c>
      <c r="B9" s="115" t="s">
        <v>48</v>
      </c>
      <c r="C9" s="115"/>
      <c r="D9" s="50" t="s">
        <v>86</v>
      </c>
      <c r="E9" s="58" t="s">
        <v>73</v>
      </c>
      <c r="F9" s="116">
        <v>45762</v>
      </c>
      <c r="G9" s="115"/>
      <c r="H9" s="33">
        <v>1950</v>
      </c>
      <c r="I9" s="59">
        <v>45840</v>
      </c>
      <c r="J9" s="33">
        <v>1950</v>
      </c>
      <c r="K9" s="33" t="s">
        <v>47</v>
      </c>
      <c r="L9" s="33">
        <v>149</v>
      </c>
      <c r="M9" s="33">
        <v>2</v>
      </c>
      <c r="N9" s="6"/>
    </row>
    <row r="10" spans="1:14" ht="29">
      <c r="A10" s="33">
        <v>3</v>
      </c>
      <c r="B10" s="115" t="s">
        <v>48</v>
      </c>
      <c r="C10" s="115"/>
      <c r="D10" s="50" t="s">
        <v>87</v>
      </c>
      <c r="E10" s="58" t="s">
        <v>73</v>
      </c>
      <c r="F10" s="116">
        <v>45762</v>
      </c>
      <c r="G10" s="115"/>
      <c r="H10" s="33">
        <v>650</v>
      </c>
      <c r="I10" s="59">
        <v>45840</v>
      </c>
      <c r="J10" s="33">
        <v>650</v>
      </c>
      <c r="K10" s="33" t="s">
        <v>47</v>
      </c>
      <c r="L10" s="33">
        <v>149</v>
      </c>
      <c r="M10" s="33">
        <v>2</v>
      </c>
      <c r="N10" s="6"/>
    </row>
    <row r="11" spans="1:14" ht="29">
      <c r="A11" s="33">
        <v>4</v>
      </c>
      <c r="B11" s="115" t="s">
        <v>48</v>
      </c>
      <c r="C11" s="115"/>
      <c r="D11" s="50" t="s">
        <v>86</v>
      </c>
      <c r="E11" s="58" t="s">
        <v>73</v>
      </c>
      <c r="F11" s="116">
        <v>45840</v>
      </c>
      <c r="G11" s="115"/>
      <c r="H11" s="33">
        <v>1950</v>
      </c>
      <c r="I11" s="59">
        <v>45840</v>
      </c>
      <c r="J11" s="33">
        <v>1950</v>
      </c>
      <c r="K11" s="33" t="s">
        <v>47</v>
      </c>
      <c r="L11" s="33">
        <v>149</v>
      </c>
      <c r="M11" s="33">
        <v>2</v>
      </c>
      <c r="N11" s="6"/>
    </row>
    <row r="12" spans="1:14" ht="29">
      <c r="A12" s="33">
        <v>5</v>
      </c>
      <c r="B12" s="115" t="s">
        <v>48</v>
      </c>
      <c r="C12" s="115"/>
      <c r="D12" s="50" t="s">
        <v>87</v>
      </c>
      <c r="E12" s="58" t="s">
        <v>73</v>
      </c>
      <c r="F12" s="116">
        <v>45840</v>
      </c>
      <c r="G12" s="115"/>
      <c r="H12" s="33">
        <v>650</v>
      </c>
      <c r="I12" s="59">
        <v>45840</v>
      </c>
      <c r="J12" s="33">
        <v>650</v>
      </c>
      <c r="K12" s="33" t="s">
        <v>47</v>
      </c>
      <c r="L12" s="33">
        <v>149</v>
      </c>
      <c r="M12" s="33">
        <v>2</v>
      </c>
      <c r="N12" s="6">
        <v>6300</v>
      </c>
    </row>
    <row r="13" spans="1:14" ht="43.5">
      <c r="A13" s="33">
        <v>6</v>
      </c>
      <c r="B13" s="115" t="s">
        <v>48</v>
      </c>
      <c r="C13" s="115"/>
      <c r="D13" s="50" t="s">
        <v>88</v>
      </c>
      <c r="E13" s="58" t="s">
        <v>75</v>
      </c>
      <c r="F13" s="116">
        <v>45884</v>
      </c>
      <c r="G13" s="115"/>
      <c r="H13" s="33">
        <v>500</v>
      </c>
      <c r="I13" s="59">
        <v>45909</v>
      </c>
      <c r="J13" s="58">
        <v>500</v>
      </c>
      <c r="K13" s="33" t="s">
        <v>47</v>
      </c>
      <c r="L13" s="33">
        <v>150</v>
      </c>
      <c r="M13" s="33">
        <v>4</v>
      </c>
      <c r="N13" s="6"/>
    </row>
    <row r="14" spans="1:14">
      <c r="A14" s="33">
        <v>7</v>
      </c>
      <c r="B14" s="115" t="s">
        <v>48</v>
      </c>
      <c r="C14" s="115"/>
      <c r="D14" s="50" t="s">
        <v>85</v>
      </c>
      <c r="E14" s="58" t="s">
        <v>74</v>
      </c>
      <c r="F14" s="116">
        <v>45884</v>
      </c>
      <c r="G14" s="115"/>
      <c r="H14" s="33">
        <v>1200</v>
      </c>
      <c r="I14" s="59">
        <v>45909</v>
      </c>
      <c r="J14" s="58">
        <v>1200</v>
      </c>
      <c r="K14" s="33" t="s">
        <v>47</v>
      </c>
      <c r="L14" s="33">
        <v>150</v>
      </c>
      <c r="M14" s="33">
        <v>3</v>
      </c>
      <c r="N14" s="6"/>
    </row>
    <row r="15" spans="1:14" ht="43.5">
      <c r="A15" s="33">
        <v>11</v>
      </c>
      <c r="B15" s="115" t="s">
        <v>48</v>
      </c>
      <c r="C15" s="115"/>
      <c r="D15" s="50" t="s">
        <v>71</v>
      </c>
      <c r="E15" s="58" t="s">
        <v>75</v>
      </c>
      <c r="F15" s="116">
        <v>46106</v>
      </c>
      <c r="G15" s="115"/>
      <c r="H15" s="33">
        <v>500</v>
      </c>
      <c r="I15" s="59">
        <v>46106</v>
      </c>
      <c r="J15" s="33">
        <v>500</v>
      </c>
      <c r="K15" s="33" t="s">
        <v>47</v>
      </c>
      <c r="L15" s="33">
        <v>170</v>
      </c>
      <c r="M15" s="33">
        <v>8</v>
      </c>
      <c r="N15" s="6"/>
    </row>
    <row r="16" spans="1:14">
      <c r="A16" s="33">
        <v>13</v>
      </c>
      <c r="B16" s="115" t="s">
        <v>48</v>
      </c>
      <c r="C16" s="115"/>
      <c r="D16" s="50"/>
      <c r="E16" s="34"/>
      <c r="F16" s="115"/>
      <c r="G16" s="115"/>
      <c r="H16" s="50"/>
      <c r="I16" s="34"/>
      <c r="J16" s="34"/>
      <c r="K16" s="50"/>
      <c r="L16" s="50"/>
      <c r="M16" s="50"/>
      <c r="N16" s="6"/>
    </row>
    <row r="17" spans="1:14">
      <c r="A17" s="33">
        <v>14</v>
      </c>
      <c r="B17" s="115" t="s">
        <v>48</v>
      </c>
      <c r="C17" s="115"/>
      <c r="D17" s="50"/>
      <c r="E17" s="34"/>
      <c r="F17" s="115"/>
      <c r="G17" s="115"/>
      <c r="H17" s="50"/>
      <c r="I17" s="34"/>
      <c r="J17" s="34"/>
      <c r="K17" s="50"/>
      <c r="L17" s="50"/>
      <c r="M17" s="50"/>
      <c r="N17" s="6"/>
    </row>
    <row r="18" spans="1:14">
      <c r="A18" s="33">
        <v>15</v>
      </c>
      <c r="B18" s="115" t="s">
        <v>48</v>
      </c>
      <c r="C18" s="115"/>
      <c r="D18" s="50"/>
      <c r="E18" s="34"/>
      <c r="F18" s="115"/>
      <c r="G18" s="115"/>
      <c r="H18" s="50"/>
      <c r="I18" s="34"/>
      <c r="J18" s="34"/>
      <c r="K18" s="50"/>
      <c r="L18" s="50"/>
      <c r="M18" s="50"/>
      <c r="N18" s="6"/>
    </row>
    <row r="19" spans="1:14">
      <c r="A19" s="75" t="s">
        <v>13</v>
      </c>
      <c r="B19" s="83"/>
      <c r="C19" s="83"/>
      <c r="D19" s="83"/>
      <c r="E19" s="83"/>
      <c r="F19" s="83"/>
      <c r="G19" s="76"/>
      <c r="H19" s="60">
        <f>SUM(H9:H18)</f>
        <v>7400</v>
      </c>
      <c r="I19" s="60"/>
      <c r="J19" s="60">
        <f>SUM(J9:J18)</f>
        <v>7400</v>
      </c>
      <c r="K19" s="61"/>
      <c r="L19" s="61"/>
      <c r="M19" s="61"/>
      <c r="N19" s="23"/>
    </row>
  </sheetData>
  <mergeCells count="39">
    <mergeCell ref="A19:G19"/>
    <mergeCell ref="B16:C16"/>
    <mergeCell ref="F16:G16"/>
    <mergeCell ref="B17:C17"/>
    <mergeCell ref="F17:G17"/>
    <mergeCell ref="B18:C18"/>
    <mergeCell ref="F18:G18"/>
    <mergeCell ref="B15:C15"/>
    <mergeCell ref="F15:G15"/>
    <mergeCell ref="B14:C14"/>
    <mergeCell ref="F14:G14"/>
    <mergeCell ref="B11:C11"/>
    <mergeCell ref="F11:G11"/>
    <mergeCell ref="B12:C12"/>
    <mergeCell ref="F12:G12"/>
    <mergeCell ref="B13:C13"/>
    <mergeCell ref="F13:G13"/>
    <mergeCell ref="B9:C9"/>
    <mergeCell ref="F9:G9"/>
    <mergeCell ref="B10:C10"/>
    <mergeCell ref="F10:G10"/>
    <mergeCell ref="A7:C7"/>
    <mergeCell ref="D7:E7"/>
    <mergeCell ref="F7:G7"/>
    <mergeCell ref="H7:M7"/>
    <mergeCell ref="B8:C8"/>
    <mergeCell ref="F8:G8"/>
    <mergeCell ref="A5:B5"/>
    <mergeCell ref="D5:E5"/>
    <mergeCell ref="H5:M5"/>
    <mergeCell ref="A6:B6"/>
    <mergeCell ref="D6:E6"/>
    <mergeCell ref="H6:M6"/>
    <mergeCell ref="A1:M1"/>
    <mergeCell ref="A2:M2"/>
    <mergeCell ref="A3:M3"/>
    <mergeCell ref="A4:B4"/>
    <mergeCell ref="D4:E4"/>
    <mergeCell ref="H4:M4"/>
  </mergeCells>
  <conditionalFormatting sqref="I15">
    <cfRule type="duplicateValues" dxfId="6" priority="1"/>
  </conditionalFormatting>
  <conditionalFormatting sqref="E16:E18">
    <cfRule type="duplicateValues" dxfId="5" priority="18"/>
  </conditionalFormatting>
  <conditionalFormatting sqref="I16:J18">
    <cfRule type="duplicateValues" dxfId="4" priority="19"/>
  </conditionalFormatting>
  <conditionalFormatting sqref="E14">
    <cfRule type="duplicateValues" dxfId="3" priority="20"/>
  </conditionalFormatting>
  <conditionalFormatting sqref="E15">
    <cfRule type="duplicateValues" dxfId="2" priority="21"/>
  </conditionalFormatting>
  <conditionalFormatting sqref="I9:I12 I13:J14">
    <cfRule type="duplicateValues" dxfId="1" priority="22"/>
  </conditionalFormatting>
  <conditionalFormatting sqref="E9:E13"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Annex.A School (GOG)</vt:lpstr>
      <vt:lpstr>Annex.B School (GOG)</vt:lpstr>
      <vt:lpstr>Annex.C School (GOG)</vt:lpstr>
      <vt:lpstr>Annex.D School (GOG)</vt:lpstr>
      <vt:lpstr>Sheet1</vt:lpstr>
      <vt:lpstr>'Annex.B School (GOG)'!Print_Area</vt:lpstr>
      <vt:lpstr>'Annex.C School (GOG)'!Print_Area</vt:lpstr>
      <vt:lpstr>'Annex.D School (GOG)'!Print_Area</vt:lpstr>
      <vt:lpstr>'Annex.A School (GOG)'!Print_Titles</vt:lpstr>
      <vt:lpstr>'Annex.D School (GOG)'!Print_Titles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Prathamsinh Parmar</cp:lastModifiedBy>
  <cp:lastPrinted>2026-04-03T04:19:40Z</cp:lastPrinted>
  <dcterms:created xsi:type="dcterms:W3CDTF">2024-07-02T10:23:22Z</dcterms:created>
  <dcterms:modified xsi:type="dcterms:W3CDTF">2026-04-03T04:23:57Z</dcterms:modified>
</cp:coreProperties>
</file>