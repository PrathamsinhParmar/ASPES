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6501"/>
  <workbookPr defaultThemeVersion="124226"/>
  <bookViews>
    <workbookView xWindow="-60" yWindow="-60" windowWidth="15480" windowHeight="11640" activeTab="1"/>
  </bookViews>
  <sheets>
    <sheet name="sheet 1" sheetId="1" r:id="rId1"/>
    <sheet name="Sheet4" sheetId="2" r:id="rId2"/>
    <sheet name="Sheet2" sheetId="3" r:id="rId3"/>
    <sheet name="Sheet3" sheetId="4" r:id="rId4"/>
  </sheets>
</workbook>
</file>

<file path=xl/sharedStrings.xml><?xml version="1.0" encoding="utf-8"?>
<sst xmlns="http://schemas.openxmlformats.org/spreadsheetml/2006/main" uniqueCount="51" count="51">
  <si>
    <t>સમગ્ર શિક્ષા ભરૂચ વર્ષવાર ખર્ચની તારીજ</t>
  </si>
  <si>
    <t>૫રિશિષ્ટ-૧૧</t>
  </si>
  <si>
    <t>વર્ષ ૨૦૧૮-૧૯ થી વર્ષ ૨૦૨૨-૨૩ સુઘી મેળવણુ</t>
  </si>
  <si>
    <t>SMC Education Account No. :-</t>
  </si>
  <si>
    <t>તાલુકો</t>
  </si>
  <si>
    <t>IFSC :-</t>
  </si>
  <si>
    <t>બેંકનું નામ :-</t>
  </si>
  <si>
    <t>તાલુકો :-</t>
  </si>
  <si>
    <t>ક્રમ</t>
  </si>
  <si>
    <t>વર્ષ</t>
  </si>
  <si>
    <t>જીલ્લાનુંનામ</t>
  </si>
  <si>
    <t>શાળા ડાયસ કોડ</t>
  </si>
  <si>
    <t>કલસ્ટર</t>
  </si>
  <si>
    <t>શરૂની સિલક</t>
  </si>
  <si>
    <t>મળેલ ગ્રાન્ટ</t>
  </si>
  <si>
    <t>કુલ</t>
  </si>
  <si>
    <t>ખર્ચ ૫રિશિષ્ટ ૧૦ મુજબ</t>
  </si>
  <si>
    <t>બાકી બચત ૫રિશિષ્ટ ૧૦ મુજબ</t>
  </si>
  <si>
    <t>2018-19</t>
  </si>
  <si>
    <t>2019-20</t>
  </si>
  <si>
    <t>2020-21</t>
  </si>
  <si>
    <t>2021-22</t>
  </si>
  <si>
    <t>2022-23</t>
  </si>
  <si>
    <t>કુલ સરવાળો</t>
  </si>
  <si>
    <t>(બી.આર.સી.)વર્ષ ૨૦૧૮-૧૯ થી વર્ષ ૨૦૨૨-૨૩ સુઘી મેળવણુ</t>
  </si>
  <si>
    <t>બી.આર.સી.સેન્ટરનુ નામ :-</t>
  </si>
  <si>
    <t>ખાતા નંબર :-</t>
  </si>
  <si>
    <t>બી.આર.સી. ડાયસ કોડ</t>
  </si>
  <si>
    <t>બી.આર.સી. ડાયસ કોડ :-</t>
  </si>
  <si>
    <t>બી.આર.સી. સેન્ટર</t>
  </si>
  <si>
    <t>૫રીશિષ્ટ-૧૧</t>
  </si>
  <si>
    <t>ખર્ચ ૫રીશિષ્ટ ૧૦ મુજબ</t>
  </si>
  <si>
    <t>બાકી બચત ૫રીશિષ્ટ ૧૦ મુજબ</t>
  </si>
  <si>
    <t>IFSC :- BARB0JAMBUS</t>
  </si>
  <si>
    <t>બેંકનું નામ :- BANK OF BARODA</t>
  </si>
  <si>
    <t>તાલુકો :- JAMBUSAR</t>
  </si>
  <si>
    <t>BHARUCH</t>
  </si>
  <si>
    <t>બચત ૫રત જમા</t>
  </si>
  <si>
    <t>=</t>
  </si>
  <si>
    <t>AMOD</t>
  </si>
  <si>
    <t>ACHHOD</t>
  </si>
  <si>
    <t xml:space="preserve">ACHHOD </t>
  </si>
  <si>
    <t xml:space="preserve">શાળાનું નામ :- આદર્શ પ્રાથમિક મિશ્રશાળા કોલવણા </t>
  </si>
  <si>
    <t>16710100008535</t>
  </si>
  <si>
    <t>શાળા ડાયસ કોડ :- 24210102401</t>
  </si>
  <si>
    <t>શાળાનું નામ :- આદર્શ પ્રાથમિક મિશ્રશાળા. જુનાદાદાપોર</t>
  </si>
  <si>
    <t>16710100008622</t>
  </si>
  <si>
    <t>શાળા ડાયસ કોડ :- 24210101701</t>
  </si>
  <si>
    <t>તાલુકો :- AMOD</t>
  </si>
  <si>
    <t>IFSC :- BARB0AMODXX</t>
  </si>
  <si>
    <t>AMOD KUMAR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</si>
</sst>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[$-7000447]0"/>
    <numFmt numFmtId="2" formatCode="0.00"/>
  </numFmts>
  <fonts count="3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vertical="bottom"/>
    </xf>
    <xf numFmtId="0" fontId="1" fillId="0" borderId="0" xfId="0" applyFont="1" applyAlignment="1">
      <alignment horizontal="left" vertical="bottom"/>
    </xf>
    <xf numFmtId="0" fontId="2" fillId="0" borderId="0" xfId="0" applyAlignment="1">
      <alignment vertical="bottom"/>
    </xf>
    <xf numFmtId="0" fontId="1" fillId="0" borderId="1" xfId="0" applyFont="1" applyBorder="1" applyAlignment="1">
      <alignment horizontal="left" vertical="bottom"/>
    </xf>
    <xf numFmtId="0" fontId="1" fillId="0" borderId="2" xfId="0" applyFont="1" applyBorder="1" applyAlignment="1">
      <alignment horizontal="center" vertical="center" wrapText="1"/>
    </xf>
    <xf numFmtId="164" fontId="2" fillId="0" borderId="2" xfId="0" applyNumberFormat="1" applyBorder="1" applyAlignment="1">
      <alignment horizontal="center" vertical="center"/>
    </xf>
    <xf numFmtId="0" fontId="2" fillId="0" borderId="2" xfId="0" applyBorder="1" applyAlignment="1">
      <alignment horizontal="center" vertical="center"/>
    </xf>
    <xf numFmtId="0" fontId="2" fillId="0" borderId="2" xfId="0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0" xfId="0" applyAlignment="1" quotePrefix="1">
      <alignment horizontal="center" vertical="bottom"/>
    </xf>
    <xf numFmtId="0" fontId="2" fillId="0" borderId="0" xfId="0" applyAlignment="1">
      <alignment horizontal="center" vertical="bottom"/>
    </xf>
    <xf numFmtId="2" fontId="2" fillId="0" borderId="2" xfId="0" applyNumberFormat="1" applyBorder="1" applyAlignment="1">
      <alignment horizontal="right" vertical="center"/>
    </xf>
    <xf numFmtId="0" fontId="2" fillId="0" borderId="3" xfId="0" applyBorder="1" applyAlignment="1">
      <alignment horizontal="center" vertical="center"/>
    </xf>
    <xf numFmtId="0" fontId="2" fillId="0" borderId="4" xfId="0" applyBorder="1" applyAlignment="1">
      <alignment horizontal="center" vertical="center"/>
    </xf>
    <xf numFmtId="0" fontId="2" fillId="0" borderId="5" xfId="0" applyBorder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www.wps.cn/officeDocument/2020/cellImage" Target="cellimages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4"/>
  <sheetViews>
    <sheetView workbookViewId="0" topLeftCell="G1" zoomScale="115">
      <selection activeCell="E11" sqref="E11:F11"/>
    </sheetView>
  </sheetViews>
  <sheetFormatPr defaultRowHeight="15.0" defaultColWidth="10"/>
  <cols>
    <col min="1" max="1" customWidth="1" width="6.9921875" style="0"/>
    <col min="4" max="4" customWidth="1" width="10.894531" style="0"/>
    <col min="5" max="5" customWidth="1" width="14.390625" style="0"/>
    <col min="6" max="6" customWidth="1" width="15.332031" style="0"/>
    <col min="7" max="7" customWidth="1" width="10.355469" style="0"/>
    <col min="8" max="8" customWidth="1" width="12.238281" style="0"/>
    <col min="10" max="11" customWidth="1" width="13.316406" style="0"/>
  </cols>
  <sheetData>
    <row r="1" spans="8:8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8: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8:8">
      <c r="A3" s="1" t="s">
        <v>24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8:8">
      <c r="A4" s="2" t="s">
        <v>25</v>
      </c>
      <c r="B4" s="2"/>
      <c r="C4" s="2"/>
      <c r="H4" s="3" t="s">
        <v>5</v>
      </c>
      <c r="I4" s="3"/>
      <c r="J4" s="4"/>
      <c r="K4" s="4"/>
    </row>
    <row r="5" spans="8:8">
      <c r="A5" s="3" t="s">
        <v>26</v>
      </c>
      <c r="B5" s="3"/>
      <c r="C5" s="3"/>
      <c r="H5" s="3" t="s">
        <v>6</v>
      </c>
      <c r="I5" s="3"/>
      <c r="J5" s="4"/>
      <c r="K5" s="4"/>
    </row>
    <row r="6" spans="8:8">
      <c r="A6" s="5" t="s">
        <v>28</v>
      </c>
      <c r="B6" s="5"/>
      <c r="C6" s="5"/>
      <c r="H6" s="3" t="s">
        <v>7</v>
      </c>
      <c r="I6" s="3"/>
      <c r="J6" s="4"/>
      <c r="K6" s="4"/>
    </row>
    <row r="7" spans="8:8" ht="56.25">
      <c r="A7" s="6" t="s">
        <v>8</v>
      </c>
      <c r="B7" s="6" t="s">
        <v>9</v>
      </c>
      <c r="C7" s="6" t="s">
        <v>10</v>
      </c>
      <c r="D7" s="6" t="s">
        <v>4</v>
      </c>
      <c r="E7" s="6" t="s">
        <v>27</v>
      </c>
      <c r="F7" s="6" t="s">
        <v>29</v>
      </c>
      <c r="G7" s="6" t="s">
        <v>13</v>
      </c>
      <c r="H7" s="6" t="s">
        <v>14</v>
      </c>
      <c r="I7" s="6" t="s">
        <v>15</v>
      </c>
      <c r="J7" s="6" t="s">
        <v>31</v>
      </c>
      <c r="K7" s="6" t="s">
        <v>32</v>
      </c>
    </row>
    <row r="8" spans="8:8">
      <c r="A8" s="7">
        <v>1.0</v>
      </c>
      <c r="B8" s="7">
        <v>2.0</v>
      </c>
      <c r="C8" s="7">
        <v>3.0</v>
      </c>
      <c r="D8" s="7">
        <v>4.0</v>
      </c>
      <c r="E8" s="7">
        <v>5.0</v>
      </c>
      <c r="F8" s="7">
        <v>6.0</v>
      </c>
      <c r="G8" s="7">
        <v>7.0</v>
      </c>
      <c r="H8" s="7">
        <v>8.0</v>
      </c>
      <c r="I8" s="7">
        <v>9.0</v>
      </c>
      <c r="J8" s="7">
        <v>10.0</v>
      </c>
      <c r="K8" s="7">
        <v>11.0</v>
      </c>
    </row>
    <row r="9" spans="8:8" ht="32.25" customHeight="1">
      <c r="A9" s="7">
        <v>1.0</v>
      </c>
      <c r="B9" s="8" t="s">
        <v>18</v>
      </c>
      <c r="C9" s="9"/>
      <c r="D9" s="9"/>
      <c r="E9" s="9"/>
      <c r="F9" s="9"/>
      <c r="G9" s="9"/>
      <c r="H9" s="9"/>
      <c r="I9" s="9"/>
      <c r="J9" s="9"/>
      <c r="K9" s="9"/>
    </row>
    <row r="10" spans="8:8" ht="32.25" customHeight="1">
      <c r="A10" s="7">
        <v>2.0</v>
      </c>
      <c r="B10" s="8" t="s">
        <v>19</v>
      </c>
      <c r="C10" s="9"/>
      <c r="D10" s="9"/>
      <c r="E10" s="9"/>
      <c r="F10" s="9"/>
      <c r="G10" s="9"/>
      <c r="H10" s="9"/>
      <c r="I10" s="9"/>
      <c r="J10" s="9"/>
      <c r="K10" s="9"/>
    </row>
    <row r="11" spans="8:8" ht="32.25" customHeight="1">
      <c r="A11" s="7">
        <v>3.0</v>
      </c>
      <c r="B11" s="8" t="s">
        <v>20</v>
      </c>
      <c r="C11" s="9"/>
      <c r="D11" s="9"/>
      <c r="E11" s="9" t="s">
        <v>38</v>
      </c>
      <c r="F11" s="9"/>
      <c r="G11" s="9"/>
      <c r="H11" s="9"/>
      <c r="I11" s="9"/>
      <c r="J11" s="9"/>
      <c r="K11" s="9"/>
    </row>
    <row r="12" spans="8:8" ht="32.25" customHeight="1">
      <c r="A12" s="7">
        <v>4.0</v>
      </c>
      <c r="B12" s="8" t="s">
        <v>21</v>
      </c>
      <c r="C12" s="9"/>
      <c r="D12" s="9"/>
      <c r="E12" s="9"/>
      <c r="F12" s="9"/>
      <c r="G12" s="9"/>
      <c r="H12" s="9"/>
      <c r="I12" s="9"/>
      <c r="J12" s="9"/>
      <c r="K12" s="9"/>
    </row>
    <row r="13" spans="8:8" ht="32.25" customHeight="1">
      <c r="A13" s="7">
        <v>5.0</v>
      </c>
      <c r="B13" s="8" t="s">
        <v>22</v>
      </c>
      <c r="C13" s="9"/>
      <c r="D13" s="9"/>
      <c r="E13" s="9"/>
      <c r="F13" s="9"/>
      <c r="G13" s="9"/>
      <c r="H13" s="9"/>
      <c r="I13" s="9"/>
      <c r="J13" s="9"/>
      <c r="K13" s="9"/>
    </row>
    <row r="14" spans="8:8">
      <c r="A14" s="10" t="s">
        <v>23</v>
      </c>
      <c r="B14" s="11"/>
      <c r="C14" s="11"/>
      <c r="D14" s="11"/>
      <c r="E14" s="11"/>
      <c r="F14" s="12"/>
      <c r="G14" s="9"/>
      <c r="H14" s="9"/>
      <c r="I14" s="9"/>
      <c r="J14" s="9"/>
      <c r="K14" s="9"/>
    </row>
  </sheetData>
  <mergeCells count="9">
    <mergeCell ref="H6:I6"/>
    <mergeCell ref="A14:F14"/>
    <mergeCell ref="A6:C6"/>
    <mergeCell ref="A1:K1"/>
    <mergeCell ref="A2:K2"/>
    <mergeCell ref="A3:K3"/>
    <mergeCell ref="H4:I4"/>
    <mergeCell ref="A5:C5"/>
    <mergeCell ref="H5:I5"/>
  </mergeCells>
  <printOptions horizontalCentered="1"/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dimension ref="A1:M14"/>
  <sheetViews>
    <sheetView tabSelected="1" workbookViewId="0" zoomScale="115">
      <selection activeCell="A18" sqref="A15:A18"/>
    </sheetView>
  </sheetViews>
  <sheetFormatPr defaultRowHeight="15.0" defaultColWidth="10"/>
  <cols>
    <col min="1" max="1" customWidth="1" width="6.9921875" style="0"/>
    <col min="3" max="3" customWidth="1" width="9.550781" style="0"/>
    <col min="4" max="4" customWidth="1" width="10.894531" style="0"/>
    <col min="5" max="12" customWidth="1" width="13.316406" style="0"/>
  </cols>
  <sheetData>
    <row r="1" spans="8:8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8: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8:8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8:8" ht="15.05">
      <c r="A4" s="2" t="s">
        <v>45</v>
      </c>
      <c r="B4" s="2"/>
      <c r="C4" s="2"/>
      <c r="H4" s="3" t="s">
        <v>49</v>
      </c>
      <c r="I4" s="3"/>
      <c r="J4" s="4"/>
      <c r="K4" s="4"/>
      <c r="L4" s="4"/>
    </row>
    <row r="5" spans="8:8" ht="15.05">
      <c r="A5" s="2" t="s">
        <v>3</v>
      </c>
      <c r="B5" s="2"/>
      <c r="C5" s="2"/>
      <c r="D5" s="13" t="s">
        <v>46</v>
      </c>
      <c r="E5" s="14"/>
      <c r="H5" s="2" t="s">
        <v>34</v>
      </c>
      <c r="I5" s="2"/>
      <c r="J5" s="4"/>
      <c r="K5" s="4"/>
      <c r="L5" s="4"/>
    </row>
    <row r="6" spans="8:8" ht="15.05">
      <c r="A6" s="5" t="s">
        <v>47</v>
      </c>
      <c r="B6" s="5"/>
      <c r="C6" s="5"/>
      <c r="D6" s="5"/>
      <c r="H6" s="3" t="s">
        <v>48</v>
      </c>
      <c r="I6" s="3"/>
      <c r="J6" s="4"/>
      <c r="K6" s="4"/>
      <c r="L6" s="4"/>
    </row>
    <row r="7" spans="8:8" ht="56.25">
      <c r="A7" s="6" t="s">
        <v>8</v>
      </c>
      <c r="B7" s="6" t="s">
        <v>9</v>
      </c>
      <c r="C7" s="6" t="s">
        <v>10</v>
      </c>
      <c r="D7" s="6" t="s">
        <v>4</v>
      </c>
      <c r="E7" s="6" t="s">
        <v>11</v>
      </c>
      <c r="F7" s="6" t="s">
        <v>12</v>
      </c>
      <c r="G7" s="6" t="s">
        <v>13</v>
      </c>
      <c r="H7" s="6" t="s">
        <v>14</v>
      </c>
      <c r="I7" s="6" t="s">
        <v>15</v>
      </c>
      <c r="J7" s="6" t="s">
        <v>16</v>
      </c>
      <c r="K7" s="6" t="s">
        <v>37</v>
      </c>
      <c r="L7" s="6" t="s">
        <v>17</v>
      </c>
    </row>
    <row r="8" spans="8:8">
      <c r="A8" s="7">
        <v>1.0</v>
      </c>
      <c r="B8" s="7">
        <v>2.0</v>
      </c>
      <c r="C8" s="7">
        <v>3.0</v>
      </c>
      <c r="D8" s="7">
        <v>4.0</v>
      </c>
      <c r="E8" s="7">
        <v>5.0</v>
      </c>
      <c r="F8" s="7">
        <v>6.0</v>
      </c>
      <c r="G8" s="7">
        <v>7.0</v>
      </c>
      <c r="H8" s="7">
        <v>8.0</v>
      </c>
      <c r="I8" s="7">
        <v>9.0</v>
      </c>
      <c r="J8" s="7">
        <v>10.0</v>
      </c>
      <c r="K8" s="7"/>
      <c r="L8" s="7">
        <v>11.0</v>
      </c>
    </row>
    <row r="9" spans="8:8" ht="32.25" customHeight="1">
      <c r="A9" s="8">
        <v>1.0</v>
      </c>
      <c r="B9" s="8" t="s">
        <v>18</v>
      </c>
      <c r="C9" s="9" t="s">
        <v>36</v>
      </c>
      <c r="D9" s="9" t="s">
        <v>39</v>
      </c>
      <c r="E9" s="9">
        <v>2.4210101701E10</v>
      </c>
      <c r="F9" s="9" t="s">
        <v>50</v>
      </c>
      <c r="G9" s="15">
        <v>199.0</v>
      </c>
      <c r="H9" s="15">
        <v>5495.0</v>
      </c>
      <c r="I9" s="15">
        <f>SUM(G9:H9)</f>
        <v>5694.0</v>
      </c>
      <c r="J9" s="15">
        <v>5400.0</v>
      </c>
      <c r="K9" s="15">
        <v>198.0</v>
      </c>
      <c r="L9" s="15">
        <v>96.0</v>
      </c>
    </row>
    <row r="10" spans="8:8" ht="32.25" customHeight="1">
      <c r="A10" s="8">
        <v>2.0</v>
      </c>
      <c r="B10" s="8" t="s">
        <v>19</v>
      </c>
      <c r="C10" s="9" t="s">
        <v>36</v>
      </c>
      <c r="D10" s="9" t="s">
        <v>39</v>
      </c>
      <c r="E10" s="9">
        <v>2.4210101701E10</v>
      </c>
      <c r="F10" s="9" t="s">
        <v>50</v>
      </c>
      <c r="G10" s="15">
        <v>96.0</v>
      </c>
      <c r="H10" s="15">
        <v>12106.0</v>
      </c>
      <c r="I10" s="15">
        <f>SUM(G10:H10)</f>
        <v>12202.0</v>
      </c>
      <c r="J10" s="15">
        <v>8380.0</v>
      </c>
      <c r="K10" s="15">
        <v>0.0</v>
      </c>
      <c r="L10" s="15">
        <f>I10-J10</f>
        <v>3822.0</v>
      </c>
    </row>
    <row r="11" spans="8:8" ht="32.25" customHeight="1">
      <c r="A11" s="8">
        <v>3.0</v>
      </c>
      <c r="B11" s="8" t="s">
        <v>20</v>
      </c>
      <c r="C11" s="9" t="s">
        <v>36</v>
      </c>
      <c r="D11" s="9" t="s">
        <v>39</v>
      </c>
      <c r="E11" s="9">
        <v>2.4210101701E10</v>
      </c>
      <c r="F11" s="9" t="s">
        <v>50</v>
      </c>
      <c r="G11" s="15">
        <v>3822.0</v>
      </c>
      <c r="H11" s="15">
        <v>38651.56</v>
      </c>
      <c r="I11" s="15">
        <f>SUM(G11:H11)</f>
        <v>42473.56</v>
      </c>
      <c r="J11" s="15">
        <v>27354.88</v>
      </c>
      <c r="K11" s="15">
        <v>278.28</v>
      </c>
      <c r="L11" s="15">
        <f>(I11-J11)-K11</f>
        <v>14840.4</v>
      </c>
    </row>
    <row r="12" spans="8:8" ht="32.25" customHeight="1">
      <c r="A12" s="8">
        <v>4.0</v>
      </c>
      <c r="B12" s="8" t="s">
        <v>21</v>
      </c>
      <c r="C12" s="9" t="s">
        <v>36</v>
      </c>
      <c r="D12" s="9" t="s">
        <v>39</v>
      </c>
      <c r="E12" s="9">
        <v>2.4210101701E10</v>
      </c>
      <c r="F12" s="9" t="s">
        <v>50</v>
      </c>
      <c r="G12" s="15">
        <v>14840.4</v>
      </c>
      <c r="H12" s="15">
        <v>29983.51</v>
      </c>
      <c r="I12" s="15">
        <f>SUM(G12:H12)</f>
        <v>44823.909999999996</v>
      </c>
      <c r="J12" s="15">
        <v>33117.17</v>
      </c>
      <c r="K12" s="15">
        <v>0.0</v>
      </c>
      <c r="L12" s="15">
        <f>I12-J12</f>
        <v>11706.740000000005</v>
      </c>
    </row>
    <row r="13" spans="8:8" ht="32.25" customHeight="1">
      <c r="A13" s="8">
        <v>5.0</v>
      </c>
      <c r="B13" s="8" t="s">
        <v>22</v>
      </c>
      <c r="C13" s="9" t="s">
        <v>36</v>
      </c>
      <c r="D13" s="9" t="s">
        <v>39</v>
      </c>
      <c r="E13" s="9">
        <v>2.4210101701E10</v>
      </c>
      <c r="F13" s="9" t="s">
        <v>50</v>
      </c>
      <c r="G13" s="15">
        <v>11706.74</v>
      </c>
      <c r="H13" s="15">
        <v>11246.56</v>
      </c>
      <c r="I13" s="15">
        <f>SUM(G13:H13)</f>
        <v>22953.3</v>
      </c>
      <c r="J13" s="15">
        <v>14434.92</v>
      </c>
      <c r="K13" s="15">
        <v>0.0</v>
      </c>
      <c r="L13" s="15">
        <f>I13-J13</f>
        <v>8518.38</v>
      </c>
    </row>
    <row r="14" spans="8:8" ht="31.1" customHeight="1">
      <c r="A14" s="16" t="s">
        <v>23</v>
      </c>
      <c r="B14" s="17"/>
      <c r="C14" s="17"/>
      <c r="D14" s="17"/>
      <c r="E14" s="17"/>
      <c r="F14" s="18"/>
      <c r="G14" s="15">
        <f t="shared" si="0" ref="G14:L14">SUM(G9:G13)</f>
        <v>30664.14</v>
      </c>
      <c r="H14" s="15">
        <f>SUM(H9:H13)</f>
        <v>97482.62999999999</v>
      </c>
      <c r="I14" s="15">
        <f t="shared" si="0"/>
        <v>128146.77</v>
      </c>
      <c r="J14" s="15">
        <f t="shared" si="0"/>
        <v>88686.97</v>
      </c>
      <c r="K14" s="15">
        <f t="shared" si="0"/>
        <v>476.28</v>
      </c>
      <c r="L14" s="15">
        <f t="shared" si="0"/>
        <v>38983.520000000004</v>
      </c>
    </row>
  </sheetData>
  <mergeCells count="8">
    <mergeCell ref="A14:F14"/>
    <mergeCell ref="D5:E5"/>
    <mergeCell ref="A6:D6"/>
    <mergeCell ref="H4:I4"/>
    <mergeCell ref="H6:I6"/>
    <mergeCell ref="A1:L1"/>
    <mergeCell ref="A2:L2"/>
    <mergeCell ref="A3:L3"/>
  </mergeCells>
  <pageMargins left="0.7" right="0.7" top="0.75" bottom="0.75" header="0.3" footer="0.3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RMX1827</dc:creator>
  <dcterms:created xsi:type="dcterms:W3CDTF">2006-09-15T18:30:00Z</dcterms:created>
  <dcterms:modified xsi:type="dcterms:W3CDTF">2024-01-04T12:45:27Z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6431d9674d4d4219b158b9015c365178</vt:lpwstr>
  </property>
</Properties>
</file>