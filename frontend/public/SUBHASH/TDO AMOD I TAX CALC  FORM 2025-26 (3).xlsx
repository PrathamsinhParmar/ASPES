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RAEES\Downloads\"/>
    </mc:Choice>
  </mc:AlternateContent>
  <xr:revisionPtr revIDLastSave="0" documentId="13_ncr:1_{200958B2-9453-451A-806E-D12C82D0F6B1}" xr6:coauthVersionLast="47" xr6:coauthVersionMax="47" xr10:uidLastSave="{00000000-0000-0000-0000-000000000000}"/>
  <workbookProtection workbookAlgorithmName="SHA-512" workbookHashValue="BUEea5cPp6ddD/TyirP5E3FXs4sH9R4eSCen+U5Ft7lD+T0oBSRlbY1VAdWD5nsur6fJU2TUBV55ns9rr2IBZQ==" workbookSaltValue="N+ItpElnsooCEOe1c1qhQg==" workbookSpinCount="100000" lockStructure="1"/>
  <bookViews>
    <workbookView xWindow="-110" yWindow="-110" windowWidth="19420" windowHeight="10420" xr2:uid="{00000000-000D-0000-FFFF-FFFF00000000}"/>
  </bookViews>
  <sheets>
    <sheet name="સુચના " sheetId="5" r:id="rId1"/>
    <sheet name="OLD Regime Page 1 " sheetId="1" r:id="rId2"/>
    <sheet name="OLD Regime Page 2 " sheetId="2" r:id="rId3"/>
    <sheet name="New Regime Page 1" sheetId="3" r:id="rId4"/>
    <sheet name="New Regime Page 2" sheetId="4" r:id="rId5"/>
  </sheets>
  <definedNames>
    <definedName name="_xlnm.Print_Area" localSheetId="1">'OLD Regime Page 1 '!$A$1:$O$43</definedName>
  </definedNames>
  <calcPr calcId="191028"/>
</workbook>
</file>

<file path=xl/calcChain.xml><?xml version="1.0" encoding="utf-8"?>
<calcChain xmlns="http://schemas.openxmlformats.org/spreadsheetml/2006/main">
  <c r="B16" i="3" l="1"/>
  <c r="B17" i="3"/>
  <c r="B18" i="3"/>
  <c r="B19" i="3"/>
  <c r="B20" i="3"/>
  <c r="B21" i="3"/>
  <c r="B22" i="3"/>
  <c r="B23" i="3"/>
  <c r="F27" i="3"/>
  <c r="F17" i="3"/>
  <c r="F18" i="3"/>
  <c r="F19" i="3"/>
  <c r="F20" i="3"/>
  <c r="F21" i="3"/>
  <c r="F22" i="3"/>
  <c r="F23" i="3"/>
  <c r="F24" i="3"/>
  <c r="F25" i="3"/>
  <c r="F26" i="3"/>
  <c r="F16" i="3"/>
  <c r="B30" i="3"/>
  <c r="B31" i="3"/>
  <c r="B32" i="3"/>
  <c r="B33" i="3"/>
  <c r="B29" i="3"/>
  <c r="B24" i="3"/>
  <c r="B25" i="3"/>
  <c r="B26" i="3"/>
  <c r="B27" i="3"/>
  <c r="B9" i="3"/>
  <c r="K8" i="4"/>
  <c r="O41" i="1" l="1"/>
  <c r="K16" i="4"/>
  <c r="K21" i="4"/>
  <c r="K20" i="4"/>
  <c r="K19" i="4"/>
  <c r="K18" i="4"/>
  <c r="K9" i="4"/>
  <c r="K10" i="4"/>
  <c r="K11" i="4"/>
  <c r="K12" i="4"/>
  <c r="K13" i="4"/>
  <c r="K14" i="4"/>
  <c r="K15" i="4"/>
  <c r="K17" i="4"/>
  <c r="K48" i="2"/>
  <c r="B8" i="3"/>
  <c r="F27" i="2"/>
  <c r="N7" i="3"/>
  <c r="B6" i="3"/>
  <c r="M12" i="3"/>
  <c r="M13" i="3"/>
  <c r="B13" i="3"/>
  <c r="B12" i="3"/>
  <c r="M11" i="3"/>
  <c r="B11" i="3"/>
  <c r="M10" i="3"/>
  <c r="N9" i="3"/>
  <c r="N8" i="3"/>
  <c r="B7" i="3"/>
  <c r="N6" i="3"/>
  <c r="K22" i="4" l="1"/>
  <c r="F24" i="4" s="1"/>
  <c r="L33" i="1"/>
  <c r="E4" i="2" s="1"/>
  <c r="F33" i="1" l="1"/>
  <c r="E3" i="2" s="1"/>
  <c r="O33" i="1"/>
  <c r="M33" i="1"/>
  <c r="E5" i="2" s="1"/>
  <c r="K33" i="1"/>
  <c r="K38" i="1" s="1"/>
  <c r="K39" i="1" s="1"/>
  <c r="N33" i="1"/>
  <c r="F35" i="3" l="1"/>
  <c r="F2" i="4" s="1"/>
  <c r="E15" i="2"/>
  <c r="I33" i="1"/>
  <c r="Q34" i="1" s="1"/>
  <c r="I3" i="4" l="1"/>
  <c r="Q36" i="1"/>
  <c r="I15" i="2" s="1"/>
  <c r="B33" i="1"/>
  <c r="M34" i="1" s="1"/>
  <c r="M40" i="1" s="1"/>
  <c r="F25" i="2"/>
  <c r="F29" i="2" s="1"/>
  <c r="B35" i="3" l="1"/>
  <c r="M36" i="3" s="1"/>
  <c r="M38" i="3" s="1"/>
  <c r="I1" i="4" s="1"/>
  <c r="M43" i="1"/>
  <c r="I1" i="2" l="1"/>
  <c r="I16" i="2" s="1"/>
  <c r="I30" i="2" s="1"/>
  <c r="I31" i="2" s="1"/>
  <c r="F39" i="2" s="1"/>
  <c r="I4" i="4" l="1"/>
  <c r="I5" i="4" s="1"/>
  <c r="F36" i="2"/>
  <c r="F37" i="2"/>
  <c r="F35" i="2"/>
  <c r="F38" i="2" l="1"/>
  <c r="F46" i="2"/>
  <c r="F9" i="4" l="1"/>
  <c r="F10" i="4"/>
  <c r="F11" i="4"/>
  <c r="F12" i="4"/>
  <c r="F13" i="4"/>
  <c r="F41" i="2"/>
  <c r="F14" i="4" l="1"/>
  <c r="F42" i="2"/>
  <c r="F43" i="2" s="1"/>
  <c r="F45" i="2" s="1"/>
  <c r="F47" i="2" s="1"/>
  <c r="F15" i="4" l="1"/>
  <c r="F18" i="4" s="1"/>
  <c r="F17" i="4" l="1"/>
  <c r="F19" i="4" l="1"/>
  <c r="F20" i="4" l="1"/>
  <c r="F21" i="4" s="1"/>
  <c r="F23" i="4" l="1"/>
  <c r="F25" i="4" s="1"/>
</calcChain>
</file>

<file path=xl/sharedStrings.xml><?xml version="1.0" encoding="utf-8"?>
<sst xmlns="http://schemas.openxmlformats.org/spreadsheetml/2006/main" count="238" uniqueCount="177">
  <si>
    <t>આવકવેરા ગણતરી પત્રક (જુના સ્લેબ મુજબ)     ( OLD REGIME )</t>
  </si>
  <si>
    <t>નાણાકીય વર્ષ</t>
  </si>
  <si>
    <t>૨૦૨૪ / ૨૫</t>
  </si>
  <si>
    <t>આકારણી વર્ષ</t>
  </si>
  <si>
    <t>૨૦૨૫/ ૨૬</t>
  </si>
  <si>
    <t>કર્મચારીનું નામ:</t>
  </si>
  <si>
    <t>પે.સેન્ટર નું નામ</t>
  </si>
  <si>
    <t>પિતાનું પુરૂં નામ:</t>
  </si>
  <si>
    <t>જન્મ તારીખ:</t>
  </si>
  <si>
    <t>પ્રા. શાળા નું નામ:</t>
  </si>
  <si>
    <t>શાળા નો પીનકોડ નંબર:</t>
  </si>
  <si>
    <t>રહેઠાણ નું પૂરૂં સરનામું</t>
  </si>
  <si>
    <t>રહેઠાણ નો પીનકોડ નંબર</t>
  </si>
  <si>
    <t>મોબાઈલ નં.</t>
  </si>
  <si>
    <t>આધાર કાર્ડ નં.</t>
  </si>
  <si>
    <t>બેન્ક એકાઉન્ટ નંબર</t>
  </si>
  <si>
    <t>બેંક બ્રાન્ચ</t>
  </si>
  <si>
    <t>ઈ.મેલ આઇ. ડી</t>
  </si>
  <si>
    <t>IFSC CODE</t>
  </si>
  <si>
    <t>કુલ પગાર</t>
  </si>
  <si>
    <t xml:space="preserve">જી. પી. ફંડ </t>
  </si>
  <si>
    <t>વ્યવસાય વેરો</t>
  </si>
  <si>
    <t>જૂથ વીમો</t>
  </si>
  <si>
    <t>L.I.C.</t>
  </si>
  <si>
    <t>મકાન લોન</t>
  </si>
  <si>
    <t>મુદ્દલ</t>
  </si>
  <si>
    <t>વ્યાજ</t>
  </si>
  <si>
    <t>માર્ચ પેઇડ એપ્રિલ ૨૪</t>
  </si>
  <si>
    <t>એપ્રિલ પેઇડ મે ૨૪</t>
  </si>
  <si>
    <t>મેં પેઇડ જૂન ૨૪</t>
  </si>
  <si>
    <t>જૂન પેઇડ જુલાઈ ૨૪</t>
  </si>
  <si>
    <t>જુલાઈ પેઇડ ઓગસ્ટ ૨૪</t>
  </si>
  <si>
    <t>ઓગસ્ટ પેઇડ સપ્ટેમ્બર ૨૪</t>
  </si>
  <si>
    <t>સપ્ટેમ્બર પેઇડ ઓક્ટો ૨૪</t>
  </si>
  <si>
    <t>ઓક્ટો પેઇડ ઓક્ટો  ૨૪</t>
  </si>
  <si>
    <t>નવે પેઇડ ડિસે ૨૪</t>
  </si>
  <si>
    <t>ડિસે પેઇડ જાન્યુ. ૨૫</t>
  </si>
  <si>
    <t>જાન્યુ. પેઈડ ફેબ્રુ. ૨૫</t>
  </si>
  <si>
    <t>ફેબ્રુઆરી પેઇડ માર્ચ ૨૫</t>
  </si>
  <si>
    <t>મોંઘવારી તફાવત</t>
  </si>
  <si>
    <t>ઉ.પ.ધો. તફાવત બિલ</t>
  </si>
  <si>
    <t>કુલ</t>
  </si>
  <si>
    <t>[A] પગારની કુલ આવક</t>
  </si>
  <si>
    <t>બાદ: કરમુક્ત ભથ્થા અને કપાતો (US/17)</t>
  </si>
  <si>
    <t>(૧) કન્વેઅંસ એલા.(અપંગ કર્મચારી)</t>
  </si>
  <si>
    <t>(૨) સ્ટાડૅડ ડિડકશન (તમામને રૂ.૫૦૦૦૦)(US/16)</t>
  </si>
  <si>
    <t>(૩) વ્યવસાય વેરો</t>
  </si>
  <si>
    <t>કુલ કપાત: (૧ થી ૩)</t>
  </si>
  <si>
    <t>ચોખ્ખી પગારની આવક</t>
  </si>
  <si>
    <t>બાદ: મકાન લોન વ્યાજ [U/S 24 (2)] મહત્તમ રૂ. ૨૦૦૦૦૦/- સુધી</t>
  </si>
  <si>
    <t>મકાન લોન લીધેલ સંસ્થા કે બેંકનું નામ</t>
  </si>
  <si>
    <t>કુલ (મહત્તમ મર્યાદા રૂ.૧, ૫૦,૦૦૦/-)</t>
  </si>
  <si>
    <t>1. મેડીકલેમ પ્રીમિયમ (રૂ.૨૫,૦૦૦ સુધી)</t>
  </si>
  <si>
    <t>80 D</t>
  </si>
  <si>
    <t>3. અંધ અપંગ કર્મચારીને મળતી ખાસ કપાત</t>
  </si>
  <si>
    <t>80 U</t>
  </si>
  <si>
    <t>(૪૦ ટકા અશક્તતા હોય તો રૂ.૭૫,૦૦૦. ૮૦ ટકા હોય તો ૧,૨૫,૦૦૦</t>
  </si>
  <si>
    <t>૫૦% મુજબ બાદ મળવાપાત્ર રકમ</t>
  </si>
  <si>
    <t>દાન આપેલ સંસ્થાનો પાનકાર્ડ નંબર ફરજિયાત લખો</t>
  </si>
  <si>
    <t>દાન આપેલ સંસ્થાનું નામ:</t>
  </si>
  <si>
    <t>કુલ કપાત:(એફ 1 થી 8 નો સરવાળો કરવો)</t>
  </si>
  <si>
    <t>કરપાત્ર આવક: (નજીકના ૧૦ રૂપિયામાં)</t>
  </si>
  <si>
    <t>કરપાત્ર આવકની ગણતરી</t>
  </si>
  <si>
    <t>માસ</t>
  </si>
  <si>
    <t>ટેક્ષની કપાત</t>
  </si>
  <si>
    <t>૧. પ્રથમ રૂ.૨,૫૦,૦૦૦  સુધી</t>
  </si>
  <si>
    <t>NIL</t>
  </si>
  <si>
    <t>૨. રૂ.૨,૫૦,૦૦૦ થી ૫,૦૦,૦૦૦ સુધીની રકમના ૫ %</t>
  </si>
  <si>
    <t>૩. રૂ. ૫,૦૦,૦૦૧ થી ૧૦,૦૦,૦૦૦ સુધીની રકમના ૨૦ %</t>
  </si>
  <si>
    <t>૪. રૂ.૧૦,૦૦,૦૦૧ થી વધુ પર ૩૦%</t>
  </si>
  <si>
    <t>બાદ રિબેટ 87 A (મહત્તમ રૂ. ૧૨,૫૦૦) કરપાત્ર આવક (G) મુજબ પાંચ લાખ સુધી હોય તો જ</t>
  </si>
  <si>
    <t>બાકી આવકવેરો</t>
  </si>
  <si>
    <t xml:space="preserve">ઉ.પ.ધો.તફાવત એ.ટેક્ષ </t>
  </si>
  <si>
    <t>અન્ય કપાયેલ ટેક્ષ</t>
  </si>
  <si>
    <t>સ્થળ:-</t>
  </si>
  <si>
    <t>તારીખ:-</t>
  </si>
  <si>
    <t>કર્મચારી ની સહી તથા હોદ્દો</t>
  </si>
  <si>
    <t>આચાર્યની સહી</t>
  </si>
  <si>
    <t xml:space="preserve">આવકવેરા ગણતરી પત્રક (નવા  સ્લેબ મુજબ) ( NEW REGIME ) </t>
  </si>
  <si>
    <t xml:space="preserve">NDCPS કપાત </t>
  </si>
  <si>
    <t>અન્ય આવક / પુરવણી બિલ</t>
  </si>
  <si>
    <t>બાદ</t>
  </si>
  <si>
    <t>૧. પ્રથમ રૂ.3,00,000  સુધી</t>
  </si>
  <si>
    <t>૨. રૂ.૩,૦૦,૦૦૦ થી 7,૦૦,૦૦૦ સુધીની રકમના ૫ %</t>
  </si>
  <si>
    <t>૩. રૂ. 7,00,000 થી 10,00,000  સુધીની રકમના ૧૦ %</t>
  </si>
  <si>
    <t>૪. રૂ.10,00૦૦,૦૦૧ થી 12,00,000 વધુ પર 15%</t>
  </si>
  <si>
    <t>5. રૂ.12,00,૦૦૧ થી 15,00,000 વધુ પર 2૦%</t>
  </si>
  <si>
    <t>6 રૂ.15,00૦૦,૦૦૧ થી વધુ પર 3૦%</t>
  </si>
  <si>
    <t>ઉપ ધો એડ. ટેક્સ</t>
  </si>
  <si>
    <t>સ્થળ</t>
  </si>
  <si>
    <t>તારીખ</t>
  </si>
  <si>
    <t>વર્ષ ૨૦૨૪ / ૨૫ નો માસવાર પગાર</t>
  </si>
  <si>
    <t xml:space="preserve">( 1 ) NDCPS મા સરકાર શ્રી નો હિસ્સો </t>
  </si>
  <si>
    <t>૧/૦૭/૨૪ થી ૩૦/૧૧/૨૪ ( ૩ % )</t>
  </si>
  <si>
    <t>૦૧/૦૭/૨૩ થી ૨૯/૦૨/૨૪ ( ૪ % )</t>
  </si>
  <si>
    <t>૦૧/૦૧/૨૪ થી ૩૦/૬/૨૪ (૪ % )</t>
  </si>
  <si>
    <t>ઇન્કમટેક્ષ PAN No</t>
  </si>
  <si>
    <t xml:space="preserve">અન્ય આવક/પુરવણી બિલ LTC </t>
  </si>
  <si>
    <t>ખાસ સુચના: (૧) ફોર્મ માં તમામ માહિતી સંપૂર્ણ ચોકસાઈથી ભરવી, કોઇ માહિતી અધૂરી રાખવી નહીં.  આચાર્ય સાહેબ શ્રી એ તમામ વિગતો તપાસી તેમાં સહી સિક્કા કરવાના રહેશે</t>
  </si>
  <si>
    <t>2.પેરેન્ટ્સ મેડીકલેમ પ્રીમિયમ (રૂ.૨૫,૦૦૦ સુધી)</t>
  </si>
  <si>
    <t>6. મુખ્ય મંત્રી રાહત ફંડ</t>
  </si>
  <si>
    <t>5. એજ્યુકેશન લોન 80 E</t>
  </si>
  <si>
    <t>7. NDCPS મા સરકાર શ્રી નો હિસ્સો ( 80 CCD- 2 )</t>
  </si>
  <si>
    <t>[B] કુલ ગ્રોસ આવક:</t>
  </si>
  <si>
    <t>કુલ ગ્રોસ આવક: [B] મુજબ</t>
  </si>
  <si>
    <t>[C] આવકમાંથી મળતી કપાત [U/S80-C]</t>
  </si>
  <si>
    <t>[D] બાકી આવક (B-C)</t>
  </si>
  <si>
    <t>[E]  (U/S 80) મુજબ બાદ મળતી અન્ય કપાત</t>
  </si>
  <si>
    <t>[F] કરપાત્ર આવક [D] - [E]</t>
  </si>
  <si>
    <t>[G] આવક વેરાની રકમ</t>
  </si>
  <si>
    <t>ઉપરની ગણતરી મુજબ આવકવેરાની કુલ રકમ [G] મુજબ</t>
  </si>
  <si>
    <t>[H] ઉમેરો એજ્યુકેશન સેસ 3% તથા મેડીકલ સેસ 1% કુલ 4 %</t>
  </si>
  <si>
    <t>[I] ભરવાપાત્ર આવકવેરાની રકામ</t>
  </si>
  <si>
    <t>[J] કલમ ૮૯ (૧) ઇ મુજબ બાદ જો હોય તો</t>
  </si>
  <si>
    <t>[K] કલમ ૮૯ (૧) ઇ મુજબ બાદ કર્યા બાદ રહેતી રકમ</t>
  </si>
  <si>
    <t>[L] બાદ: ચાલુ વર્ષમાં કપાત કરેલ /એડવાન્સ ટેક્ષ</t>
  </si>
  <si>
    <t>[M] બાકી રહેતા આવક વેરાની રકમ</t>
  </si>
  <si>
    <t>[C]  (U/S 80 CCD- 2) મુજબ બાદ મળતી  કપાત</t>
  </si>
  <si>
    <t>[D] કરપાત્ર આવક [B] - [C]</t>
  </si>
  <si>
    <t>[E] આવક વેરાની રકમ</t>
  </si>
  <si>
    <t>ઉપરની ગણતરી મુજબ આવકવેરાની કુલ રકમ [E] મુજબ</t>
  </si>
  <si>
    <t>[F] ઉમેરો એજ્યુકેશન સેસ 3% તથા મેડીકલ સેસ 1% કુલ 4 %</t>
  </si>
  <si>
    <t>[G] ભરવાપાત્ર આવકવેરાની રકામ</t>
  </si>
  <si>
    <t>[H] કલમ ૮૯ (૧) ઇ મુજબ બાદ જો હોય તો</t>
  </si>
  <si>
    <t>[I] કલમ ૮૯ (૧) ઇ મુજબ બાદ કર્યા બાદ રહેતી રકમ</t>
  </si>
  <si>
    <t>[J]બાદ: ચાલુ વર્ષમાં કપાત કરેલ /એડવાન્સ ટેક્ષ</t>
  </si>
  <si>
    <t>[K] બાકી રહેતા આવક વેરાની રકમ</t>
  </si>
  <si>
    <t xml:space="preserve">ખરેખર આપેલ દાન </t>
  </si>
  <si>
    <r>
      <rPr>
        <sz val="12"/>
        <color rgb="FF000000"/>
        <rFont val="SHREE_GUJ_OTF_0768"/>
        <charset val="1"/>
      </rPr>
      <t>8.</t>
    </r>
    <r>
      <rPr>
        <b/>
        <sz val="12"/>
        <color rgb="FF000000"/>
        <rFont val="SHREE_GUJ_OTF_0768"/>
        <charset val="1"/>
      </rPr>
      <t xml:space="preserve">  80 G (દાન) હેઠળ મળતી કપાત: કુલ કરપાત્ર આવક ના ૧૦% સુધી રોકણ કરી કરી શકો </t>
    </r>
  </si>
  <si>
    <t xml:space="preserve">સુચના </t>
  </si>
  <si>
    <t>2. જૂથ વીમો</t>
  </si>
  <si>
    <t>3  એલ.આઈ.સી પ્રીમિયમ (પગારમાંથી)</t>
  </si>
  <si>
    <t>4 એલ.આઈ.સી પ્રીમિયમ (પગાર કપાત સિવાય)</t>
  </si>
  <si>
    <t>5. પી.એલ.આઈ પ્રીમિયમ</t>
  </si>
  <si>
    <t>6  મકાન લોન મુદ્દલ</t>
  </si>
  <si>
    <t>7 . એન. એસ. સી. રોકાણ</t>
  </si>
  <si>
    <t>8 મ્યુચ્યુઅલ ફંડ (ઇ.એલ.એસ.એસ.)</t>
  </si>
  <si>
    <t>9 બજાજ/કોટક/આઇ.સી.આઇ.સી.આઇ વીમો</t>
  </si>
  <si>
    <t>10. સુકન્યા સમૃદ્ધિ યોજના</t>
  </si>
  <si>
    <t>11. પી.પી.એફ. રોકાણ</t>
  </si>
  <si>
    <t>12. બાળકોની શિક્ષણ ફી</t>
  </si>
  <si>
    <t xml:space="preserve">1.જી. પી. એફ </t>
  </si>
  <si>
    <r>
      <rPr>
        <sz val="10"/>
        <color rgb="FF000000"/>
        <rFont val="Times New Roman"/>
        <family val="1"/>
      </rPr>
      <t>4.</t>
    </r>
    <r>
      <rPr>
        <sz val="12"/>
        <color rgb="FF000000"/>
        <rFont val="SHREE_GUJ_OTF_0768"/>
        <charset val="1"/>
      </rPr>
      <t>NPS અલગ થી રોકાણ કર્યું હોય તો (મહત્તમ રૂ.૫૦,૦૦૦)80CCD1B</t>
    </r>
  </si>
  <si>
    <t>સૌ પ્રથમ પત્રક ભરતા પેહલા શરૂઆત જુના સ્લેબ થી ચાલુ કરવી.</t>
  </si>
  <si>
    <t>બધી વિગત ચકાસણી કરી ભરવી.</t>
  </si>
  <si>
    <t xml:space="preserve">જાન્યુ પેઇડ ફેબ્રુઆરી ૨૫ </t>
  </si>
  <si>
    <t xml:space="preserve">ફેબ્રુ પેઇડ માર્ચ ૨૫ </t>
  </si>
  <si>
    <t xml:space="preserve">                                                            કર્મચારી ની સહી તથા હોદ્દો</t>
  </si>
  <si>
    <t xml:space="preserve">                       આચાર્યની સહી</t>
  </si>
  <si>
    <t xml:space="preserve">         (NDCPS)</t>
  </si>
  <si>
    <t xml:space="preserve">           C P F </t>
  </si>
  <si>
    <t>બાદ :  7,00,000 થી ઓછી કરપાત્ર આવક હોય તો ટેક્સ રાહત 87/A મુજબ  રૂ/. 20000/-</t>
  </si>
  <si>
    <t xml:space="preserve">Marignal Relief   7,00,001 થી 7,22,222 ની આવક માટે      </t>
  </si>
  <si>
    <t xml:space="preserve">Marignal Relief બાદ કરતા ભરવાપાત્ર ટેક્સ </t>
  </si>
  <si>
    <t>[B] (૨) સ્ટાડૅડ ડિડકશન (તમામને રૂ.૭૫૦૦૦)(US/16)</t>
  </si>
  <si>
    <t>જુના સ્લેબમા પર્સનલ  માહિતી,કુલ પગાર,કપાત,ટેકસ,વિગેરે  માહિતી ફરજિયાત ભરવાની રહેશે.</t>
  </si>
  <si>
    <t>કોઈ વિગત અધૂરી રાખશો નહી જેથી પત્રક ભરવામાં પ્રોબ્લેમ થાય.</t>
  </si>
  <si>
    <t xml:space="preserve">નવા સ્લેબ માં કોઈ પણ માહિતી દાખલ કરવાની રહેશે નહિ. </t>
  </si>
  <si>
    <t>જુના સ્લેબ મુજબ આપેલ માહિતી મુજબ  નવા સ્લેબ માં  ઓટો માહિતી આવી જશે.</t>
  </si>
  <si>
    <t>આ સીટ  માં જ્યારે કોઈ બીજા વ્યક્તિ ની ગણતરી કરો ત્યારે સીટ ની  માહિતી કાઢી નાખશો.</t>
  </si>
  <si>
    <t xml:space="preserve">તાલુકા પંચાયત શિક્ષણ શાખા આમોદ </t>
  </si>
  <si>
    <t xml:space="preserve">       TPEO AMOD</t>
  </si>
  <si>
    <t>શબ્બીરભાઈ સુલેમાન સાપા</t>
  </si>
  <si>
    <t>તાલુકા પંચાયત આમોદ (શિક્ષણ શાખા)</t>
  </si>
  <si>
    <t>વર્ષ 2024 / 25 નો માસવાર પગાર</t>
  </si>
  <si>
    <t>માર્ચ પેઇડ એપ્રિલ 24</t>
  </si>
  <si>
    <t>એપ્રિલ પેઇડ મે 24</t>
  </si>
  <si>
    <t>મેં પેઇડ જૂન 24</t>
  </si>
  <si>
    <t>જૂન પેઇડ જુલાઈ 24</t>
  </si>
  <si>
    <t>જુલાઈ પેઇડ ઓગસ્ટ 24</t>
  </si>
  <si>
    <t>ઓગસ્ટ પેઇડ સપ્ટેમ્બર 24</t>
  </si>
  <si>
    <t>સપ્ટેમ્બર પેઇડ ઓક્ટો 24</t>
  </si>
  <si>
    <t>ઓક્ટો પેઇડ નવે 24</t>
  </si>
  <si>
    <t>નવે પેઇડ ડિસે 24</t>
  </si>
  <si>
    <t>ડિસે પેઇડ જાન્યુ. 25</t>
  </si>
  <si>
    <t>જાન્યુ. પેઈડ ફેબ્રુ. 25</t>
  </si>
  <si>
    <t>ફેબ્રુઆરી પેઇડ માર્ચ 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</si>
</sst>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7000447]0"/>
    <numFmt numFmtId="165" formatCode="dd/mm/yyyy;@"/>
  </numFmts>
  <fonts count="61">
    <font>
      <sz val="11"/>
      <color rgb="FF000000"/>
      <name val="Calibri"/>
      <scheme val="minor"/>
    </font>
    <font>
      <b/>
      <sz val="11"/>
      <color rgb="FF000000"/>
      <name val="Arimo"/>
    </font>
    <font>
      <sz val="11"/>
      <name val="Calibri"/>
      <family val="2"/>
    </font>
    <font>
      <b/>
      <sz val="10"/>
      <color rgb="FF000000"/>
      <name val="Arimo"/>
    </font>
    <font>
      <sz val="11"/>
      <name val="Arimo"/>
    </font>
    <font>
      <sz val="11"/>
      <color rgb="FF000000"/>
      <name val="Arimo"/>
    </font>
    <font>
      <sz val="12"/>
      <color rgb="FF000000"/>
      <name val="Arimo"/>
    </font>
    <font>
      <sz val="14"/>
      <color rgb="FF000000"/>
      <name val="Arimo"/>
    </font>
    <font>
      <b/>
      <sz val="9"/>
      <color rgb="FF000000"/>
      <name val="Times New Roman"/>
      <family val="1"/>
    </font>
    <font>
      <sz val="12"/>
      <color rgb="FF000000"/>
      <name val="Lmg-arun"/>
    </font>
    <font>
      <sz val="11"/>
      <color rgb="FF000000"/>
      <name val="Times New Roman"/>
      <family val="1"/>
    </font>
    <font>
      <sz val="11"/>
      <color rgb="FF000000"/>
      <name val="Lmg-arun"/>
    </font>
    <font>
      <sz val="14"/>
      <color rgb="FF000000"/>
      <name val="Times New Roman"/>
      <family val="1"/>
    </font>
    <font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2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u/>
      <sz val="11"/>
      <color indexed="12"/>
      <name val="Calibri"/>
      <family val="2"/>
    </font>
    <font>
      <sz val="14"/>
      <color rgb="FF000000"/>
      <name val="SHREE_GUJ_OTF_0768"/>
      <charset val="1"/>
    </font>
    <font>
      <sz val="14"/>
      <name val="SHREE_GUJ_OTF_0768"/>
      <charset val="1"/>
    </font>
    <font>
      <b/>
      <u/>
      <sz val="14"/>
      <color theme="4" tint="-0.499984740745262"/>
      <name val="SHREE_GUJ_OTF_0768"/>
      <charset val="1"/>
    </font>
    <font>
      <u/>
      <sz val="14"/>
      <color theme="4" tint="-0.499984740745262"/>
      <name val="SHREE_GUJ_OTF_0768"/>
      <charset val="1"/>
    </font>
    <font>
      <b/>
      <sz val="11"/>
      <color rgb="FF000000"/>
      <name val="SHREE_GUJ_OTF_0768"/>
      <charset val="1"/>
    </font>
    <font>
      <b/>
      <sz val="11"/>
      <name val="SHREE_GUJ_OTF_0768"/>
      <charset val="1"/>
    </font>
    <font>
      <b/>
      <sz val="9"/>
      <color rgb="FF000000"/>
      <name val="SHREE_GUJ_OTF_0768"/>
      <charset val="1"/>
    </font>
    <font>
      <sz val="11"/>
      <name val="SHREE_GUJ_OTF_0768"/>
      <charset val="1"/>
    </font>
    <font>
      <sz val="11"/>
      <color rgb="FF000000"/>
      <name val="SHREE_GUJ_OTF_0768"/>
      <charset val="1"/>
    </font>
    <font>
      <b/>
      <sz val="12"/>
      <color rgb="FF000000"/>
      <name val="SHREE_GUJ_OTF_0768"/>
      <charset val="1"/>
    </font>
    <font>
      <b/>
      <sz val="12"/>
      <name val="SHREE_GUJ_OTF_0768"/>
      <charset val="1"/>
    </font>
    <font>
      <sz val="12"/>
      <color rgb="FF000000"/>
      <name val="SHREE_GUJ_OTF_0768"/>
      <charset val="1"/>
    </font>
    <font>
      <sz val="12"/>
      <name val="SHREE_GUJ_OTF_0768"/>
      <charset val="1"/>
    </font>
    <font>
      <b/>
      <u/>
      <sz val="12"/>
      <color rgb="FF000000"/>
      <name val="SHREE_GUJ_OTF_0768"/>
      <charset val="1"/>
    </font>
    <font>
      <b/>
      <u/>
      <sz val="12"/>
      <name val="SHREE_GUJ_OTF_0768"/>
      <charset val="1"/>
    </font>
    <font>
      <b/>
      <u/>
      <sz val="11"/>
      <color rgb="FF000000"/>
      <name val="SHREE_GUJ_OTF_0768"/>
      <charset val="1"/>
    </font>
    <font>
      <u/>
      <sz val="11"/>
      <name val="SHREE_GUJ_OTF_0768"/>
      <charset val="1"/>
    </font>
    <font>
      <b/>
      <sz val="14"/>
      <color rgb="FF000000"/>
      <name val="SHREE_GUJ_OTF_0768"/>
      <charset val="1"/>
    </font>
    <font>
      <sz val="12"/>
      <color rgb="FF000000"/>
      <name val="SHREE_GUJ_OTF_0768"/>
      <family val="1"/>
      <charset val="1"/>
    </font>
    <font>
      <sz val="10"/>
      <color rgb="FF000000"/>
      <name val="Times New Roman"/>
      <family val="1"/>
    </font>
    <font>
      <b/>
      <sz val="14"/>
      <name val="SHREE_GUJ_OTF_0768"/>
      <charset val="1"/>
    </font>
    <font>
      <sz val="14"/>
      <color rgb="FF000000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b/>
      <sz val="12"/>
      <color rgb="FF000000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sz val="14"/>
      <name val="Times New Roman"/>
      <family val="1"/>
    </font>
    <font>
      <b/>
      <sz val="14"/>
      <color rgb="FF000000"/>
      <name val="Times New Roman"/>
      <family val="1"/>
    </font>
    <font>
      <b/>
      <sz val="14"/>
      <name val="Times New Roman"/>
      <family val="1"/>
    </font>
    <font>
      <b/>
      <sz val="14"/>
      <color theme="4" tint="-0.499984740745262"/>
      <name val="SHREE_GUJ_OTF_0768"/>
      <charset val="1"/>
    </font>
    <font>
      <u/>
      <sz val="14"/>
      <color rgb="FF0000FF"/>
      <name val="SHREE_GUJ_OTF_0768"/>
      <charset val="1"/>
    </font>
    <font>
      <b/>
      <sz val="11"/>
      <name val="Calibri"/>
      <family val="2"/>
    </font>
    <font>
      <u/>
      <sz val="12"/>
      <color theme="10"/>
      <name val="Times New Roman"/>
      <family val="1"/>
    </font>
    <font>
      <sz val="12"/>
      <color indexed="8"/>
      <name val="Times New Roman"/>
      <family val="1"/>
    </font>
    <font>
      <sz val="12"/>
      <color rgb="FF000000"/>
      <name val="Calibri"/>
      <family val="2"/>
      <scheme val="minor"/>
    </font>
    <font>
      <b/>
      <sz val="10"/>
      <color rgb="FF000000"/>
      <name val="Times New Roman"/>
      <family val="1"/>
    </font>
    <font>
      <b/>
      <sz val="20"/>
      <color rgb="FF3333FF"/>
      <name val="SHREE_GUJ_OTF_0768"/>
      <charset val="1"/>
    </font>
    <font>
      <b/>
      <sz val="16"/>
      <color rgb="FF3333FF"/>
      <name val="SHREE_GUJ_OTF_0768"/>
      <charset val="1"/>
    </font>
    <font>
      <b/>
      <sz val="15"/>
      <color rgb="FF3333FF"/>
      <name val="SHREE_GUJ_OTF_0768"/>
      <charset val="1"/>
    </font>
    <font>
      <b/>
      <u/>
      <sz val="16"/>
      <color rgb="FF3333FF"/>
      <name val="SHREE_GUJ_OTF_0768"/>
      <charset val="1"/>
    </font>
    <font>
      <sz val="16"/>
      <name val="SHREE_GUJ_OTF_0768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rgb="FFF6C3FF"/>
        <bgColor indexed="64"/>
      </patternFill>
    </fill>
  </fills>
  <borders count="14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rgb="FF000000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/>
      <diagonal/>
    </border>
    <border>
      <left/>
      <right style="medium">
        <color indexed="64"/>
      </right>
      <top style="medium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/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6" fillId="0" borderId="0"/>
    <xf numFmtId="0" fontId="18" fillId="0" borderId="0" applyNumberFormat="0" applyFill="0" applyBorder="0" applyAlignment="0" applyProtection="0">
      <alignment vertical="top"/>
      <protection locked="0"/>
    </xf>
  </cellStyleXfs>
  <cellXfs count="636">
    <xf numFmtId="0" fontId="0" fillId="0" borderId="0" xfId="0"/>
    <xf numFmtId="0" fontId="5" fillId="0" borderId="0" xfId="0" applyFont="1"/>
    <xf numFmtId="0" fontId="6" fillId="0" borderId="0" xfId="0" applyFont="1" applyAlignment="1">
      <alignment vertical="center"/>
    </xf>
    <xf numFmtId="164" fontId="0" fillId="0" borderId="0" xfId="0" applyNumberFormat="1"/>
    <xf numFmtId="0" fontId="19" fillId="0" borderId="4" xfId="0" applyFont="1" applyBorder="1" applyAlignment="1">
      <alignment vertical="center" wrapText="1"/>
    </xf>
    <xf numFmtId="0" fontId="40" fillId="0" borderId="10" xfId="0" applyFont="1" applyBorder="1" applyAlignment="1">
      <alignment horizontal="center" vertical="center"/>
    </xf>
    <xf numFmtId="0" fontId="14" fillId="0" borderId="0" xfId="0" applyFont="1"/>
    <xf numFmtId="0" fontId="6" fillId="0" borderId="0" xfId="0" applyFont="1"/>
    <xf numFmtId="0" fontId="54" fillId="0" borderId="0" xfId="0" applyFont="1"/>
    <xf numFmtId="0" fontId="0" fillId="0" borderId="0" xfId="0" applyProtection="1">
      <protection locked="0"/>
    </xf>
    <xf numFmtId="0" fontId="44" fillId="0" borderId="29" xfId="0" applyFont="1" applyBorder="1" applyProtection="1">
      <protection locked="0"/>
    </xf>
    <xf numFmtId="0" fontId="14" fillId="0" borderId="29" xfId="0" applyFont="1" applyBorder="1" applyAlignment="1" applyProtection="1">
      <alignment horizontal="center" vertical="center"/>
      <protection locked="0"/>
    </xf>
    <xf numFmtId="0" fontId="14" fillId="0" borderId="29" xfId="0" applyFont="1" applyBorder="1" applyAlignment="1" applyProtection="1">
      <alignment horizontal="right" vertical="center"/>
      <protection locked="0"/>
    </xf>
    <xf numFmtId="0" fontId="14" fillId="0" borderId="29" xfId="0" applyFont="1" applyBorder="1" applyAlignment="1" applyProtection="1">
      <alignment vertical="center"/>
      <protection locked="0"/>
    </xf>
    <xf numFmtId="0" fontId="44" fillId="0" borderId="33" xfId="0" applyFont="1" applyBorder="1" applyProtection="1">
      <protection locked="0"/>
    </xf>
    <xf numFmtId="0" fontId="14" fillId="0" borderId="33" xfId="0" applyFont="1" applyBorder="1" applyAlignment="1" applyProtection="1">
      <alignment horizontal="center" vertical="center"/>
      <protection locked="0"/>
    </xf>
    <xf numFmtId="0" fontId="14" fillId="0" borderId="33" xfId="0" applyFont="1" applyBorder="1" applyAlignment="1" applyProtection="1">
      <alignment horizontal="right" vertical="center"/>
      <protection locked="0"/>
    </xf>
    <xf numFmtId="0" fontId="14" fillId="0" borderId="33" xfId="0" applyFont="1" applyBorder="1" applyAlignment="1" applyProtection="1">
      <alignment vertical="center"/>
      <protection locked="0"/>
    </xf>
    <xf numFmtId="0" fontId="9" fillId="0" borderId="0" xfId="0" applyFont="1" applyAlignment="1">
      <alignment vertical="center"/>
    </xf>
    <xf numFmtId="0" fontId="10" fillId="0" borderId="0" xfId="0" applyFont="1"/>
    <xf numFmtId="0" fontId="11" fillId="0" borderId="0" xfId="0" applyFont="1"/>
    <xf numFmtId="0" fontId="30" fillId="0" borderId="0" xfId="0" applyFont="1"/>
    <xf numFmtId="0" fontId="5" fillId="0" borderId="0" xfId="0" applyFont="1" applyAlignment="1">
      <alignment vertical="center"/>
    </xf>
    <xf numFmtId="0" fontId="5" fillId="0" borderId="76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right" vertical="center"/>
    </xf>
    <xf numFmtId="0" fontId="7" fillId="0" borderId="0" xfId="0" applyFont="1" applyAlignment="1">
      <alignment horizontal="center" vertical="center"/>
    </xf>
    <xf numFmtId="0" fontId="7" fillId="0" borderId="76" xfId="0" applyFont="1" applyBorder="1" applyAlignment="1">
      <alignment horizontal="center" vertical="center"/>
    </xf>
    <xf numFmtId="0" fontId="30" fillId="0" borderId="0" xfId="0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30" fillId="0" borderId="0" xfId="0" applyFont="1" applyAlignment="1">
      <alignment vertical="center"/>
    </xf>
    <xf numFmtId="0" fontId="30" fillId="0" borderId="7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76" xfId="0" applyFont="1" applyBorder="1" applyAlignment="1">
      <alignment horizontal="right" vertical="center"/>
    </xf>
    <xf numFmtId="0" fontId="6" fillId="0" borderId="75" xfId="0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0" fillId="0" borderId="76" xfId="0" applyBorder="1"/>
    <xf numFmtId="0" fontId="5" fillId="0" borderId="67" xfId="0" applyFont="1" applyBorder="1"/>
    <xf numFmtId="0" fontId="5" fillId="0" borderId="68" xfId="0" applyFont="1" applyBorder="1"/>
    <xf numFmtId="0" fontId="7" fillId="0" borderId="68" xfId="0" applyFont="1" applyBorder="1" applyAlignment="1">
      <alignment horizontal="left" vertical="center"/>
    </xf>
    <xf numFmtId="0" fontId="0" fillId="6" borderId="64" xfId="0" applyFill="1" applyBorder="1"/>
    <xf numFmtId="0" fontId="0" fillId="6" borderId="65" xfId="0" applyFill="1" applyBorder="1"/>
    <xf numFmtId="0" fontId="0" fillId="6" borderId="66" xfId="0" applyFill="1" applyBorder="1"/>
    <xf numFmtId="0" fontId="0" fillId="6" borderId="75" xfId="0" applyFill="1" applyBorder="1"/>
    <xf numFmtId="0" fontId="0" fillId="6" borderId="76" xfId="0" applyFill="1" applyBorder="1"/>
    <xf numFmtId="0" fontId="0" fillId="6" borderId="73" xfId="0" applyFill="1" applyBorder="1"/>
    <xf numFmtId="0" fontId="0" fillId="6" borderId="67" xfId="0" applyFill="1" applyBorder="1"/>
    <xf numFmtId="0" fontId="0" fillId="6" borderId="68" xfId="0" applyFill="1" applyBorder="1"/>
    <xf numFmtId="0" fontId="0" fillId="6" borderId="69" xfId="0" applyFill="1" applyBorder="1"/>
    <xf numFmtId="0" fontId="14" fillId="0" borderId="101" xfId="0" applyFont="1" applyBorder="1" applyAlignment="1" applyProtection="1">
      <alignment vertical="center"/>
      <protection locked="0"/>
    </xf>
    <xf numFmtId="0" fontId="14" fillId="0" borderId="102" xfId="0" applyFont="1" applyBorder="1" applyAlignment="1" applyProtection="1">
      <alignment vertical="center"/>
      <protection locked="0"/>
    </xf>
    <xf numFmtId="0" fontId="43" fillId="0" borderId="0" xfId="0" applyFont="1" applyAlignment="1">
      <alignment vertical="center"/>
    </xf>
    <xf numFmtId="0" fontId="43" fillId="0" borderId="76" xfId="0" applyFont="1" applyBorder="1" applyAlignment="1">
      <alignment vertical="center"/>
    </xf>
    <xf numFmtId="0" fontId="32" fillId="0" borderId="108" xfId="0" applyFont="1" applyBorder="1" applyAlignment="1">
      <alignment vertical="center"/>
    </xf>
    <xf numFmtId="0" fontId="45" fillId="0" borderId="111" xfId="0" applyFont="1" applyBorder="1"/>
    <xf numFmtId="0" fontId="43" fillId="0" borderId="111" xfId="0" applyFont="1" applyBorder="1" applyAlignment="1">
      <alignment horizontal="center" vertical="center"/>
    </xf>
    <xf numFmtId="0" fontId="43" fillId="0" borderId="111" xfId="0" applyFont="1" applyBorder="1" applyAlignment="1">
      <alignment vertical="center"/>
    </xf>
    <xf numFmtId="0" fontId="43" fillId="0" borderId="112" xfId="0" applyFont="1" applyBorder="1" applyAlignment="1">
      <alignment vertical="center"/>
    </xf>
    <xf numFmtId="0" fontId="1" fillId="0" borderId="64" xfId="0" applyFont="1" applyBorder="1" applyAlignment="1">
      <alignment vertical="center"/>
    </xf>
    <xf numFmtId="0" fontId="1" fillId="0" borderId="66" xfId="0" applyFont="1" applyBorder="1" applyAlignment="1">
      <alignment vertical="center"/>
    </xf>
    <xf numFmtId="0" fontId="43" fillId="0" borderId="70" xfId="0" applyFont="1" applyBorder="1" applyAlignment="1" applyProtection="1">
      <alignment horizontal="right" vertical="center"/>
      <protection locked="0"/>
    </xf>
    <xf numFmtId="0" fontId="1" fillId="0" borderId="0" xfId="0" applyFont="1" applyAlignment="1">
      <alignment horizontal="right" vertical="center"/>
    </xf>
    <xf numFmtId="0" fontId="43" fillId="0" borderId="57" xfId="0" applyFont="1" applyBorder="1" applyAlignment="1">
      <alignment horizontal="right" vertical="center"/>
    </xf>
    <xf numFmtId="0" fontId="43" fillId="0" borderId="58" xfId="0" applyFont="1" applyBorder="1" applyAlignment="1">
      <alignment horizontal="right" vertical="center"/>
    </xf>
    <xf numFmtId="0" fontId="1" fillId="0" borderId="76" xfId="0" applyFont="1" applyBorder="1" applyAlignment="1">
      <alignment horizontal="right" vertical="center"/>
    </xf>
    <xf numFmtId="0" fontId="7" fillId="0" borderId="63" xfId="0" applyFont="1" applyBorder="1" applyAlignment="1">
      <alignment vertical="center"/>
    </xf>
    <xf numFmtId="0" fontId="7" fillId="0" borderId="58" xfId="0" applyFont="1" applyBorder="1" applyAlignment="1">
      <alignment vertical="center"/>
    </xf>
    <xf numFmtId="0" fontId="7" fillId="0" borderId="75" xfId="0" applyFont="1" applyBorder="1" applyAlignment="1">
      <alignment horizontal="center" vertical="center"/>
    </xf>
    <xf numFmtId="0" fontId="7" fillId="0" borderId="67" xfId="0" applyFont="1" applyBorder="1" applyAlignment="1">
      <alignment horizontal="center" vertical="center"/>
    </xf>
    <xf numFmtId="0" fontId="7" fillId="0" borderId="68" xfId="0" applyFont="1" applyBorder="1" applyAlignment="1">
      <alignment horizontal="center" vertical="center"/>
    </xf>
    <xf numFmtId="0" fontId="7" fillId="0" borderId="69" xfId="0" applyFont="1" applyBorder="1" applyAlignment="1">
      <alignment horizontal="center" vertical="center"/>
    </xf>
    <xf numFmtId="0" fontId="30" fillId="0" borderId="57" xfId="0" applyFont="1" applyBorder="1" applyAlignment="1">
      <alignment horizontal="left" vertical="center"/>
    </xf>
    <xf numFmtId="0" fontId="30" fillId="0" borderId="63" xfId="0" applyFont="1" applyBorder="1" applyAlignment="1">
      <alignment horizontal="left" vertical="center"/>
    </xf>
    <xf numFmtId="0" fontId="30" fillId="0" borderId="64" xfId="0" applyFont="1" applyBorder="1" applyAlignment="1">
      <alignment horizontal="left" vertical="center"/>
    </xf>
    <xf numFmtId="0" fontId="30" fillId="0" borderId="65" xfId="0" applyFont="1" applyBorder="1" applyAlignment="1">
      <alignment horizontal="left" vertical="center"/>
    </xf>
    <xf numFmtId="0" fontId="30" fillId="0" borderId="67" xfId="0" applyFont="1" applyBorder="1" applyAlignment="1">
      <alignment horizontal="left" vertical="center"/>
    </xf>
    <xf numFmtId="0" fontId="30" fillId="0" borderId="68" xfId="0" applyFont="1" applyBorder="1" applyAlignment="1">
      <alignment horizontal="left" vertical="center"/>
    </xf>
    <xf numFmtId="0" fontId="30" fillId="0" borderId="58" xfId="0" applyFont="1" applyBorder="1" applyAlignment="1">
      <alignment horizontal="left" vertical="center"/>
    </xf>
    <xf numFmtId="0" fontId="30" fillId="0" borderId="76" xfId="0" applyFont="1" applyBorder="1" applyAlignment="1">
      <alignment horizontal="left" vertical="center"/>
    </xf>
    <xf numFmtId="0" fontId="30" fillId="0" borderId="66" xfId="0" applyFont="1" applyBorder="1" applyAlignment="1">
      <alignment horizontal="left" vertical="center"/>
    </xf>
    <xf numFmtId="0" fontId="30" fillId="0" borderId="69" xfId="0" applyFont="1" applyBorder="1" applyAlignment="1">
      <alignment horizontal="left" vertical="center"/>
    </xf>
    <xf numFmtId="0" fontId="30" fillId="0" borderId="64" xfId="0" applyFont="1" applyBorder="1" applyAlignment="1">
      <alignment vertical="center"/>
    </xf>
    <xf numFmtId="0" fontId="30" fillId="0" borderId="65" xfId="0" applyFont="1" applyBorder="1"/>
    <xf numFmtId="0" fontId="7" fillId="0" borderId="66" xfId="0" applyFont="1" applyBorder="1" applyAlignment="1">
      <alignment vertical="center"/>
    </xf>
    <xf numFmtId="0" fontId="7" fillId="0" borderId="64" xfId="0" applyFont="1" applyBorder="1" applyAlignment="1">
      <alignment vertical="center"/>
    </xf>
    <xf numFmtId="0" fontId="7" fillId="0" borderId="131" xfId="0" applyFont="1" applyBorder="1" applyAlignment="1">
      <alignment vertical="center"/>
    </xf>
    <xf numFmtId="0" fontId="7" fillId="0" borderId="132" xfId="0" applyFont="1" applyBorder="1" applyAlignment="1">
      <alignment vertical="center"/>
    </xf>
    <xf numFmtId="0" fontId="30" fillId="0" borderId="66" xfId="0" applyFont="1" applyBorder="1"/>
    <xf numFmtId="0" fontId="30" fillId="0" borderId="132" xfId="0" applyFont="1" applyBorder="1" applyAlignment="1">
      <alignment vertical="center"/>
    </xf>
    <xf numFmtId="0" fontId="30" fillId="0" borderId="58" xfId="0" applyFont="1" applyBorder="1" applyAlignment="1">
      <alignment vertical="center"/>
    </xf>
    <xf numFmtId="0" fontId="0" fillId="0" borderId="67" xfId="0" applyBorder="1"/>
    <xf numFmtId="0" fontId="30" fillId="0" borderId="68" xfId="0" applyFont="1" applyBorder="1"/>
    <xf numFmtId="0" fontId="30" fillId="0" borderId="69" xfId="0" applyFont="1" applyBorder="1" applyAlignment="1">
      <alignment vertical="center"/>
    </xf>
    <xf numFmtId="0" fontId="30" fillId="0" borderId="57" xfId="0" applyFont="1" applyBorder="1" applyAlignment="1">
      <alignment vertical="center"/>
    </xf>
    <xf numFmtId="0" fontId="30" fillId="0" borderId="63" xfId="0" applyFont="1" applyBorder="1" applyAlignment="1">
      <alignment vertical="center"/>
    </xf>
    <xf numFmtId="0" fontId="49" fillId="0" borderId="4" xfId="0" applyFont="1" applyBorder="1" applyAlignment="1">
      <alignment horizontal="left" vertical="center"/>
    </xf>
    <xf numFmtId="0" fontId="19" fillId="0" borderId="4" xfId="0" applyFont="1" applyBorder="1" applyAlignment="1">
      <alignment horizontal="left" vertical="center"/>
    </xf>
    <xf numFmtId="0" fontId="19" fillId="0" borderId="14" xfId="0" applyFont="1" applyBorder="1" applyAlignment="1">
      <alignment horizontal="left" vertical="center" wrapText="1"/>
    </xf>
    <xf numFmtId="0" fontId="19" fillId="0" borderId="4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left"/>
    </xf>
    <xf numFmtId="0" fontId="19" fillId="0" borderId="6" xfId="0" applyFont="1" applyBorder="1" applyAlignment="1">
      <alignment vertical="center" wrapText="1"/>
    </xf>
    <xf numFmtId="0" fontId="30" fillId="0" borderId="8" xfId="0" applyFont="1" applyBorder="1" applyAlignment="1">
      <alignment vertical="center"/>
    </xf>
    <xf numFmtId="0" fontId="30" fillId="0" borderId="8" xfId="0" applyFont="1" applyBorder="1" applyAlignment="1">
      <alignment horizontal="center" vertical="center"/>
    </xf>
    <xf numFmtId="0" fontId="30" fillId="0" borderId="50" xfId="0" applyFont="1" applyBorder="1" applyAlignment="1">
      <alignment vertical="center"/>
    </xf>
    <xf numFmtId="0" fontId="30" fillId="0" borderId="13" xfId="0" applyFont="1" applyBorder="1" applyAlignment="1">
      <alignment vertical="center" wrapText="1"/>
    </xf>
    <xf numFmtId="0" fontId="36" fillId="0" borderId="13" xfId="0" applyFont="1" applyBorder="1" applyAlignment="1">
      <alignment vertical="center"/>
    </xf>
    <xf numFmtId="0" fontId="47" fillId="2" borderId="51" xfId="0" applyFont="1" applyFill="1" applyBorder="1" applyAlignment="1">
      <alignment vertical="center"/>
    </xf>
    <xf numFmtId="0" fontId="47" fillId="2" borderId="52" xfId="0" applyFont="1" applyFill="1" applyBorder="1" applyAlignment="1">
      <alignment vertical="center"/>
    </xf>
    <xf numFmtId="0" fontId="0" fillId="6" borderId="70" xfId="0" applyFill="1" applyBorder="1"/>
    <xf numFmtId="0" fontId="56" fillId="3" borderId="70" xfId="0" applyFont="1" applyFill="1" applyBorder="1" applyAlignment="1">
      <alignment horizontal="center"/>
    </xf>
    <xf numFmtId="0" fontId="57" fillId="3" borderId="72" xfId="0" applyFont="1" applyFill="1" applyBorder="1" applyAlignment="1">
      <alignment horizontal="center"/>
    </xf>
    <xf numFmtId="0" fontId="58" fillId="3" borderId="74" xfId="0" applyFont="1" applyFill="1" applyBorder="1" applyAlignment="1">
      <alignment horizontal="center"/>
    </xf>
    <xf numFmtId="0" fontId="59" fillId="3" borderId="72" xfId="0" applyFont="1" applyFill="1" applyBorder="1" applyAlignment="1">
      <alignment horizontal="center"/>
    </xf>
    <xf numFmtId="0" fontId="60" fillId="3" borderId="73" xfId="0" applyFont="1" applyFill="1" applyBorder="1"/>
    <xf numFmtId="0" fontId="36" fillId="0" borderId="75" xfId="0" applyFont="1" applyBorder="1" applyAlignment="1">
      <alignment horizontal="left" vertical="center"/>
    </xf>
    <xf numFmtId="0" fontId="28" fillId="0" borderId="0" xfId="0" applyFont="1"/>
    <xf numFmtId="0" fontId="12" fillId="0" borderId="65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12" fillId="0" borderId="0" xfId="0" applyFont="1" applyAlignment="1">
      <alignment horizontal="right" vertical="center"/>
    </xf>
    <xf numFmtId="0" fontId="30" fillId="0" borderId="3" xfId="0" applyFont="1" applyBorder="1" applyAlignment="1">
      <alignment vertical="center"/>
    </xf>
    <xf numFmtId="0" fontId="13" fillId="0" borderId="0" xfId="0" applyFont="1" applyAlignment="1">
      <alignment horizontal="center" vertical="center"/>
    </xf>
    <xf numFmtId="0" fontId="30" fillId="0" borderId="81" xfId="0" applyFont="1" applyBorder="1" applyAlignment="1">
      <alignment horizontal="left" vertical="top"/>
    </xf>
    <xf numFmtId="0" fontId="30" fillId="0" borderId="139" xfId="0" applyFont="1" applyBorder="1" applyAlignment="1">
      <alignment horizontal="left" vertical="top"/>
    </xf>
    <xf numFmtId="0" fontId="36" fillId="0" borderId="108" xfId="0" applyFont="1" applyBorder="1" applyAlignment="1">
      <alignment horizontal="center" vertical="center"/>
    </xf>
    <xf numFmtId="0" fontId="39" fillId="0" borderId="92" xfId="0" applyFont="1" applyBorder="1"/>
    <xf numFmtId="0" fontId="29" fillId="0" borderId="76" xfId="0" applyFont="1" applyBorder="1"/>
    <xf numFmtId="0" fontId="28" fillId="0" borderId="0" xfId="0" applyFont="1" applyAlignment="1">
      <alignment horizontal="center" vertical="center"/>
    </xf>
    <xf numFmtId="0" fontId="13" fillId="0" borderId="0" xfId="0" applyFont="1" applyAlignment="1">
      <alignment vertical="center"/>
    </xf>
    <xf numFmtId="0" fontId="12" fillId="0" borderId="0" xfId="0" applyFont="1" applyAlignment="1">
      <alignment horizontal="left" vertical="center"/>
    </xf>
    <xf numFmtId="0" fontId="36" fillId="0" borderId="67" xfId="0" applyFont="1" applyBorder="1" applyAlignment="1">
      <alignment horizontal="left" vertical="center"/>
    </xf>
    <xf numFmtId="0" fontId="13" fillId="0" borderId="68" xfId="0" applyFont="1" applyBorder="1" applyAlignment="1">
      <alignment horizontal="center" vertical="center"/>
    </xf>
    <xf numFmtId="0" fontId="2" fillId="0" borderId="68" xfId="0" applyFont="1" applyBorder="1"/>
    <xf numFmtId="0" fontId="13" fillId="0" borderId="68" xfId="0" applyFont="1" applyBorder="1" applyAlignment="1">
      <alignment vertical="center"/>
    </xf>
    <xf numFmtId="0" fontId="13" fillId="0" borderId="68" xfId="0" applyFont="1" applyBorder="1" applyAlignment="1">
      <alignment horizontal="left" vertical="center"/>
    </xf>
    <xf numFmtId="0" fontId="12" fillId="0" borderId="68" xfId="0" applyFont="1" applyBorder="1" applyAlignment="1">
      <alignment horizontal="left" vertical="center"/>
    </xf>
    <xf numFmtId="0" fontId="36" fillId="0" borderId="68" xfId="0" applyFont="1" applyBorder="1" applyAlignment="1">
      <alignment horizontal="center" vertical="center"/>
    </xf>
    <xf numFmtId="0" fontId="19" fillId="0" borderId="68" xfId="0" applyFont="1" applyBorder="1"/>
    <xf numFmtId="0" fontId="20" fillId="0" borderId="69" xfId="0" applyFont="1" applyBorder="1"/>
    <xf numFmtId="0" fontId="21" fillId="0" borderId="94" xfId="0" applyFont="1" applyBorder="1" applyAlignment="1">
      <alignment vertical="center"/>
    </xf>
    <xf numFmtId="0" fontId="19" fillId="0" borderId="94" xfId="0" applyFont="1" applyBorder="1" applyAlignment="1">
      <alignment horizontal="left" vertical="center"/>
    </xf>
    <xf numFmtId="0" fontId="19" fillId="0" borderId="4" xfId="0" applyFont="1" applyBorder="1" applyAlignment="1">
      <alignment vertical="center"/>
    </xf>
    <xf numFmtId="0" fontId="19" fillId="0" borderId="97" xfId="0" applyFont="1" applyBorder="1" applyAlignment="1">
      <alignment horizontal="left" vertical="center" wrapText="1"/>
    </xf>
    <xf numFmtId="0" fontId="19" fillId="0" borderId="94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center"/>
    </xf>
    <xf numFmtId="0" fontId="19" fillId="0" borderId="98" xfId="0" applyFont="1" applyBorder="1" applyAlignment="1">
      <alignment horizontal="center" vertical="center" wrapText="1"/>
    </xf>
    <xf numFmtId="0" fontId="43" fillId="0" borderId="53" xfId="0" applyFont="1" applyBorder="1" applyAlignment="1">
      <alignment horizontal="center" vertical="center"/>
    </xf>
    <xf numFmtId="0" fontId="55" fillId="0" borderId="54" xfId="0" applyFont="1" applyBorder="1" applyAlignment="1">
      <alignment horizontal="center" vertical="center"/>
    </xf>
    <xf numFmtId="0" fontId="43" fillId="0" borderId="34" xfId="0" applyFont="1" applyBorder="1" applyAlignment="1">
      <alignment horizontal="center" vertical="center"/>
    </xf>
    <xf numFmtId="0" fontId="55" fillId="0" borderId="36" xfId="0" applyFont="1" applyBorder="1" applyAlignment="1">
      <alignment horizontal="center" vertical="center"/>
    </xf>
    <xf numFmtId="0" fontId="28" fillId="0" borderId="26" xfId="0" applyFont="1" applyBorder="1" applyAlignment="1">
      <alignment vertical="center"/>
    </xf>
    <xf numFmtId="0" fontId="28" fillId="0" borderId="100" xfId="0" applyFont="1" applyBorder="1" applyAlignment="1">
      <alignment vertical="center"/>
    </xf>
    <xf numFmtId="0" fontId="30" fillId="0" borderId="81" xfId="0" applyFont="1" applyBorder="1" applyAlignment="1">
      <alignment vertical="center"/>
    </xf>
    <xf numFmtId="0" fontId="30" fillId="0" borderId="81" xfId="0" applyFont="1" applyBorder="1" applyAlignment="1">
      <alignment horizontal="center" vertical="center"/>
    </xf>
    <xf numFmtId="0" fontId="4" fillId="0" borderId="33" xfId="0" applyFont="1" applyBorder="1"/>
    <xf numFmtId="0" fontId="5" fillId="0" borderId="33" xfId="0" applyFont="1" applyBorder="1" applyAlignment="1">
      <alignment vertical="center"/>
    </xf>
    <xf numFmtId="0" fontId="5" fillId="0" borderId="102" xfId="0" applyFont="1" applyBorder="1" applyAlignment="1">
      <alignment vertical="center"/>
    </xf>
    <xf numFmtId="0" fontId="30" fillId="0" borderId="99" xfId="0" applyFont="1" applyBorder="1" applyAlignment="1">
      <alignment vertical="center" wrapText="1"/>
    </xf>
    <xf numFmtId="0" fontId="53" fillId="0" borderId="114" xfId="1" applyFont="1" applyBorder="1" applyAlignment="1" applyProtection="1">
      <alignment horizontal="center" vertical="center"/>
      <protection locked="0"/>
    </xf>
    <xf numFmtId="0" fontId="53" fillId="0" borderId="63" xfId="1" applyFont="1" applyBorder="1" applyAlignment="1" applyProtection="1">
      <alignment horizontal="center" vertical="center"/>
      <protection locked="0"/>
    </xf>
    <xf numFmtId="0" fontId="53" fillId="0" borderId="58" xfId="1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4" fillId="0" borderId="2" xfId="0" applyFont="1" applyBorder="1" applyAlignment="1" applyProtection="1">
      <alignment horizontal="center" vertical="center"/>
      <protection locked="0"/>
    </xf>
    <xf numFmtId="0" fontId="14" fillId="0" borderId="3" xfId="0" applyFont="1" applyBorder="1" applyAlignment="1" applyProtection="1">
      <alignment horizontal="center" vertical="center"/>
      <protection locked="0"/>
    </xf>
    <xf numFmtId="0" fontId="44" fillId="0" borderId="30" xfId="0" applyFont="1" applyBorder="1" applyAlignment="1" applyProtection="1">
      <alignment horizontal="center"/>
      <protection locked="0"/>
    </xf>
    <xf numFmtId="0" fontId="44" fillId="0" borderId="32" xfId="0" applyFont="1" applyBorder="1" applyProtection="1">
      <protection locked="0"/>
    </xf>
    <xf numFmtId="0" fontId="44" fillId="0" borderId="61" xfId="0" applyFont="1" applyBorder="1" applyAlignment="1">
      <alignment horizontal="center"/>
    </xf>
    <xf numFmtId="0" fontId="44" fillId="0" borderId="62" xfId="0" applyFont="1" applyBorder="1" applyAlignment="1">
      <alignment horizontal="center"/>
    </xf>
    <xf numFmtId="0" fontId="44" fillId="0" borderId="29" xfId="0" applyFont="1" applyBorder="1" applyAlignment="1">
      <alignment horizontal="center"/>
    </xf>
    <xf numFmtId="0" fontId="14" fillId="0" borderId="61" xfId="0" applyFont="1" applyBorder="1" applyAlignment="1">
      <alignment horizontal="center" vertical="center"/>
    </xf>
    <xf numFmtId="0" fontId="14" fillId="0" borderId="62" xfId="0" applyFont="1" applyBorder="1" applyAlignment="1">
      <alignment horizontal="center" vertical="center"/>
    </xf>
    <xf numFmtId="0" fontId="14" fillId="0" borderId="2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/>
    </xf>
    <xf numFmtId="0" fontId="17" fillId="0" borderId="32" xfId="0" applyFont="1" applyBorder="1"/>
    <xf numFmtId="0" fontId="30" fillId="0" borderId="99" xfId="0" applyFont="1" applyBorder="1" applyAlignment="1">
      <alignment horizontal="center" vertical="center" wrapText="1"/>
    </xf>
    <xf numFmtId="0" fontId="31" fillId="0" borderId="98" xfId="0" applyFont="1" applyBorder="1"/>
    <xf numFmtId="0" fontId="28" fillId="0" borderId="53" xfId="0" applyFont="1" applyBorder="1" applyAlignment="1">
      <alignment horizontal="center" vertical="center" wrapText="1"/>
    </xf>
    <xf numFmtId="0" fontId="29" fillId="0" borderId="51" xfId="0" applyFont="1" applyBorder="1"/>
    <xf numFmtId="0" fontId="29" fillId="0" borderId="54" xfId="0" applyFont="1" applyBorder="1"/>
    <xf numFmtId="0" fontId="29" fillId="0" borderId="34" xfId="0" applyFont="1" applyBorder="1"/>
    <xf numFmtId="0" fontId="29" fillId="0" borderId="35" xfId="0" applyFont="1" applyBorder="1"/>
    <xf numFmtId="0" fontId="29" fillId="0" borderId="36" xfId="0" applyFont="1" applyBorder="1"/>
    <xf numFmtId="0" fontId="19" fillId="0" borderId="96" xfId="0" applyFont="1" applyBorder="1" applyAlignment="1">
      <alignment horizontal="left" vertical="center" wrapText="1"/>
    </xf>
    <xf numFmtId="0" fontId="20" fillId="0" borderId="97" xfId="0" applyFont="1" applyBorder="1" applyAlignment="1">
      <alignment horizontal="left"/>
    </xf>
    <xf numFmtId="0" fontId="52" fillId="0" borderId="34" xfId="2" applyFont="1" applyBorder="1" applyAlignment="1" applyProtection="1">
      <alignment horizontal="center" vertical="center"/>
      <protection locked="0"/>
    </xf>
    <xf numFmtId="0" fontId="44" fillId="0" borderId="35" xfId="0" applyFont="1" applyBorder="1" applyProtection="1">
      <protection locked="0"/>
    </xf>
    <xf numFmtId="0" fontId="44" fillId="0" borderId="36" xfId="0" applyFont="1" applyBorder="1" applyProtection="1">
      <protection locked="0"/>
    </xf>
    <xf numFmtId="1" fontId="14" fillId="0" borderId="1" xfId="0" applyNumberFormat="1" applyFont="1" applyBorder="1" applyAlignment="1" applyProtection="1">
      <alignment horizontal="center" vertical="center"/>
      <protection locked="0"/>
    </xf>
    <xf numFmtId="0" fontId="44" fillId="0" borderId="2" xfId="0" applyFont="1" applyBorder="1" applyProtection="1">
      <protection locked="0"/>
    </xf>
    <xf numFmtId="0" fontId="44" fillId="0" borderId="3" xfId="0" applyFont="1" applyBorder="1" applyProtection="1">
      <protection locked="0"/>
    </xf>
    <xf numFmtId="0" fontId="14" fillId="0" borderId="30" xfId="0" applyFont="1" applyBorder="1" applyAlignment="1" applyProtection="1">
      <alignment horizontal="center" vertical="center"/>
      <protection locked="0"/>
    </xf>
    <xf numFmtId="0" fontId="44" fillId="0" borderId="31" xfId="0" applyFont="1" applyBorder="1" applyProtection="1">
      <protection locked="0"/>
    </xf>
    <xf numFmtId="0" fontId="14" fillId="0" borderId="27" xfId="0" applyFont="1" applyBorder="1" applyAlignment="1" applyProtection="1">
      <alignment horizontal="center" vertical="center"/>
      <protection locked="0"/>
    </xf>
    <xf numFmtId="0" fontId="44" fillId="0" borderId="48" xfId="0" applyFont="1" applyBorder="1" applyProtection="1">
      <protection locked="0"/>
    </xf>
    <xf numFmtId="0" fontId="44" fillId="0" borderId="28" xfId="0" applyFont="1" applyBorder="1" applyProtection="1">
      <protection locked="0"/>
    </xf>
    <xf numFmtId="0" fontId="14" fillId="0" borderId="41" xfId="0" applyFont="1" applyBorder="1" applyAlignment="1" applyProtection="1">
      <alignment horizontal="center" vertical="center"/>
      <protection locked="0"/>
    </xf>
    <xf numFmtId="0" fontId="14" fillId="0" borderId="39" xfId="0" applyFont="1" applyBorder="1" applyAlignment="1" applyProtection="1">
      <alignment horizontal="center" vertical="center"/>
      <protection locked="0"/>
    </xf>
    <xf numFmtId="0" fontId="14" fillId="0" borderId="40" xfId="0" applyFont="1" applyBorder="1" applyAlignment="1" applyProtection="1">
      <alignment horizontal="center" vertical="center"/>
      <protection locked="0"/>
    </xf>
    <xf numFmtId="0" fontId="14" fillId="0" borderId="31" xfId="0" applyFont="1" applyBorder="1" applyAlignment="1" applyProtection="1">
      <alignment horizontal="center" vertical="center"/>
      <protection locked="0"/>
    </xf>
    <xf numFmtId="0" fontId="14" fillId="0" borderId="32" xfId="0" applyFont="1" applyBorder="1" applyAlignment="1" applyProtection="1">
      <alignment horizontal="center" vertical="center"/>
      <protection locked="0"/>
    </xf>
    <xf numFmtId="0" fontId="44" fillId="0" borderId="11" xfId="0" applyFont="1" applyBorder="1" applyProtection="1">
      <protection locked="0"/>
    </xf>
    <xf numFmtId="0" fontId="44" fillId="0" borderId="12" xfId="0" applyFont="1" applyBorder="1" applyProtection="1">
      <protection locked="0"/>
    </xf>
    <xf numFmtId="0" fontId="44" fillId="0" borderId="27" xfId="0" applyFont="1" applyBorder="1" applyAlignment="1" applyProtection="1">
      <alignment horizontal="center"/>
      <protection locked="0"/>
    </xf>
    <xf numFmtId="0" fontId="28" fillId="0" borderId="10" xfId="0" applyFont="1" applyBorder="1" applyAlignment="1">
      <alignment horizontal="center" vertical="center" wrapText="1"/>
    </xf>
    <xf numFmtId="0" fontId="28" fillId="0" borderId="14" xfId="0" applyFont="1" applyBorder="1" applyAlignment="1">
      <alignment horizontal="center" vertical="center" wrapText="1"/>
    </xf>
    <xf numFmtId="0" fontId="28" fillId="0" borderId="51" xfId="0" applyFont="1" applyBorder="1" applyAlignment="1">
      <alignment horizontal="center" vertical="center" wrapText="1"/>
    </xf>
    <xf numFmtId="0" fontId="28" fillId="0" borderId="54" xfId="0" applyFont="1" applyBorder="1" applyAlignment="1">
      <alignment horizontal="center" vertical="center" wrapText="1"/>
    </xf>
    <xf numFmtId="0" fontId="28" fillId="0" borderId="34" xfId="0" applyFont="1" applyBorder="1" applyAlignment="1">
      <alignment horizontal="center" vertical="center" wrapText="1"/>
    </xf>
    <xf numFmtId="0" fontId="28" fillId="0" borderId="35" xfId="0" applyFont="1" applyBorder="1" applyAlignment="1">
      <alignment horizontal="center" vertical="center" wrapText="1"/>
    </xf>
    <xf numFmtId="0" fontId="28" fillId="0" borderId="36" xfId="0" applyFont="1" applyBorder="1" applyAlignment="1">
      <alignment horizontal="center" vertical="center" wrapText="1"/>
    </xf>
    <xf numFmtId="0" fontId="44" fillId="0" borderId="84" xfId="0" applyFont="1" applyBorder="1" applyProtection="1">
      <protection locked="0"/>
    </xf>
    <xf numFmtId="0" fontId="43" fillId="0" borderId="10" xfId="0" applyFont="1" applyBorder="1" applyAlignment="1">
      <alignment horizontal="center" vertical="center" wrapText="1"/>
    </xf>
    <xf numFmtId="0" fontId="45" fillId="0" borderId="14" xfId="0" applyFont="1" applyBorder="1"/>
    <xf numFmtId="0" fontId="28" fillId="0" borderId="23" xfId="0" applyFont="1" applyBorder="1" applyAlignment="1">
      <alignment horizontal="center" vertical="center"/>
    </xf>
    <xf numFmtId="0" fontId="29" fillId="0" borderId="87" xfId="0" applyFont="1" applyBorder="1"/>
    <xf numFmtId="0" fontId="19" fillId="0" borderId="13" xfId="0" applyFont="1" applyBorder="1" applyAlignment="1">
      <alignment vertical="center"/>
    </xf>
    <xf numFmtId="0" fontId="20" fillId="0" borderId="12" xfId="0" applyFont="1" applyBorder="1"/>
    <xf numFmtId="164" fontId="14" fillId="0" borderId="8" xfId="0" applyNumberFormat="1" applyFont="1" applyBorder="1" applyAlignment="1" applyProtection="1">
      <alignment horizontal="center" vertical="center"/>
      <protection locked="0"/>
    </xf>
    <xf numFmtId="0" fontId="44" fillId="0" borderId="95" xfId="0" applyFont="1" applyBorder="1" applyProtection="1">
      <protection locked="0"/>
    </xf>
    <xf numFmtId="164" fontId="53" fillId="0" borderId="57" xfId="1" applyNumberFormat="1" applyFont="1" applyBorder="1" applyAlignment="1" applyProtection="1">
      <alignment horizontal="center" vertical="center"/>
      <protection locked="0"/>
    </xf>
    <xf numFmtId="165" fontId="53" fillId="0" borderId="57" xfId="1" applyNumberFormat="1" applyFont="1" applyBorder="1" applyAlignment="1" applyProtection="1">
      <alignment horizontal="center" vertical="top"/>
      <protection locked="0"/>
    </xf>
    <xf numFmtId="165" fontId="53" fillId="0" borderId="63" xfId="1" applyNumberFormat="1" applyFont="1" applyBorder="1" applyAlignment="1" applyProtection="1">
      <alignment horizontal="center" vertical="top"/>
      <protection locked="0"/>
    </xf>
    <xf numFmtId="165" fontId="53" fillId="0" borderId="58" xfId="1" applyNumberFormat="1" applyFont="1" applyBorder="1" applyAlignment="1" applyProtection="1">
      <alignment horizontal="center" vertical="top"/>
      <protection locked="0"/>
    </xf>
    <xf numFmtId="0" fontId="29" fillId="0" borderId="14" xfId="0" applyFont="1" applyBorder="1"/>
    <xf numFmtId="0" fontId="21" fillId="0" borderId="1" xfId="0" applyFont="1" applyBorder="1" applyAlignment="1">
      <alignment horizontal="center" vertical="center"/>
    </xf>
    <xf numFmtId="0" fontId="22" fillId="0" borderId="3" xfId="0" applyFont="1" applyBorder="1"/>
    <xf numFmtId="0" fontId="22" fillId="0" borderId="84" xfId="0" applyFont="1" applyBorder="1"/>
    <xf numFmtId="0" fontId="19" fillId="0" borderId="47" xfId="0" applyFont="1" applyBorder="1" applyAlignment="1">
      <alignment vertical="center"/>
    </xf>
    <xf numFmtId="0" fontId="20" fillId="0" borderId="49" xfId="0" applyFont="1" applyBorder="1"/>
    <xf numFmtId="0" fontId="19" fillId="0" borderId="8" xfId="0" applyFont="1" applyBorder="1" applyAlignment="1">
      <alignment vertical="center"/>
    </xf>
    <xf numFmtId="0" fontId="20" fillId="0" borderId="9" xfId="0" applyFont="1" applyBorder="1"/>
    <xf numFmtId="0" fontId="21" fillId="0" borderId="93" xfId="0" applyFont="1" applyBorder="1" applyAlignment="1">
      <alignment horizontal="center"/>
    </xf>
    <xf numFmtId="0" fontId="21" fillId="0" borderId="78" xfId="0" applyFont="1" applyBorder="1"/>
    <xf numFmtId="0" fontId="21" fillId="0" borderId="79" xfId="0" applyFont="1" applyBorder="1"/>
    <xf numFmtId="0" fontId="21" fillId="0" borderId="85" xfId="0" applyFont="1" applyBorder="1" applyAlignment="1">
      <alignment horizontal="center" vertical="center"/>
    </xf>
    <xf numFmtId="0" fontId="22" fillId="0" borderId="2" xfId="0" applyFont="1" applyBorder="1"/>
    <xf numFmtId="0" fontId="22" fillId="0" borderId="2" xfId="0" applyFont="1" applyBorder="1" applyAlignment="1">
      <alignment horizontal="center"/>
    </xf>
    <xf numFmtId="0" fontId="22" fillId="0" borderId="3" xfId="0" applyFont="1" applyBorder="1" applyAlignment="1">
      <alignment horizontal="center"/>
    </xf>
    <xf numFmtId="0" fontId="44" fillId="0" borderId="90" xfId="0" applyFont="1" applyBorder="1" applyProtection="1">
      <protection locked="0"/>
    </xf>
    <xf numFmtId="14" fontId="14" fillId="0" borderId="8" xfId="0" applyNumberFormat="1" applyFont="1" applyBorder="1" applyAlignment="1" applyProtection="1">
      <alignment horizontal="center" vertical="center"/>
      <protection locked="0"/>
    </xf>
    <xf numFmtId="14" fontId="44" fillId="0" borderId="95" xfId="0" applyNumberFormat="1" applyFont="1" applyBorder="1" applyProtection="1">
      <protection locked="0"/>
    </xf>
    <xf numFmtId="0" fontId="14" fillId="0" borderId="30" xfId="0" applyFont="1" applyBorder="1" applyAlignment="1">
      <alignment horizontal="center" vertical="center"/>
    </xf>
    <xf numFmtId="0" fontId="44" fillId="0" borderId="31" xfId="0" applyFont="1" applyBorder="1"/>
    <xf numFmtId="0" fontId="44" fillId="0" borderId="32" xfId="0" applyFont="1" applyBorder="1"/>
    <xf numFmtId="0" fontId="44" fillId="0" borderId="43" xfId="0" applyFont="1" applyBorder="1" applyAlignment="1">
      <alignment horizontal="center"/>
    </xf>
    <xf numFmtId="0" fontId="44" fillId="0" borderId="42" xfId="0" applyFont="1" applyBorder="1" applyAlignment="1">
      <alignment horizontal="center"/>
    </xf>
    <xf numFmtId="0" fontId="44" fillId="0" borderId="59" xfId="0" applyFont="1" applyBorder="1" applyAlignment="1">
      <alignment horizontal="center"/>
    </xf>
    <xf numFmtId="0" fontId="44" fillId="0" borderId="60" xfId="0" applyFont="1" applyBorder="1" applyAlignment="1">
      <alignment horizontal="center"/>
    </xf>
    <xf numFmtId="0" fontId="44" fillId="0" borderId="27" xfId="0" applyFont="1" applyBorder="1" applyAlignment="1">
      <alignment horizontal="center"/>
    </xf>
    <xf numFmtId="0" fontId="44" fillId="0" borderId="28" xfId="0" applyFont="1" applyBorder="1" applyAlignment="1">
      <alignment horizontal="center"/>
    </xf>
    <xf numFmtId="0" fontId="14" fillId="0" borderId="43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4" fillId="0" borderId="42" xfId="0" applyFont="1" applyBorder="1" applyAlignment="1">
      <alignment horizontal="center" vertical="center"/>
    </xf>
    <xf numFmtId="0" fontId="14" fillId="0" borderId="59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60" xfId="0" applyFont="1" applyBorder="1" applyAlignment="1">
      <alignment horizontal="center" vertical="center"/>
    </xf>
    <xf numFmtId="0" fontId="14" fillId="0" borderId="27" xfId="0" applyFont="1" applyBorder="1" applyAlignment="1">
      <alignment horizontal="center" vertical="center"/>
    </xf>
    <xf numFmtId="0" fontId="14" fillId="0" borderId="48" xfId="0" applyFont="1" applyBorder="1" applyAlignment="1">
      <alignment horizontal="center" vertical="center"/>
    </xf>
    <xf numFmtId="0" fontId="14" fillId="0" borderId="28" xfId="0" applyFont="1" applyBorder="1" applyAlignment="1">
      <alignment horizontal="center" vertical="center"/>
    </xf>
    <xf numFmtId="0" fontId="14" fillId="0" borderId="103" xfId="0" applyFont="1" applyBorder="1" applyAlignment="1">
      <alignment horizontal="center" vertical="center"/>
    </xf>
    <xf numFmtId="0" fontId="14" fillId="0" borderId="104" xfId="0" applyFont="1" applyBorder="1" applyAlignment="1">
      <alignment horizontal="center" vertical="center"/>
    </xf>
    <xf numFmtId="0" fontId="14" fillId="0" borderId="101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17" fillId="0" borderId="31" xfId="0" applyFont="1" applyBorder="1"/>
    <xf numFmtId="0" fontId="5" fillId="0" borderId="89" xfId="0" applyFont="1" applyBorder="1" applyAlignment="1" applyProtection="1">
      <alignment vertical="center"/>
      <protection locked="0"/>
    </xf>
    <xf numFmtId="0" fontId="17" fillId="0" borderId="116" xfId="0" applyFont="1" applyBorder="1" applyProtection="1">
      <protection locked="0"/>
    </xf>
    <xf numFmtId="0" fontId="14" fillId="0" borderId="89" xfId="0" applyFont="1" applyBorder="1" applyAlignment="1">
      <alignment horizontal="right" vertical="center"/>
    </xf>
    <xf numFmtId="0" fontId="44" fillId="0" borderId="116" xfId="0" applyFont="1" applyBorder="1"/>
    <xf numFmtId="0" fontId="34" fillId="0" borderId="57" xfId="0" applyFont="1" applyBorder="1" applyAlignment="1">
      <alignment vertical="center"/>
    </xf>
    <xf numFmtId="0" fontId="35" fillId="0" borderId="63" xfId="0" applyFont="1" applyBorder="1"/>
    <xf numFmtId="0" fontId="23" fillId="0" borderId="63" xfId="0" applyFont="1" applyBorder="1" applyAlignment="1">
      <alignment horizontal="center" vertical="center"/>
    </xf>
    <xf numFmtId="0" fontId="26" fillId="0" borderId="58" xfId="0" applyFont="1" applyBorder="1"/>
    <xf numFmtId="0" fontId="43" fillId="2" borderId="57" xfId="0" applyFont="1" applyFill="1" applyBorder="1" applyAlignment="1">
      <alignment horizontal="right" vertical="center"/>
    </xf>
    <xf numFmtId="0" fontId="44" fillId="0" borderId="63" xfId="0" applyFont="1" applyBorder="1"/>
    <xf numFmtId="0" fontId="44" fillId="0" borderId="58" xfId="0" applyFont="1" applyBorder="1"/>
    <xf numFmtId="0" fontId="30" fillId="0" borderId="89" xfId="0" applyFont="1" applyBorder="1" applyAlignment="1">
      <alignment vertical="center"/>
    </xf>
    <xf numFmtId="0" fontId="30" fillId="0" borderId="71" xfId="0" applyFont="1" applyBorder="1"/>
    <xf numFmtId="0" fontId="43" fillId="0" borderId="109" xfId="0" applyFont="1" applyBorder="1" applyAlignment="1">
      <alignment horizontal="center" vertical="center"/>
    </xf>
    <xf numFmtId="0" fontId="44" fillId="0" borderId="91" xfId="0" applyFont="1" applyBorder="1"/>
    <xf numFmtId="0" fontId="44" fillId="0" borderId="110" xfId="0" applyFont="1" applyBorder="1"/>
    <xf numFmtId="0" fontId="43" fillId="0" borderId="91" xfId="0" applyFont="1" applyBorder="1" applyAlignment="1">
      <alignment horizontal="center" vertical="center"/>
    </xf>
    <xf numFmtId="0" fontId="43" fillId="0" borderId="110" xfId="0" applyFont="1" applyBorder="1" applyAlignment="1">
      <alignment horizontal="center" vertical="center"/>
    </xf>
    <xf numFmtId="0" fontId="32" fillId="0" borderId="57" xfId="0" applyFont="1" applyBorder="1" applyAlignment="1">
      <alignment horizontal="left" vertical="center"/>
    </xf>
    <xf numFmtId="0" fontId="33" fillId="0" borderId="63" xfId="0" applyFont="1" applyBorder="1"/>
    <xf numFmtId="0" fontId="33" fillId="0" borderId="113" xfId="0" applyFont="1" applyBorder="1"/>
    <xf numFmtId="0" fontId="43" fillId="2" borderId="114" xfId="0" applyFont="1" applyFill="1" applyBorder="1" applyAlignment="1">
      <alignment vertical="center"/>
    </xf>
    <xf numFmtId="0" fontId="28" fillId="0" borderId="75" xfId="0" applyFont="1" applyBorder="1" applyAlignment="1">
      <alignment vertical="center"/>
    </xf>
    <xf numFmtId="0" fontId="30" fillId="0" borderId="0" xfId="0" applyFont="1"/>
    <xf numFmtId="0" fontId="45" fillId="0" borderId="109" xfId="0" applyFont="1" applyBorder="1" applyAlignment="1">
      <alignment horizontal="center"/>
    </xf>
    <xf numFmtId="0" fontId="43" fillId="0" borderId="0" xfId="0" applyFont="1" applyAlignment="1">
      <alignment vertical="center"/>
    </xf>
    <xf numFmtId="0" fontId="14" fillId="0" borderId="0" xfId="0" applyFont="1"/>
    <xf numFmtId="0" fontId="44" fillId="0" borderId="76" xfId="0" applyFont="1" applyBorder="1"/>
    <xf numFmtId="0" fontId="32" fillId="0" borderId="75" xfId="0" applyFont="1" applyBorder="1" applyAlignment="1">
      <alignment vertical="center"/>
    </xf>
    <xf numFmtId="0" fontId="32" fillId="0" borderId="0" xfId="0" applyFont="1"/>
    <xf numFmtId="0" fontId="43" fillId="2" borderId="57" xfId="0" applyFont="1" applyFill="1" applyBorder="1" applyAlignment="1">
      <alignment vertical="center"/>
    </xf>
    <xf numFmtId="0" fontId="14" fillId="0" borderId="89" xfId="0" applyFont="1" applyBorder="1" applyAlignment="1">
      <alignment vertical="center"/>
    </xf>
    <xf numFmtId="0" fontId="43" fillId="0" borderId="117" xfId="0" applyFont="1" applyBorder="1" applyAlignment="1">
      <alignment vertical="center"/>
    </xf>
    <xf numFmtId="0" fontId="44" fillId="0" borderId="118" xfId="0" applyFont="1" applyBorder="1"/>
    <xf numFmtId="0" fontId="23" fillId="0" borderId="57" xfId="0" applyFont="1" applyBorder="1" applyAlignment="1">
      <alignment horizontal="left" vertical="center"/>
    </xf>
    <xf numFmtId="0" fontId="26" fillId="0" borderId="63" xfId="0" applyFont="1" applyBorder="1"/>
    <xf numFmtId="0" fontId="25" fillId="0" borderId="57" xfId="0" applyFont="1" applyBorder="1" applyAlignment="1">
      <alignment horizontal="center" vertical="center"/>
    </xf>
    <xf numFmtId="0" fontId="26" fillId="0" borderId="113" xfId="0" applyFont="1" applyBorder="1"/>
    <xf numFmtId="0" fontId="23" fillId="0" borderId="114" xfId="0" applyFont="1" applyBorder="1" applyAlignment="1">
      <alignment horizontal="center" vertical="center"/>
    </xf>
    <xf numFmtId="0" fontId="32" fillId="0" borderId="89" xfId="0" applyFont="1" applyBorder="1" applyAlignment="1">
      <alignment vertical="center"/>
    </xf>
    <xf numFmtId="0" fontId="32" fillId="0" borderId="71" xfId="0" applyFont="1" applyBorder="1"/>
    <xf numFmtId="0" fontId="1" fillId="0" borderId="0" xfId="0" applyFont="1" applyAlignment="1">
      <alignment vertical="center"/>
    </xf>
    <xf numFmtId="0" fontId="0" fillId="0" borderId="0" xfId="0"/>
    <xf numFmtId="1" fontId="48" fillId="2" borderId="2" xfId="0" applyNumberFormat="1" applyFont="1" applyFill="1" applyBorder="1" applyAlignment="1">
      <alignment horizontal="right" vertical="center"/>
    </xf>
    <xf numFmtId="0" fontId="48" fillId="0" borderId="2" xfId="0" applyFont="1" applyBorder="1"/>
    <xf numFmtId="0" fontId="48" fillId="0" borderId="84" xfId="0" applyFont="1" applyBorder="1"/>
    <xf numFmtId="1" fontId="47" fillId="0" borderId="2" xfId="0" applyNumberFormat="1" applyFont="1" applyBorder="1" applyAlignment="1">
      <alignment horizontal="right" vertical="center"/>
    </xf>
    <xf numFmtId="0" fontId="47" fillId="2" borderId="85" xfId="0" applyFont="1" applyFill="1" applyBorder="1" applyAlignment="1">
      <alignment horizontal="right" vertical="center"/>
    </xf>
    <xf numFmtId="0" fontId="7" fillId="0" borderId="86" xfId="0" applyFont="1" applyBorder="1" applyAlignment="1">
      <alignment horizontal="center" vertical="center"/>
    </xf>
    <xf numFmtId="0" fontId="2" fillId="0" borderId="51" xfId="0" applyFont="1" applyBorder="1"/>
    <xf numFmtId="0" fontId="2" fillId="0" borderId="80" xfId="0" applyFont="1" applyBorder="1"/>
    <xf numFmtId="0" fontId="0" fillId="0" borderId="75" xfId="0" applyBorder="1"/>
    <xf numFmtId="0" fontId="2" fillId="0" borderId="76" xfId="0" applyFont="1" applyBorder="1"/>
    <xf numFmtId="0" fontId="2" fillId="0" borderId="83" xfId="0" applyFont="1" applyBorder="1"/>
    <xf numFmtId="0" fontId="2" fillId="0" borderId="35" xfId="0" applyFont="1" applyBorder="1"/>
    <xf numFmtId="0" fontId="2" fillId="0" borderId="82" xfId="0" applyFont="1" applyBorder="1"/>
    <xf numFmtId="0" fontId="7" fillId="0" borderId="0" xfId="0" applyFont="1" applyAlignment="1">
      <alignment horizontal="right" vertical="center"/>
    </xf>
    <xf numFmtId="0" fontId="47" fillId="0" borderId="93" xfId="0" applyFont="1" applyBorder="1" applyAlignment="1">
      <alignment horizontal="right" vertical="center"/>
    </xf>
    <xf numFmtId="0" fontId="48" fillId="0" borderId="78" xfId="0" applyFont="1" applyBorder="1"/>
    <xf numFmtId="0" fontId="48" fillId="0" borderId="79" xfId="0" applyFont="1" applyBorder="1"/>
    <xf numFmtId="0" fontId="47" fillId="0" borderId="78" xfId="0" applyFont="1" applyBorder="1" applyAlignment="1">
      <alignment horizontal="right" vertical="center"/>
    </xf>
    <xf numFmtId="0" fontId="23" fillId="0" borderId="51" xfId="0" applyFont="1" applyBorder="1" applyAlignment="1">
      <alignment horizontal="left" vertical="top" wrapText="1"/>
    </xf>
    <xf numFmtId="0" fontId="26" fillId="0" borderId="51" xfId="0" applyFont="1" applyBorder="1"/>
    <xf numFmtId="0" fontId="26" fillId="0" borderId="80" xfId="0" applyFont="1" applyBorder="1"/>
    <xf numFmtId="0" fontId="26" fillId="0" borderId="0" xfId="0" applyFont="1"/>
    <xf numFmtId="0" fontId="27" fillId="0" borderId="0" xfId="0" applyFont="1"/>
    <xf numFmtId="0" fontId="26" fillId="0" borderId="76" xfId="0" applyFont="1" applyBorder="1"/>
    <xf numFmtId="0" fontId="26" fillId="0" borderId="35" xfId="0" applyFont="1" applyBorder="1"/>
    <xf numFmtId="0" fontId="26" fillId="0" borderId="82" xfId="0" applyFont="1" applyBorder="1"/>
    <xf numFmtId="0" fontId="14" fillId="0" borderId="57" xfId="0" applyFont="1" applyBorder="1" applyAlignment="1" applyProtection="1">
      <alignment horizontal="right" vertical="center"/>
      <protection locked="0"/>
    </xf>
    <xf numFmtId="0" fontId="44" fillId="0" borderId="58" xfId="0" applyFont="1" applyBorder="1" applyProtection="1">
      <protection locked="0"/>
    </xf>
    <xf numFmtId="0" fontId="14" fillId="0" borderId="75" xfId="0" applyFont="1" applyBorder="1" applyAlignment="1" applyProtection="1">
      <alignment horizontal="right" vertical="center"/>
      <protection locked="0"/>
    </xf>
    <xf numFmtId="0" fontId="44" fillId="0" borderId="76" xfId="0" applyFont="1" applyBorder="1" applyProtection="1">
      <protection locked="0"/>
    </xf>
    <xf numFmtId="0" fontId="14" fillId="0" borderId="98" xfId="0" applyFont="1" applyBorder="1" applyAlignment="1" applyProtection="1">
      <alignment horizontal="right" vertical="center"/>
      <protection locked="0"/>
    </xf>
    <xf numFmtId="0" fontId="36" fillId="0" borderId="57" xfId="0" applyFont="1" applyBorder="1" applyAlignment="1">
      <alignment horizontal="left" vertical="center"/>
    </xf>
    <xf numFmtId="0" fontId="39" fillId="0" borderId="63" xfId="0" applyFont="1" applyBorder="1"/>
    <xf numFmtId="0" fontId="36" fillId="0" borderId="75" xfId="0" applyFont="1" applyBorder="1" applyAlignment="1">
      <alignment horizontal="left" vertical="center"/>
    </xf>
    <xf numFmtId="0" fontId="36" fillId="0" borderId="0" xfId="0" applyFont="1"/>
    <xf numFmtId="0" fontId="30" fillId="0" borderId="119" xfId="0" applyFont="1" applyBorder="1" applyAlignment="1">
      <alignment horizontal="left" vertical="center"/>
    </xf>
    <xf numFmtId="0" fontId="31" fillId="0" borderId="120" xfId="0" applyFont="1" applyBorder="1"/>
    <xf numFmtId="0" fontId="14" fillId="0" borderId="119" xfId="0" applyFont="1" applyBorder="1" applyAlignment="1">
      <alignment horizontal="right" vertical="center"/>
    </xf>
    <xf numFmtId="0" fontId="44" fillId="0" borderId="121" xfId="0" applyFont="1" applyBorder="1"/>
    <xf numFmtId="0" fontId="14" fillId="0" borderId="98" xfId="0" applyFont="1" applyBorder="1" applyAlignment="1">
      <alignment horizontal="right" vertical="center"/>
    </xf>
    <xf numFmtId="0" fontId="44" fillId="0" borderId="90" xfId="0" applyFont="1" applyBorder="1"/>
    <xf numFmtId="0" fontId="28" fillId="0" borderId="122" xfId="0" applyFont="1" applyBorder="1" applyAlignment="1" applyProtection="1">
      <alignment horizontal="center" vertical="top"/>
      <protection locked="0"/>
    </xf>
    <xf numFmtId="0" fontId="31" fillId="0" borderId="105" xfId="0" applyFont="1" applyBorder="1" applyProtection="1">
      <protection locked="0"/>
    </xf>
    <xf numFmtId="0" fontId="28" fillId="0" borderId="57" xfId="0" applyFont="1" applyBorder="1" applyAlignment="1">
      <alignment horizontal="left" vertical="center"/>
    </xf>
    <xf numFmtId="0" fontId="28" fillId="0" borderId="63" xfId="0" applyFont="1" applyBorder="1"/>
    <xf numFmtId="0" fontId="30" fillId="0" borderId="81" xfId="0" applyFont="1" applyBorder="1" applyAlignment="1">
      <alignment horizontal="left" vertical="center"/>
    </xf>
    <xf numFmtId="0" fontId="31" fillId="0" borderId="31" xfId="0" applyFont="1" applyBorder="1"/>
    <xf numFmtId="0" fontId="30" fillId="0" borderId="75" xfId="0" applyFont="1" applyBorder="1" applyAlignment="1">
      <alignment horizontal="left" vertical="center" wrapText="1"/>
    </xf>
    <xf numFmtId="0" fontId="31" fillId="0" borderId="0" xfId="0" applyFont="1"/>
    <xf numFmtId="0" fontId="14" fillId="0" borderId="83" xfId="0" applyFont="1" applyBorder="1" applyAlignment="1" applyProtection="1">
      <alignment horizontal="right" vertical="center"/>
      <protection locked="0"/>
    </xf>
    <xf numFmtId="0" fontId="44" fillId="0" borderId="82" xfId="0" applyFont="1" applyBorder="1" applyProtection="1">
      <protection locked="0"/>
    </xf>
    <xf numFmtId="0" fontId="36" fillId="0" borderId="91" xfId="0" applyFont="1" applyBorder="1" applyAlignment="1">
      <alignment horizontal="center" vertical="center"/>
    </xf>
    <xf numFmtId="0" fontId="36" fillId="0" borderId="92" xfId="0" applyFont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28" fillId="0" borderId="11" xfId="0" applyFont="1" applyBorder="1" applyAlignment="1">
      <alignment horizontal="center" vertical="center"/>
    </xf>
    <xf numFmtId="0" fontId="28" fillId="0" borderId="88" xfId="0" applyFont="1" applyBorder="1" applyAlignment="1">
      <alignment horizontal="center" vertical="center"/>
    </xf>
    <xf numFmtId="0" fontId="28" fillId="0" borderId="47" xfId="0" applyFont="1" applyBorder="1" applyAlignment="1">
      <alignment horizontal="center" vertical="center" wrapText="1"/>
    </xf>
    <xf numFmtId="0" fontId="31" fillId="0" borderId="48" xfId="0" applyFont="1" applyBorder="1"/>
    <xf numFmtId="0" fontId="31" fillId="0" borderId="90" xfId="0" applyFont="1" applyBorder="1"/>
    <xf numFmtId="0" fontId="40" fillId="0" borderId="107" xfId="0" applyFont="1" applyBorder="1" applyAlignment="1" applyProtection="1">
      <alignment horizontal="right" vertical="center"/>
      <protection locked="0"/>
    </xf>
    <xf numFmtId="0" fontId="46" fillId="0" borderId="127" xfId="0" applyFont="1" applyBorder="1" applyProtection="1">
      <protection locked="0"/>
    </xf>
    <xf numFmtId="0" fontId="28" fillId="0" borderId="13" xfId="0" applyFont="1" applyBorder="1" applyAlignment="1" applyProtection="1">
      <alignment horizontal="center" vertical="center" wrapText="1"/>
      <protection locked="0"/>
    </xf>
    <xf numFmtId="0" fontId="31" fillId="0" borderId="11" xfId="0" applyFont="1" applyBorder="1" applyProtection="1">
      <protection locked="0"/>
    </xf>
    <xf numFmtId="0" fontId="31" fillId="0" borderId="88" xfId="0" applyFont="1" applyBorder="1" applyProtection="1">
      <protection locked="0"/>
    </xf>
    <xf numFmtId="0" fontId="31" fillId="0" borderId="34" xfId="0" applyFont="1" applyBorder="1" applyProtection="1">
      <protection locked="0"/>
    </xf>
    <xf numFmtId="0" fontId="31" fillId="0" borderId="35" xfId="0" applyFont="1" applyBorder="1" applyProtection="1">
      <protection locked="0"/>
    </xf>
    <xf numFmtId="0" fontId="31" fillId="0" borderId="82" xfId="0" applyFont="1" applyBorder="1" applyProtection="1">
      <protection locked="0"/>
    </xf>
    <xf numFmtId="0" fontId="14" fillId="0" borderId="64" xfId="0" applyFont="1" applyBorder="1" applyAlignment="1" applyProtection="1">
      <alignment horizontal="right" vertical="center"/>
      <protection locked="0"/>
    </xf>
    <xf numFmtId="0" fontId="44" fillId="0" borderId="66" xfId="0" applyFont="1" applyBorder="1" applyProtection="1">
      <protection locked="0"/>
    </xf>
    <xf numFmtId="0" fontId="44" fillId="0" borderId="67" xfId="0" applyFont="1" applyBorder="1" applyProtection="1">
      <protection locked="0"/>
    </xf>
    <xf numFmtId="0" fontId="44" fillId="0" borderId="69" xfId="0" applyFont="1" applyBorder="1" applyProtection="1">
      <protection locked="0"/>
    </xf>
    <xf numFmtId="1" fontId="47" fillId="0" borderId="64" xfId="0" applyNumberFormat="1" applyFont="1" applyBorder="1" applyAlignment="1">
      <alignment horizontal="right" vertical="center"/>
    </xf>
    <xf numFmtId="0" fontId="48" fillId="0" borderId="66" xfId="0" applyFont="1" applyBorder="1"/>
    <xf numFmtId="0" fontId="28" fillId="0" borderId="65" xfId="0" applyFont="1" applyBorder="1" applyAlignment="1">
      <alignment horizontal="right"/>
    </xf>
    <xf numFmtId="0" fontId="31" fillId="0" borderId="66" xfId="0" applyFont="1" applyBorder="1"/>
    <xf numFmtId="0" fontId="31" fillId="0" borderId="68" xfId="0" applyFont="1" applyBorder="1"/>
    <xf numFmtId="0" fontId="31" fillId="0" borderId="69" xfId="0" applyFont="1" applyBorder="1"/>
    <xf numFmtId="1" fontId="14" fillId="0" borderId="75" xfId="0" applyNumberFormat="1" applyFont="1" applyBorder="1" applyAlignment="1" applyProtection="1">
      <alignment horizontal="right" vertical="center"/>
      <protection locked="0"/>
    </xf>
    <xf numFmtId="0" fontId="28" fillId="0" borderId="63" xfId="0" applyFont="1" applyBorder="1" applyAlignment="1">
      <alignment horizontal="center" wrapText="1"/>
    </xf>
    <xf numFmtId="0" fontId="31" fillId="0" borderId="58" xfId="0" applyFont="1" applyBorder="1"/>
    <xf numFmtId="1" fontId="14" fillId="0" borderId="57" xfId="0" applyNumberFormat="1" applyFont="1" applyBorder="1" applyAlignment="1">
      <alignment horizontal="right" vertical="center"/>
    </xf>
    <xf numFmtId="0" fontId="6" fillId="0" borderId="67" xfId="0" applyFont="1" applyBorder="1" applyAlignment="1">
      <alignment horizontal="left" vertical="center"/>
    </xf>
    <xf numFmtId="0" fontId="0" fillId="0" borderId="69" xfId="0" applyBorder="1"/>
    <xf numFmtId="0" fontId="41" fillId="0" borderId="76" xfId="0" applyFont="1" applyBorder="1" applyProtection="1">
      <protection locked="0"/>
    </xf>
    <xf numFmtId="1" fontId="14" fillId="0" borderId="64" xfId="0" applyNumberFormat="1" applyFont="1" applyBorder="1" applyAlignment="1">
      <alignment horizontal="right" vertical="center"/>
    </xf>
    <xf numFmtId="0" fontId="44" fillId="0" borderId="66" xfId="0" applyFont="1" applyBorder="1"/>
    <xf numFmtId="0" fontId="30" fillId="0" borderId="126" xfId="0" applyFont="1" applyBorder="1" applyAlignment="1">
      <alignment vertical="center"/>
    </xf>
    <xf numFmtId="0" fontId="30" fillId="0" borderId="107" xfId="0" applyFont="1" applyBorder="1" applyAlignment="1">
      <alignment vertical="center"/>
    </xf>
    <xf numFmtId="1" fontId="14" fillId="0" borderId="75" xfId="0" applyNumberFormat="1" applyFont="1" applyBorder="1" applyAlignment="1">
      <alignment horizontal="right" vertical="center"/>
    </xf>
    <xf numFmtId="0" fontId="44" fillId="0" borderId="67" xfId="0" applyFont="1" applyBorder="1"/>
    <xf numFmtId="0" fontId="44" fillId="0" borderId="69" xfId="0" applyFont="1" applyBorder="1"/>
    <xf numFmtId="1" fontId="47" fillId="0" borderId="75" xfId="0" applyNumberFormat="1" applyFont="1" applyBorder="1" applyAlignment="1">
      <alignment horizontal="right" vertical="center"/>
    </xf>
    <xf numFmtId="0" fontId="48" fillId="0" borderId="76" xfId="0" applyFont="1" applyBorder="1"/>
    <xf numFmtId="0" fontId="2" fillId="0" borderId="0" xfId="0" applyFont="1"/>
    <xf numFmtId="1" fontId="36" fillId="2" borderId="124" xfId="0" applyNumberFormat="1" applyFont="1" applyFill="1" applyBorder="1" applyAlignment="1">
      <alignment horizontal="center" vertical="center"/>
    </xf>
    <xf numFmtId="0" fontId="24" fillId="0" borderId="125" xfId="0" applyFont="1" applyBorder="1"/>
    <xf numFmtId="0" fontId="7" fillId="0" borderId="133" xfId="0" applyFont="1" applyBorder="1" applyAlignment="1">
      <alignment horizontal="right" vertical="center"/>
    </xf>
    <xf numFmtId="0" fontId="2" fillId="0" borderId="134" xfId="0" applyFont="1" applyBorder="1" applyAlignment="1">
      <alignment horizontal="right"/>
    </xf>
    <xf numFmtId="0" fontId="30" fillId="0" borderId="126" xfId="0" applyFont="1" applyBorder="1" applyAlignment="1">
      <alignment vertical="top"/>
    </xf>
    <xf numFmtId="0" fontId="31" fillId="0" borderId="107" xfId="0" applyFont="1" applyBorder="1"/>
    <xf numFmtId="0" fontId="14" fillId="0" borderId="136" xfId="0" applyFont="1" applyBorder="1" applyAlignment="1">
      <alignment horizontal="right" vertical="center"/>
    </xf>
    <xf numFmtId="0" fontId="44" fillId="0" borderId="138" xfId="0" applyFont="1" applyBorder="1"/>
    <xf numFmtId="1" fontId="47" fillId="2" borderId="133" xfId="0" applyNumberFormat="1" applyFont="1" applyFill="1" applyBorder="1" applyAlignment="1">
      <alignment horizontal="right" vertical="center"/>
    </xf>
    <xf numFmtId="0" fontId="48" fillId="0" borderId="134" xfId="0" applyFont="1" applyBorder="1"/>
    <xf numFmtId="0" fontId="14" fillId="0" borderId="133" xfId="0" applyFont="1" applyBorder="1" applyAlignment="1">
      <alignment horizontal="right" vertical="center"/>
    </xf>
    <xf numFmtId="0" fontId="44" fillId="0" borderId="134" xfId="0" applyFont="1" applyBorder="1"/>
    <xf numFmtId="1" fontId="14" fillId="0" borderId="133" xfId="0" applyNumberFormat="1" applyFont="1" applyBorder="1" applyAlignment="1">
      <alignment horizontal="right" vertical="center"/>
    </xf>
    <xf numFmtId="1" fontId="36" fillId="2" borderId="123" xfId="0" applyNumberFormat="1" applyFont="1" applyFill="1" applyBorder="1" applyAlignment="1">
      <alignment horizontal="center" vertical="center"/>
    </xf>
    <xf numFmtId="0" fontId="24" fillId="0" borderId="124" xfId="0" applyFont="1" applyBorder="1"/>
    <xf numFmtId="1" fontId="47" fillId="2" borderId="57" xfId="0" applyNumberFormat="1" applyFont="1" applyFill="1" applyBorder="1" applyAlignment="1">
      <alignment horizontal="right" vertical="center"/>
    </xf>
    <xf numFmtId="0" fontId="48" fillId="0" borderId="58" xfId="0" applyFont="1" applyBorder="1"/>
    <xf numFmtId="0" fontId="28" fillId="0" borderId="128" xfId="0" applyFont="1" applyBorder="1" applyAlignment="1">
      <alignment horizontal="center" vertical="center"/>
    </xf>
    <xf numFmtId="0" fontId="31" fillId="0" borderId="129" xfId="0" applyFont="1" applyBorder="1"/>
    <xf numFmtId="0" fontId="47" fillId="0" borderId="129" xfId="0" applyFont="1" applyBorder="1" applyAlignment="1">
      <alignment horizontal="right" vertical="center"/>
    </xf>
    <xf numFmtId="0" fontId="42" fillId="0" borderId="130" xfId="0" applyFont="1" applyBorder="1"/>
    <xf numFmtId="1" fontId="47" fillId="0" borderId="57" xfId="0" applyNumberFormat="1" applyFont="1" applyBorder="1" applyAlignment="1">
      <alignment horizontal="right" vertical="center"/>
    </xf>
    <xf numFmtId="0" fontId="6" fillId="0" borderId="48" xfId="0" applyFont="1" applyBorder="1" applyAlignment="1">
      <alignment horizontal="left" vertical="center"/>
    </xf>
    <xf numFmtId="0" fontId="2" fillId="0" borderId="48" xfId="0" applyFont="1" applyBorder="1"/>
    <xf numFmtId="0" fontId="30" fillId="0" borderId="126" xfId="0" applyFont="1" applyBorder="1" applyAlignment="1">
      <alignment horizontal="left" vertical="center"/>
    </xf>
    <xf numFmtId="0" fontId="30" fillId="0" borderId="107" xfId="0" applyFont="1" applyBorder="1" applyAlignment="1">
      <alignment horizontal="left" vertical="center"/>
    </xf>
    <xf numFmtId="0" fontId="40" fillId="0" borderId="127" xfId="0" applyFont="1" applyBorder="1" applyAlignment="1" applyProtection="1">
      <alignment horizontal="right" vertical="center"/>
      <protection locked="0"/>
    </xf>
    <xf numFmtId="0" fontId="30" fillId="0" borderId="57" xfId="0" applyFont="1" applyBorder="1" applyAlignment="1">
      <alignment horizontal="left" vertical="center"/>
    </xf>
    <xf numFmtId="0" fontId="30" fillId="0" borderId="63" xfId="0" applyFont="1" applyBorder="1"/>
    <xf numFmtId="0" fontId="30" fillId="0" borderId="58" xfId="0" applyFont="1" applyBorder="1"/>
    <xf numFmtId="0" fontId="30" fillId="0" borderId="75" xfId="0" applyFont="1" applyBorder="1" applyAlignment="1">
      <alignment horizontal="left" vertical="center"/>
    </xf>
    <xf numFmtId="0" fontId="30" fillId="0" borderId="76" xfId="0" applyFont="1" applyBorder="1"/>
    <xf numFmtId="0" fontId="30" fillId="0" borderId="75" xfId="0" applyFont="1" applyBorder="1" applyAlignment="1">
      <alignment vertical="center"/>
    </xf>
    <xf numFmtId="0" fontId="28" fillId="0" borderId="57" xfId="0" applyFont="1" applyBorder="1" applyAlignment="1">
      <alignment horizontal="left" vertical="center" wrapText="1"/>
    </xf>
    <xf numFmtId="0" fontId="31" fillId="0" borderId="63" xfId="0" applyFont="1" applyBorder="1" applyAlignment="1">
      <alignment horizontal="left"/>
    </xf>
    <xf numFmtId="0" fontId="31" fillId="0" borderId="63" xfId="0" applyFont="1" applyBorder="1"/>
    <xf numFmtId="0" fontId="31" fillId="0" borderId="76" xfId="0" applyFont="1" applyBorder="1"/>
    <xf numFmtId="0" fontId="28" fillId="0" borderId="57" xfId="0" applyFont="1" applyBorder="1" applyAlignment="1">
      <alignment horizontal="center" wrapText="1"/>
    </xf>
    <xf numFmtId="0" fontId="28" fillId="0" borderId="75" xfId="0" applyFont="1" applyBorder="1" applyAlignment="1">
      <alignment horizontal="left" vertical="center" wrapText="1"/>
    </xf>
    <xf numFmtId="0" fontId="31" fillId="0" borderId="67" xfId="0" applyFont="1" applyBorder="1"/>
    <xf numFmtId="0" fontId="30" fillId="0" borderId="136" xfId="0" applyFont="1" applyBorder="1" applyAlignment="1">
      <alignment horizontal="left" vertical="center"/>
    </xf>
    <xf numFmtId="0" fontId="31" fillId="0" borderId="137" xfId="0" applyFont="1" applyBorder="1"/>
    <xf numFmtId="0" fontId="31" fillId="0" borderId="138" xfId="0" applyFont="1" applyBorder="1"/>
    <xf numFmtId="0" fontId="30" fillId="0" borderId="133" xfId="0" applyFont="1" applyBorder="1" applyAlignment="1">
      <alignment horizontal="left" vertical="center"/>
    </xf>
    <xf numFmtId="0" fontId="31" fillId="0" borderId="135" xfId="0" applyFont="1" applyBorder="1"/>
    <xf numFmtId="0" fontId="31" fillId="0" borderId="134" xfId="0" applyFont="1" applyBorder="1"/>
    <xf numFmtId="0" fontId="30" fillId="0" borderId="64" xfId="0" applyFont="1" applyBorder="1" applyAlignment="1">
      <alignment vertical="center"/>
    </xf>
    <xf numFmtId="0" fontId="30" fillId="0" borderId="65" xfId="0" applyFont="1" applyBorder="1"/>
    <xf numFmtId="0" fontId="30" fillId="0" borderId="66" xfId="0" applyFont="1" applyBorder="1"/>
    <xf numFmtId="0" fontId="30" fillId="0" borderId="131" xfId="0" applyFont="1" applyBorder="1" applyAlignment="1">
      <alignment vertical="center"/>
    </xf>
    <xf numFmtId="0" fontId="30" fillId="0" borderId="115" xfId="0" applyFont="1" applyBorder="1"/>
    <xf numFmtId="0" fontId="32" fillId="0" borderId="64" xfId="0" applyFont="1" applyBorder="1" applyAlignment="1">
      <alignment horizontal="left" vertical="center"/>
    </xf>
    <xf numFmtId="0" fontId="32" fillId="0" borderId="65" xfId="0" applyFont="1" applyBorder="1"/>
    <xf numFmtId="0" fontId="28" fillId="0" borderId="93" xfId="0" applyFont="1" applyBorder="1" applyAlignment="1">
      <alignment horizontal="left" vertical="top"/>
    </xf>
    <xf numFmtId="0" fontId="31" fillId="0" borderId="78" xfId="0" applyFont="1" applyBorder="1"/>
    <xf numFmtId="0" fontId="28" fillId="0" borderId="64" xfId="0" applyFont="1" applyBorder="1" applyAlignment="1" applyProtection="1">
      <alignment horizontal="center"/>
      <protection locked="0"/>
    </xf>
    <xf numFmtId="0" fontId="31" fillId="0" borderId="66" xfId="0" applyFont="1" applyBorder="1" applyProtection="1">
      <protection locked="0"/>
    </xf>
    <xf numFmtId="0" fontId="31" fillId="0" borderId="67" xfId="0" applyFont="1" applyBorder="1" applyProtection="1">
      <protection locked="0"/>
    </xf>
    <xf numFmtId="0" fontId="31" fillId="0" borderId="69" xfId="0" applyFont="1" applyBorder="1" applyProtection="1">
      <protection locked="0"/>
    </xf>
    <xf numFmtId="0" fontId="37" fillId="0" borderId="57" xfId="0" applyFont="1" applyBorder="1" applyAlignment="1">
      <alignment horizontal="left" vertical="center"/>
    </xf>
    <xf numFmtId="0" fontId="28" fillId="0" borderId="67" xfId="0" applyFont="1" applyBorder="1" applyAlignment="1">
      <alignment vertical="center"/>
    </xf>
    <xf numFmtId="0" fontId="47" fillId="0" borderId="122" xfId="0" applyFont="1" applyBorder="1" applyAlignment="1">
      <alignment horizontal="right" vertical="center"/>
    </xf>
    <xf numFmtId="0" fontId="48" fillId="0" borderId="106" xfId="0" applyFont="1" applyBorder="1"/>
    <xf numFmtId="0" fontId="14" fillId="0" borderId="81" xfId="0" applyFont="1" applyBorder="1" applyAlignment="1" applyProtection="1">
      <alignment horizontal="right" vertical="center"/>
      <protection locked="0"/>
    </xf>
    <xf numFmtId="0" fontId="47" fillId="0" borderId="1" xfId="0" applyFont="1" applyBorder="1" applyAlignment="1">
      <alignment horizontal="right" vertical="center"/>
    </xf>
    <xf numFmtId="0" fontId="46" fillId="0" borderId="3" xfId="0" applyFont="1" applyBorder="1"/>
    <xf numFmtId="0" fontId="47" fillId="2" borderId="1" xfId="0" applyFont="1" applyFill="1" applyBorder="1" applyAlignment="1">
      <alignment horizontal="right" vertical="center"/>
    </xf>
    <xf numFmtId="0" fontId="48" fillId="0" borderId="3" xfId="0" applyFont="1" applyBorder="1"/>
    <xf numFmtId="0" fontId="47" fillId="0" borderId="1" xfId="0" applyFont="1" applyBorder="1" applyAlignment="1">
      <alignment horizontal="center" vertical="center"/>
    </xf>
    <xf numFmtId="0" fontId="14" fillId="0" borderId="20" xfId="0" applyFont="1" applyBorder="1" applyAlignment="1">
      <alignment horizontal="center" vertical="center"/>
    </xf>
    <xf numFmtId="0" fontId="44" fillId="0" borderId="21" xfId="0" applyFont="1" applyBorder="1"/>
    <xf numFmtId="0" fontId="44" fillId="0" borderId="22" xfId="0" applyFont="1" applyBorder="1"/>
    <xf numFmtId="0" fontId="14" fillId="0" borderId="53" xfId="0" applyFont="1" applyBorder="1" applyAlignment="1">
      <alignment horizontal="center" vertical="center"/>
    </xf>
    <xf numFmtId="0" fontId="14" fillId="0" borderId="51" xfId="0" applyFont="1" applyBorder="1" applyAlignment="1">
      <alignment horizontal="center" vertical="center"/>
    </xf>
    <xf numFmtId="0" fontId="14" fillId="0" borderId="54" xfId="0" applyFont="1" applyBorder="1" applyAlignment="1">
      <alignment horizontal="center" vertical="center"/>
    </xf>
    <xf numFmtId="0" fontId="14" fillId="0" borderId="55" xfId="0" applyFont="1" applyBorder="1" applyAlignment="1">
      <alignment horizontal="center" vertical="center"/>
    </xf>
    <xf numFmtId="0" fontId="14" fillId="0" borderId="56" xfId="0" applyFont="1" applyBorder="1" applyAlignment="1">
      <alignment horizontal="center" vertical="center"/>
    </xf>
    <xf numFmtId="0" fontId="14" fillId="0" borderId="34" xfId="0" applyFont="1" applyBorder="1" applyAlignment="1">
      <alignment horizontal="center" vertical="center"/>
    </xf>
    <xf numFmtId="0" fontId="14" fillId="0" borderId="35" xfId="0" applyFont="1" applyBorder="1" applyAlignment="1">
      <alignment horizontal="center" vertical="center"/>
    </xf>
    <xf numFmtId="0" fontId="14" fillId="0" borderId="36" xfId="0" applyFont="1" applyBorder="1" applyAlignment="1">
      <alignment horizontal="center" vertical="center"/>
    </xf>
    <xf numFmtId="0" fontId="47" fillId="2" borderId="1" xfId="0" applyFont="1" applyFill="1" applyBorder="1" applyAlignment="1">
      <alignment vertical="center"/>
    </xf>
    <xf numFmtId="0" fontId="28" fillId="0" borderId="1" xfId="0" applyFont="1" applyBorder="1" applyAlignment="1">
      <alignment vertical="center"/>
    </xf>
    <xf numFmtId="0" fontId="31" fillId="0" borderId="2" xfId="0" applyFont="1" applyBorder="1"/>
    <xf numFmtId="0" fontId="31" fillId="0" borderId="3" xfId="0" applyFont="1" applyBorder="1"/>
    <xf numFmtId="0" fontId="36" fillId="0" borderId="1" xfId="0" applyFont="1" applyBorder="1" applyAlignment="1">
      <alignment horizontal="left" vertical="center"/>
    </xf>
    <xf numFmtId="0" fontId="20" fillId="0" borderId="2" xfId="0" applyFont="1" applyBorder="1"/>
    <xf numFmtId="0" fontId="20" fillId="0" borderId="3" xfId="0" applyFont="1" applyBorder="1"/>
    <xf numFmtId="0" fontId="36" fillId="0" borderId="2" xfId="0" applyFont="1" applyBorder="1" applyAlignment="1">
      <alignment horizontal="left" vertical="center"/>
    </xf>
    <xf numFmtId="0" fontId="36" fillId="0" borderId="3" xfId="0" applyFont="1" applyBorder="1" applyAlignment="1">
      <alignment horizontal="left" vertical="center"/>
    </xf>
    <xf numFmtId="0" fontId="14" fillId="0" borderId="23" xfId="0" applyFont="1" applyBorder="1" applyAlignment="1">
      <alignment horizontal="center" vertical="center"/>
    </xf>
    <xf numFmtId="0" fontId="44" fillId="0" borderId="39" xfId="0" applyFont="1" applyBorder="1"/>
    <xf numFmtId="0" fontId="44" fillId="0" borderId="24" xfId="0" applyFont="1" applyBorder="1"/>
    <xf numFmtId="0" fontId="14" fillId="0" borderId="8" xfId="0" applyFont="1" applyBorder="1" applyAlignment="1">
      <alignment horizontal="center" vertical="center"/>
    </xf>
    <xf numFmtId="0" fontId="44" fillId="0" borderId="9" xfId="0" applyFont="1" applyBorder="1"/>
    <xf numFmtId="0" fontId="19" fillId="0" borderId="6" xfId="0" applyFont="1" applyBorder="1" applyAlignment="1">
      <alignment vertical="center"/>
    </xf>
    <xf numFmtId="0" fontId="20" fillId="0" borderId="7" xfId="0" applyFont="1" applyBorder="1"/>
    <xf numFmtId="0" fontId="50" fillId="0" borderId="25" xfId="0" applyFont="1" applyBorder="1" applyAlignment="1">
      <alignment horizontal="center" vertical="center"/>
    </xf>
    <xf numFmtId="0" fontId="20" fillId="0" borderId="15" xfId="0" applyFont="1" applyBorder="1"/>
    <xf numFmtId="0" fontId="20" fillId="0" borderId="16" xfId="0" applyFont="1" applyBorder="1"/>
    <xf numFmtId="0" fontId="19" fillId="0" borderId="5" xfId="0" applyFont="1" applyBorder="1" applyAlignment="1">
      <alignment horizontal="left" vertical="center"/>
    </xf>
    <xf numFmtId="0" fontId="20" fillId="0" borderId="5" xfId="0" applyFont="1" applyBorder="1"/>
    <xf numFmtId="1" fontId="19" fillId="0" borderId="1" xfId="0" applyNumberFormat="1" applyFont="1" applyBorder="1" applyAlignment="1">
      <alignment horizontal="center" vertical="center"/>
    </xf>
    <xf numFmtId="164" fontId="19" fillId="0" borderId="1" xfId="0" applyNumberFormat="1" applyFont="1" applyBorder="1" applyAlignment="1">
      <alignment horizontal="center" vertical="center"/>
    </xf>
    <xf numFmtId="49" fontId="19" fillId="0" borderId="1" xfId="0" applyNumberFormat="1" applyFont="1" applyBorder="1" applyAlignment="1">
      <alignment horizontal="center" vertical="top"/>
    </xf>
    <xf numFmtId="49" fontId="20" fillId="0" borderId="2" xfId="0" applyNumberFormat="1" applyFont="1" applyBorder="1"/>
    <xf numFmtId="49" fontId="20" fillId="0" borderId="3" xfId="0" applyNumberFormat="1" applyFont="1" applyBorder="1"/>
    <xf numFmtId="0" fontId="19" fillId="0" borderId="1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8" fillId="0" borderId="53" xfId="0" applyFont="1" applyBorder="1" applyAlignment="1">
      <alignment horizontal="center" vertical="center" wrapText="1"/>
    </xf>
    <xf numFmtId="0" fontId="8" fillId="0" borderId="51" xfId="0" applyFont="1" applyBorder="1" applyAlignment="1">
      <alignment horizontal="center" vertical="center" wrapText="1"/>
    </xf>
    <xf numFmtId="0" fontId="8" fillId="0" borderId="54" xfId="0" applyFont="1" applyBorder="1" applyAlignment="1">
      <alignment horizontal="center" vertical="center" wrapText="1"/>
    </xf>
    <xf numFmtId="0" fontId="8" fillId="0" borderId="55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56" xfId="0" applyFont="1" applyBorder="1" applyAlignment="1">
      <alignment horizontal="center" vertical="center" wrapText="1"/>
    </xf>
    <xf numFmtId="0" fontId="8" fillId="0" borderId="34" xfId="0" applyFont="1" applyBorder="1" applyAlignment="1">
      <alignment horizontal="center" vertical="center" wrapText="1"/>
    </xf>
    <xf numFmtId="0" fontId="8" fillId="0" borderId="35" xfId="0" applyFont="1" applyBorder="1" applyAlignment="1">
      <alignment horizontal="center" vertical="center" wrapText="1"/>
    </xf>
    <xf numFmtId="0" fontId="8" fillId="0" borderId="36" xfId="0" applyFont="1" applyBorder="1" applyAlignment="1">
      <alignment horizontal="center" vertical="center" wrapText="1"/>
    </xf>
    <xf numFmtId="0" fontId="14" fillId="0" borderId="13" xfId="0" applyFont="1" applyBorder="1" applyAlignment="1">
      <alignment horizontal="center" vertical="center"/>
    </xf>
    <xf numFmtId="0" fontId="44" fillId="0" borderId="11" xfId="0" applyFont="1" applyBorder="1"/>
    <xf numFmtId="0" fontId="44" fillId="0" borderId="12" xfId="0" applyFont="1" applyBorder="1"/>
    <xf numFmtId="0" fontId="28" fillId="0" borderId="18" xfId="0" applyFont="1" applyBorder="1" applyAlignment="1">
      <alignment horizontal="center" vertical="center" wrapText="1"/>
    </xf>
    <xf numFmtId="0" fontId="28" fillId="0" borderId="0" xfId="0" applyFont="1"/>
    <xf numFmtId="0" fontId="29" fillId="0" borderId="19" xfId="0" applyFont="1" applyBorder="1"/>
    <xf numFmtId="0" fontId="29" fillId="0" borderId="25" xfId="0" applyFont="1" applyBorder="1"/>
    <xf numFmtId="0" fontId="29" fillId="0" borderId="15" xfId="0" applyFont="1" applyBorder="1"/>
    <xf numFmtId="0" fontId="29" fillId="0" borderId="16" xfId="0" applyFont="1" applyBorder="1"/>
    <xf numFmtId="0" fontId="28" fillId="0" borderId="45" xfId="0" applyFont="1" applyBorder="1" applyAlignment="1">
      <alignment horizontal="center" vertical="center" wrapText="1"/>
    </xf>
    <xf numFmtId="0" fontId="29" fillId="0" borderId="46" xfId="0" applyFont="1" applyBorder="1"/>
    <xf numFmtId="0" fontId="28" fillId="0" borderId="20" xfId="0" applyFont="1" applyBorder="1" applyAlignment="1">
      <alignment horizontal="center" vertical="center" wrapText="1"/>
    </xf>
    <xf numFmtId="0" fontId="29" fillId="0" borderId="21" xfId="0" applyFont="1" applyBorder="1"/>
    <xf numFmtId="0" fontId="29" fillId="0" borderId="22" xfId="0" applyFont="1" applyBorder="1"/>
    <xf numFmtId="0" fontId="49" fillId="0" borderId="1" xfId="0" applyFont="1" applyBorder="1" applyAlignment="1">
      <alignment horizontal="center"/>
    </xf>
    <xf numFmtId="0" fontId="49" fillId="0" borderId="2" xfId="0" applyFont="1" applyBorder="1"/>
    <xf numFmtId="0" fontId="49" fillId="0" borderId="3" xfId="0" applyFont="1" applyBorder="1"/>
    <xf numFmtId="0" fontId="49" fillId="0" borderId="1" xfId="0" applyFont="1" applyBorder="1" applyAlignment="1">
      <alignment horizontal="center" vertical="center"/>
    </xf>
    <xf numFmtId="0" fontId="49" fillId="0" borderId="2" xfId="0" applyFont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164" fontId="19" fillId="0" borderId="8" xfId="0" applyNumberFormat="1" applyFont="1" applyBorder="1" applyAlignment="1">
      <alignment horizontal="center" vertical="center"/>
    </xf>
    <xf numFmtId="14" fontId="19" fillId="0" borderId="8" xfId="0" applyNumberFormat="1" applyFont="1" applyBorder="1" applyAlignment="1">
      <alignment horizontal="center" vertical="center"/>
    </xf>
    <xf numFmtId="0" fontId="19" fillId="0" borderId="10" xfId="0" applyFont="1" applyBorder="1" applyAlignment="1">
      <alignment horizontal="left" vertical="center" wrapText="1"/>
    </xf>
    <xf numFmtId="0" fontId="20" fillId="0" borderId="14" xfId="0" applyFont="1" applyBorder="1" applyAlignment="1">
      <alignment horizontal="left"/>
    </xf>
    <xf numFmtId="0" fontId="19" fillId="0" borderId="11" xfId="0" applyFont="1" applyBorder="1" applyAlignment="1">
      <alignment horizontal="center" vertical="center" wrapText="1"/>
    </xf>
    <xf numFmtId="0" fontId="20" fillId="0" borderId="11" xfId="0" applyFont="1" applyBorder="1"/>
    <xf numFmtId="0" fontId="14" fillId="0" borderId="2" xfId="0" applyFont="1" applyBorder="1" applyAlignment="1">
      <alignment horizontal="right" vertical="center"/>
    </xf>
    <xf numFmtId="0" fontId="14" fillId="0" borderId="84" xfId="0" applyFont="1" applyBorder="1" applyAlignment="1">
      <alignment horizontal="right" vertical="center"/>
    </xf>
    <xf numFmtId="0" fontId="30" fillId="0" borderId="95" xfId="0" applyFont="1" applyBorder="1" applyAlignment="1">
      <alignment horizontal="left" vertical="center"/>
    </xf>
    <xf numFmtId="0" fontId="47" fillId="0" borderId="2" xfId="0" applyFont="1" applyBorder="1" applyAlignment="1">
      <alignment horizontal="right" vertical="center"/>
    </xf>
    <xf numFmtId="0" fontId="47" fillId="0" borderId="84" xfId="0" applyFont="1" applyBorder="1" applyAlignment="1">
      <alignment horizontal="right" vertical="center"/>
    </xf>
    <xf numFmtId="0" fontId="30" fillId="0" borderId="85" xfId="0" applyFont="1" applyBorder="1" applyAlignment="1">
      <alignment horizontal="left" vertical="center"/>
    </xf>
    <xf numFmtId="0" fontId="30" fillId="0" borderId="23" xfId="0" applyFont="1" applyBorder="1" applyAlignment="1">
      <alignment horizontal="left" vertical="center"/>
    </xf>
    <xf numFmtId="0" fontId="30" fillId="0" borderId="40" xfId="0" applyFont="1" applyBorder="1" applyAlignment="1">
      <alignment horizontal="left" vertical="center"/>
    </xf>
    <xf numFmtId="0" fontId="14" fillId="0" borderId="44" xfId="0" applyFont="1" applyBorder="1" applyAlignment="1">
      <alignment horizontal="right" vertical="center"/>
    </xf>
    <xf numFmtId="0" fontId="30" fillId="0" borderId="81" xfId="0" applyFont="1" applyBorder="1" applyAlignment="1">
      <alignment horizontal="left" vertical="top"/>
    </xf>
    <xf numFmtId="0" fontId="31" fillId="0" borderId="95" xfId="0" applyFont="1" applyBorder="1"/>
    <xf numFmtId="0" fontId="19" fillId="0" borderId="0" xfId="0" applyFont="1"/>
    <xf numFmtId="1" fontId="14" fillId="0" borderId="47" xfId="0" applyNumberFormat="1" applyFont="1" applyBorder="1" applyAlignment="1">
      <alignment horizontal="right" vertical="center"/>
    </xf>
    <xf numFmtId="0" fontId="15" fillId="0" borderId="49" xfId="0" applyFont="1" applyBorder="1" applyAlignment="1">
      <alignment horizontal="right"/>
    </xf>
    <xf numFmtId="1" fontId="14" fillId="0" borderId="8" xfId="0" applyNumberFormat="1" applyFont="1" applyBorder="1" applyAlignment="1">
      <alignment horizontal="right" vertical="center"/>
    </xf>
    <xf numFmtId="0" fontId="15" fillId="0" borderId="9" xfId="0" applyFont="1" applyBorder="1" applyAlignment="1">
      <alignment horizontal="right"/>
    </xf>
    <xf numFmtId="0" fontId="0" fillId="0" borderId="86" xfId="0" applyBorder="1" applyAlignment="1">
      <alignment horizontal="center"/>
    </xf>
    <xf numFmtId="0" fontId="0" fillId="0" borderId="51" xfId="0" applyBorder="1" applyAlignment="1">
      <alignment horizontal="center"/>
    </xf>
    <xf numFmtId="0" fontId="30" fillId="0" borderId="0" xfId="0" applyFont="1" applyAlignment="1">
      <alignment horizontal="left" vertical="center"/>
    </xf>
    <xf numFmtId="0" fontId="30" fillId="0" borderId="56" xfId="0" applyFont="1" applyBorder="1" applyAlignment="1">
      <alignment horizontal="left" vertical="center"/>
    </xf>
    <xf numFmtId="0" fontId="30" fillId="0" borderId="83" xfId="0" applyFont="1" applyBorder="1" applyAlignment="1">
      <alignment horizontal="left" vertical="center"/>
    </xf>
    <xf numFmtId="0" fontId="30" fillId="0" borderId="35" xfId="0" applyFont="1" applyBorder="1" applyAlignment="1">
      <alignment horizontal="left" vertical="center"/>
    </xf>
    <xf numFmtId="0" fontId="30" fillId="0" borderId="36" xfId="0" applyFont="1" applyBorder="1" applyAlignment="1">
      <alignment horizontal="left" vertical="center"/>
    </xf>
    <xf numFmtId="1" fontId="13" fillId="0" borderId="8" xfId="0" applyNumberFormat="1" applyFont="1" applyBorder="1" applyAlignment="1">
      <alignment horizontal="right" vertical="center"/>
    </xf>
    <xf numFmtId="1" fontId="14" fillId="0" borderId="9" xfId="0" applyNumberFormat="1" applyFont="1" applyBorder="1" applyAlignment="1">
      <alignment horizontal="right" vertical="center"/>
    </xf>
    <xf numFmtId="0" fontId="13" fillId="0" borderId="48" xfId="0" applyFont="1" applyBorder="1" applyAlignment="1">
      <alignment horizontal="center" vertical="center"/>
    </xf>
    <xf numFmtId="0" fontId="13" fillId="0" borderId="0" xfId="0" applyFont="1" applyAlignment="1">
      <alignment horizontal="left" vertical="center"/>
    </xf>
    <xf numFmtId="1" fontId="14" fillId="2" borderId="1" xfId="0" applyNumberFormat="1" applyFont="1" applyFill="1" applyBorder="1" applyAlignment="1">
      <alignment horizontal="right" vertical="center"/>
    </xf>
    <xf numFmtId="0" fontId="15" fillId="0" borderId="3" xfId="0" applyFont="1" applyBorder="1" applyAlignment="1">
      <alignment horizontal="right"/>
    </xf>
    <xf numFmtId="1" fontId="14" fillId="0" borderId="37" xfId="0" applyNumberFormat="1" applyFont="1" applyBorder="1" applyAlignment="1">
      <alignment horizontal="right" vertical="center"/>
    </xf>
    <xf numFmtId="0" fontId="15" fillId="0" borderId="38" xfId="0" applyFont="1" applyBorder="1" applyAlignment="1">
      <alignment horizontal="right"/>
    </xf>
    <xf numFmtId="0" fontId="36" fillId="0" borderId="64" xfId="0" applyFont="1" applyBorder="1" applyAlignment="1">
      <alignment horizontal="left" vertical="center"/>
    </xf>
    <xf numFmtId="0" fontId="39" fillId="0" borderId="65" xfId="0" applyFont="1" applyBorder="1"/>
    <xf numFmtId="0" fontId="28" fillId="0" borderId="64" xfId="0" applyFont="1" applyBorder="1" applyAlignment="1">
      <alignment horizontal="center" vertical="center"/>
    </xf>
    <xf numFmtId="0" fontId="28" fillId="0" borderId="65" xfId="0" applyFont="1" applyBorder="1" applyAlignment="1">
      <alignment horizontal="center" vertical="center"/>
    </xf>
    <xf numFmtId="0" fontId="28" fillId="0" borderId="66" xfId="0" applyFont="1" applyBorder="1" applyAlignment="1">
      <alignment horizontal="center" vertical="center"/>
    </xf>
    <xf numFmtId="0" fontId="28" fillId="0" borderId="67" xfId="0" applyFont="1" applyBorder="1" applyAlignment="1">
      <alignment horizontal="left" vertical="center"/>
    </xf>
    <xf numFmtId="0" fontId="28" fillId="0" borderId="68" xfId="0" applyFont="1" applyBorder="1" applyAlignment="1">
      <alignment horizontal="left" vertical="center"/>
    </xf>
    <xf numFmtId="0" fontId="28" fillId="0" borderId="69" xfId="0" applyFont="1" applyBorder="1" applyAlignment="1">
      <alignment horizontal="left" vertical="center"/>
    </xf>
    <xf numFmtId="1" fontId="14" fillId="0" borderId="1" xfId="0" applyNumberFormat="1" applyFont="1" applyBorder="1" applyAlignment="1">
      <alignment horizontal="right" vertical="center"/>
    </xf>
    <xf numFmtId="1" fontId="14" fillId="0" borderId="34" xfId="0" applyNumberFormat="1" applyFont="1" applyBorder="1" applyAlignment="1">
      <alignment horizontal="right" vertical="center"/>
    </xf>
    <xf numFmtId="0" fontId="15" fillId="0" borderId="36" xfId="0" applyFont="1" applyBorder="1" applyAlignment="1">
      <alignment horizontal="right"/>
    </xf>
    <xf numFmtId="0" fontId="30" fillId="0" borderId="86" xfId="0" applyFont="1" applyBorder="1" applyAlignment="1">
      <alignment horizontal="center" vertical="center"/>
    </xf>
    <xf numFmtId="0" fontId="31" fillId="0" borderId="51" xfId="0" applyFont="1" applyBorder="1"/>
    <xf numFmtId="0" fontId="31" fillId="0" borderId="54" xfId="0" applyFont="1" applyBorder="1"/>
    <xf numFmtId="0" fontId="30" fillId="0" borderId="86" xfId="0" applyFont="1" applyBorder="1" applyAlignment="1">
      <alignment horizontal="left" vertical="center" wrapText="1"/>
    </xf>
    <xf numFmtId="0" fontId="31" fillId="0" borderId="83" xfId="0" applyFont="1" applyBorder="1"/>
    <xf numFmtId="0" fontId="31" fillId="0" borderId="35" xfId="0" applyFont="1" applyBorder="1"/>
    <xf numFmtId="0" fontId="47" fillId="0" borderId="77" xfId="0" applyFont="1" applyBorder="1" applyAlignment="1">
      <alignment horizontal="right" vertical="center"/>
    </xf>
    <xf numFmtId="0" fontId="51" fillId="0" borderId="78" xfId="0" applyFont="1" applyBorder="1"/>
    <xf numFmtId="0" fontId="51" fillId="0" borderId="79" xfId="0" applyFont="1" applyBorder="1"/>
    <xf numFmtId="0" fontId="12" fillId="0" borderId="48" xfId="0" applyFont="1" applyBorder="1" applyAlignment="1">
      <alignment horizontal="right" vertical="center"/>
    </xf>
    <xf numFmtId="0" fontId="2" fillId="0" borderId="90" xfId="0" applyFont="1" applyBorder="1"/>
    <xf numFmtId="1" fontId="47" fillId="0" borderId="1" xfId="0" applyNumberFormat="1" applyFont="1" applyBorder="1" applyAlignment="1">
      <alignment horizontal="right" vertical="center"/>
    </xf>
    <xf numFmtId="0" fontId="51" fillId="0" borderId="2" xfId="0" applyFont="1" applyBorder="1"/>
    <xf numFmtId="0" fontId="51" fillId="0" borderId="84" xfId="0" applyFont="1" applyBorder="1"/>
    <xf numFmtId="1" fontId="14" fillId="0" borderId="8" xfId="0" applyNumberFormat="1" applyFont="1" applyBorder="1" applyAlignment="1" applyProtection="1">
      <alignment horizontal="right" vertical="center"/>
      <protection locked="0"/>
    </xf>
    <xf numFmtId="0" fontId="15" fillId="0" borderId="9" xfId="0" applyFont="1" applyBorder="1" applyAlignment="1" applyProtection="1">
      <alignment horizontal="right"/>
      <protection locked="0"/>
    </xf>
    <xf numFmtId="0" fontId="14" fillId="0" borderId="23" xfId="0" applyFont="1" applyBorder="1" applyAlignment="1">
      <alignment horizontal="right" vertical="center"/>
    </xf>
    <xf numFmtId="0" fontId="15" fillId="0" borderId="24" xfId="0" applyFont="1" applyBorder="1" applyAlignment="1">
      <alignment horizontal="right"/>
    </xf>
    <xf numFmtId="1" fontId="36" fillId="2" borderId="1" xfId="0" applyNumberFormat="1" applyFont="1" applyFill="1" applyBorder="1" applyAlignment="1">
      <alignment horizontal="center" vertical="center"/>
    </xf>
    <xf numFmtId="0" fontId="39" fillId="0" borderId="3" xfId="0" applyFont="1" applyBorder="1"/>
    <xf numFmtId="0" fontId="39" fillId="0" borderId="84" xfId="0" applyFont="1" applyBorder="1"/>
    <xf numFmtId="0" fontId="14" fillId="0" borderId="41" xfId="0" applyFont="1" applyBorder="1" applyAlignment="1">
      <alignment horizontal="right" vertical="center"/>
    </xf>
    <xf numFmtId="1" fontId="14" fillId="4" borderId="64" xfId="0" applyNumberFormat="1" applyFont="1" applyFill="1" applyBorder="1" applyAlignment="1">
      <alignment horizontal="right" vertical="center"/>
    </xf>
    <xf numFmtId="0" fontId="15" fillId="5" borderId="66" xfId="0" applyFont="1" applyFill="1" applyBorder="1" applyAlignment="1">
      <alignment horizontal="right"/>
    </xf>
    <xf numFmtId="0" fontId="15" fillId="5" borderId="67" xfId="0" applyFont="1" applyFill="1" applyBorder="1" applyAlignment="1">
      <alignment horizontal="right"/>
    </xf>
    <xf numFmtId="0" fontId="15" fillId="5" borderId="69" xfId="0" applyFont="1" applyFill="1" applyBorder="1" applyAlignment="1">
      <alignment horizontal="right"/>
    </xf>
    <xf numFmtId="1" fontId="14" fillId="0" borderId="53" xfId="0" applyNumberFormat="1" applyFont="1" applyBorder="1" applyAlignment="1">
      <alignment horizontal="right" vertical="center"/>
    </xf>
    <xf numFmtId="0" fontId="15" fillId="0" borderId="54" xfId="0" applyFont="1" applyBorder="1" applyAlignment="1">
      <alignment horizontal="right"/>
    </xf>
    <xf numFmtId="0" fontId="30" fillId="0" borderId="53" xfId="0" applyFont="1" applyBorder="1" applyAlignment="1">
      <alignment horizontal="left" vertical="center"/>
    </xf>
    <xf numFmtId="0" fontId="30" fillId="0" borderId="17" xfId="0" applyFont="1" applyBorder="1" applyAlignment="1">
      <alignment horizontal="left" vertical="center"/>
    </xf>
    <xf numFmtId="0" fontId="43" fillId="0" borderId="64" xfId="0" applyFont="1" applyBorder="1" applyAlignment="1">
      <alignment horizontal="right" vertical="center"/>
    </xf>
    <xf numFmtId="0" fontId="43" fillId="0" borderId="66" xfId="0" applyFont="1" applyBorder="1" applyAlignment="1">
      <alignment horizontal="right" vertical="center"/>
    </xf>
    <xf numFmtId="0" fontId="43" fillId="0" borderId="67" xfId="0" applyFont="1" applyBorder="1" applyAlignment="1">
      <alignment horizontal="right" vertical="center"/>
    </xf>
    <xf numFmtId="0" fontId="43" fillId="0" borderId="69" xfId="0" applyFont="1" applyBorder="1" applyAlignment="1">
      <alignment horizontal="right" vertical="center"/>
    </xf>
    <xf numFmtId="0" fontId="30" fillId="0" borderId="121" xfId="0" applyFont="1" applyBorder="1" applyAlignment="1">
      <alignment horizontal="left" vertical="center"/>
    </xf>
    <xf numFmtId="0" fontId="12" fillId="0" borderId="1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84" xfId="0" applyFont="1" applyBorder="1" applyAlignment="1">
      <alignment horizontal="center" vertical="center"/>
    </xf>
    <xf numFmtId="0" fontId="14" fillId="0" borderId="55" xfId="0" applyFont="1" applyBorder="1" applyAlignment="1">
      <alignment horizontal="right" vertical="center"/>
    </xf>
    <xf numFmtId="0" fontId="15" fillId="0" borderId="56" xfId="0" applyFont="1" applyBorder="1" applyAlignment="1">
      <alignment horizontal="right"/>
    </xf>
    <xf numFmtId="1" fontId="48" fillId="2" borderId="1" xfId="0" applyNumberFormat="1" applyFont="1" applyFill="1" applyBorder="1" applyAlignment="1">
      <alignment horizontal="right" vertical="center"/>
    </xf>
    <xf numFmtId="0" fontId="12" fillId="0" borderId="1" xfId="0" applyFont="1" applyBorder="1" applyAlignment="1">
      <alignment horizontal="right" vertical="center"/>
    </xf>
    <xf numFmtId="0" fontId="2" fillId="0" borderId="2" xfId="0" applyFont="1" applyBorder="1"/>
    <xf numFmtId="0" fontId="2" fillId="0" borderId="84" xfId="0" applyFont="1" applyBorder="1"/>
    <xf numFmtId="0" fontId="13" fillId="0" borderId="48" xfId="0" applyFont="1" applyBorder="1" applyAlignment="1" applyProtection="1">
      <alignment horizontal="left" vertical="center"/>
      <protection locked="0"/>
    </xf>
    <xf numFmtId="0" fontId="13" fillId="0" borderId="47" xfId="0" applyFont="1" applyBorder="1" applyAlignment="1" applyProtection="1">
      <alignment horizontal="center" vertical="center"/>
      <protection locked="0"/>
    </xf>
    <xf numFmtId="0" fontId="13" fillId="0" borderId="11" xfId="0" applyFont="1" applyBorder="1" applyAlignment="1" applyProtection="1">
      <alignment horizontal="center" vertical="center" wrapText="1"/>
      <protection locked="0"/>
    </xf>
    <xf numFmtId="14" fontId="13" fillId="0" borderId="1" xfId="0" applyNumberFormat="1" applyFont="1" applyBorder="1" applyAlignment="1" applyProtection="1">
      <alignment horizontal="center" vertical="top"/>
      <protection locked="0"/>
    </xf>
  </cellXfs>
  <cellStyles count="3">
    <cellStyle name="Hyperlink" xfId="2" builtinId="8"/>
    <cellStyle name="Normal" xfId="0" builtinId="0"/>
    <cellStyle name="Normal 2" xfId="1" xr:uid="{00000000-0005-0000-0000-000002000000}"/>
  </cellStyles>
  <dxfs count="0"/>
  <tableStyles count="0" defaultTableStyle="TableStyleMedium2" defaultPivotStyle="PivotStyleLight16"/>
  <colors>
    <mruColors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3D478-CB3D-46A1-B921-10F94C6E4EB8}">
  <sheetPr>
    <tabColor rgb="FFFF0000"/>
  </sheetPr>
  <dimension ref="B1:D15"/>
  <sheetViews>
    <sheetView tabSelected="1" topLeftCell="A7" workbookViewId="0">
      <selection activeCell="F18" sqref="F18"/>
    </sheetView>
  </sheetViews>
  <sheetFormatPr defaultRowHeight="14.5"/>
  <cols>
    <col min="1" max="1" width="1" customWidth="1"/>
    <col min="2" max="2" width="4.90625" customWidth="1"/>
    <col min="3" max="3" width="87.36328125" customWidth="1"/>
    <col min="4" max="4" width="4.90625" customWidth="1"/>
  </cols>
  <sheetData>
    <row r="1" spans="2:4" ht="15" thickBot="1">
      <c r="B1" s="40"/>
      <c r="C1" s="41"/>
      <c r="D1" s="42"/>
    </row>
    <row r="2" spans="2:4" ht="30" thickBot="1">
      <c r="B2" s="43"/>
      <c r="C2" s="109" t="s">
        <v>160</v>
      </c>
      <c r="D2" s="44"/>
    </row>
    <row r="3" spans="2:4" ht="15" thickBot="1">
      <c r="B3" s="43"/>
      <c r="C3" s="45"/>
      <c r="D3" s="44"/>
    </row>
    <row r="4" spans="2:4" ht="23">
      <c r="B4" s="43"/>
      <c r="C4" s="112" t="s">
        <v>129</v>
      </c>
      <c r="D4" s="44"/>
    </row>
    <row r="5" spans="2:4" ht="23">
      <c r="B5" s="43"/>
      <c r="C5" s="113" t="s">
        <v>143</v>
      </c>
      <c r="D5" s="44"/>
    </row>
    <row r="6" spans="2:4" ht="23">
      <c r="B6" s="43"/>
      <c r="C6" s="113" t="s">
        <v>144</v>
      </c>
      <c r="D6" s="44"/>
    </row>
    <row r="7" spans="2:4" ht="23">
      <c r="B7" s="43"/>
      <c r="C7" s="113" t="s">
        <v>156</v>
      </c>
      <c r="D7" s="44"/>
    </row>
    <row r="8" spans="2:4" ht="23">
      <c r="B8" s="43"/>
      <c r="C8" s="113" t="s">
        <v>155</v>
      </c>
      <c r="D8" s="44"/>
    </row>
    <row r="9" spans="2:4" ht="23">
      <c r="B9" s="43"/>
      <c r="C9" s="113" t="s">
        <v>157</v>
      </c>
      <c r="D9" s="44"/>
    </row>
    <row r="10" spans="2:4" ht="23">
      <c r="B10" s="43"/>
      <c r="C10" s="113" t="s">
        <v>158</v>
      </c>
      <c r="D10" s="44"/>
    </row>
    <row r="11" spans="2:4" ht="23.5" thickBot="1">
      <c r="B11" s="43"/>
      <c r="C11" s="113" t="s">
        <v>159</v>
      </c>
      <c r="D11" s="44"/>
    </row>
    <row r="12" spans="2:4" ht="15" thickBot="1">
      <c r="B12" s="43"/>
      <c r="C12" s="108"/>
      <c r="D12" s="44"/>
    </row>
    <row r="13" spans="2:4" ht="23">
      <c r="B13" s="43"/>
      <c r="C13" s="110" t="s">
        <v>161</v>
      </c>
      <c r="D13" s="44"/>
    </row>
    <row r="14" spans="2:4" ht="22.5" thickBot="1">
      <c r="B14" s="43"/>
      <c r="C14" s="111" t="s">
        <v>162</v>
      </c>
      <c r="D14" s="44"/>
    </row>
    <row r="15" spans="2:4" ht="15" thickBot="1">
      <c r="B15" s="46"/>
      <c r="C15" s="47"/>
      <c r="D15" s="48"/>
    </row>
  </sheetData>
  <sheetProtection algorithmName="SHA-512" hashValue="nWbYovWkKto9YVq7FN29V+DLZHUQl92qpJ4XL9GxU65FCbveZ2UtHxCWsx3F8izvcg/AgbjvNYlsguYrHqtTRw==" saltValue="OTRiiKNiR+i9Tk2wnN7AFQ==" spinCount="100000" sheet="1" objects="1" scenarios="1"/>
  <pageMargins left="0.25" right="0.25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0.39997558519241921"/>
  </sheetPr>
  <dimension ref="A1:S96"/>
  <sheetViews>
    <sheetView view="pageBreakPreview" topLeftCell="A3" zoomScaleSheetLayoutView="100" workbookViewId="0">
      <selection activeCell="I17" sqref="I17:J17"/>
    </sheetView>
  </sheetViews>
  <sheetFormatPr defaultColWidth="14.36328125" defaultRowHeight="15" customHeight="1"/>
  <cols>
    <col min="1" max="1" width="29.7265625" customWidth="1"/>
    <col min="2" max="2" width="3.36328125" customWidth="1"/>
    <col min="3" max="3" width="3.7265625" customWidth="1"/>
    <col min="4" max="4" width="4" customWidth="1"/>
    <col min="5" max="5" width="3.1796875" customWidth="1"/>
    <col min="6" max="6" width="3.6328125" style="8" customWidth="1"/>
    <col min="7" max="8" width="3.6328125" customWidth="1"/>
    <col min="9" max="9" width="4" customWidth="1"/>
    <col min="10" max="10" width="5.1796875" customWidth="1"/>
    <col min="11" max="11" width="6.81640625" customWidth="1"/>
    <col min="12" max="12" width="14.90625" customWidth="1"/>
    <col min="13" max="13" width="10.453125" customWidth="1"/>
    <col min="14" max="14" width="4.36328125" customWidth="1"/>
    <col min="15" max="15" width="8.7265625" customWidth="1"/>
    <col min="16" max="16" width="4.453125" hidden="1" customWidth="1"/>
    <col min="17" max="17" width="6.26953125" bestFit="1" customWidth="1"/>
  </cols>
  <sheetData>
    <row r="1" spans="1:15" s="9" customFormat="1" ht="16.5" customHeight="1">
      <c r="A1" s="230" t="s">
        <v>163</v>
      </c>
      <c r="B1" s="231"/>
      <c r="C1" s="231"/>
      <c r="D1" s="231"/>
      <c r="E1" s="231"/>
      <c r="F1" s="231"/>
      <c r="G1" s="231"/>
      <c r="H1" s="231"/>
      <c r="I1" s="231"/>
      <c r="J1" s="231"/>
      <c r="K1" s="231"/>
      <c r="L1" s="231"/>
      <c r="M1" s="231"/>
      <c r="N1" s="231"/>
      <c r="O1" s="232"/>
    </row>
    <row r="2" spans="1:15" s="9" customFormat="1" ht="21.75" customHeight="1">
      <c r="A2" s="233" t="s">
        <v>0</v>
      </c>
      <c r="B2" s="234"/>
      <c r="C2" s="234"/>
      <c r="D2" s="234"/>
      <c r="E2" s="234"/>
      <c r="F2" s="234"/>
      <c r="G2" s="234"/>
      <c r="H2" s="234"/>
      <c r="I2" s="234"/>
      <c r="J2" s="234"/>
      <c r="K2" s="234"/>
      <c r="L2" s="234"/>
      <c r="M2" s="234"/>
      <c r="N2" s="234"/>
      <c r="O2" s="225"/>
    </row>
    <row r="3" spans="1:15" ht="22.5" customHeight="1" thickBot="1">
      <c r="A3" s="138" t="s">
        <v>1</v>
      </c>
      <c r="B3" s="223" t="s">
        <v>2</v>
      </c>
      <c r="C3" s="235"/>
      <c r="D3" s="235"/>
      <c r="E3" s="235"/>
      <c r="F3" s="235"/>
      <c r="G3" s="235"/>
      <c r="H3" s="235"/>
      <c r="I3" s="235"/>
      <c r="J3" s="235"/>
      <c r="K3" s="236"/>
      <c r="L3" s="223" t="s">
        <v>3</v>
      </c>
      <c r="M3" s="224"/>
      <c r="N3" s="223" t="s">
        <v>4</v>
      </c>
      <c r="O3" s="225"/>
    </row>
    <row r="4" spans="1:15" ht="17.25" customHeight="1" thickBot="1">
      <c r="A4" s="139" t="s">
        <v>5</v>
      </c>
      <c r="B4" s="632"/>
      <c r="C4" s="192"/>
      <c r="D4" s="192"/>
      <c r="E4" s="192"/>
      <c r="F4" s="192"/>
      <c r="G4" s="192"/>
      <c r="H4" s="192"/>
      <c r="I4" s="192"/>
      <c r="J4" s="192"/>
      <c r="K4" s="192"/>
      <c r="L4" s="226" t="s">
        <v>6</v>
      </c>
      <c r="M4" s="227"/>
      <c r="N4" s="633"/>
      <c r="O4" s="237"/>
    </row>
    <row r="5" spans="1:15" ht="17.25" customHeight="1" thickBot="1">
      <c r="A5" s="139" t="s">
        <v>7</v>
      </c>
      <c r="B5" s="632"/>
      <c r="C5" s="192"/>
      <c r="D5" s="192"/>
      <c r="E5" s="192"/>
      <c r="F5" s="192"/>
      <c r="G5" s="192"/>
      <c r="H5" s="192"/>
      <c r="I5" s="192"/>
      <c r="J5" s="192"/>
      <c r="K5" s="192"/>
      <c r="L5" s="228" t="s">
        <v>8</v>
      </c>
      <c r="M5" s="229"/>
      <c r="N5" s="238"/>
      <c r="O5" s="239"/>
    </row>
    <row r="6" spans="1:15" ht="22.5" customHeight="1" thickBot="1">
      <c r="A6" s="139" t="s">
        <v>9</v>
      </c>
      <c r="B6" s="632"/>
      <c r="C6" s="192"/>
      <c r="D6" s="192"/>
      <c r="E6" s="192"/>
      <c r="F6" s="192"/>
      <c r="G6" s="192"/>
      <c r="H6" s="192"/>
      <c r="I6" s="192"/>
      <c r="J6" s="192"/>
      <c r="K6" s="192"/>
      <c r="L6" s="228" t="s">
        <v>10</v>
      </c>
      <c r="M6" s="229"/>
      <c r="N6" s="216"/>
      <c r="O6" s="217"/>
    </row>
    <row r="7" spans="1:15" ht="27" customHeight="1" thickBot="1">
      <c r="A7" s="181" t="s">
        <v>11</v>
      </c>
      <c r="B7" s="634"/>
      <c r="C7" s="199"/>
      <c r="D7" s="199"/>
      <c r="E7" s="199"/>
      <c r="F7" s="199"/>
      <c r="G7" s="199"/>
      <c r="H7" s="199"/>
      <c r="I7" s="199"/>
      <c r="J7" s="199"/>
      <c r="K7" s="200"/>
      <c r="L7" s="214" t="s">
        <v>12</v>
      </c>
      <c r="M7" s="215"/>
      <c r="N7" s="216"/>
      <c r="O7" s="217"/>
    </row>
    <row r="8" spans="1:15" ht="27" customHeight="1" thickBot="1">
      <c r="A8" s="182"/>
      <c r="B8" s="184"/>
      <c r="C8" s="184"/>
      <c r="D8" s="184"/>
      <c r="E8" s="184"/>
      <c r="F8" s="184"/>
      <c r="G8" s="184"/>
      <c r="H8" s="184"/>
      <c r="I8" s="184"/>
      <c r="J8" s="184"/>
      <c r="K8" s="185"/>
      <c r="L8" s="140" t="s">
        <v>13</v>
      </c>
      <c r="M8" s="218"/>
      <c r="N8" s="158"/>
      <c r="O8" s="159"/>
    </row>
    <row r="9" spans="1:15" ht="32.25" customHeight="1" thickBot="1">
      <c r="A9" s="141" t="s">
        <v>96</v>
      </c>
      <c r="B9" s="160"/>
      <c r="C9" s="161"/>
      <c r="D9" s="161"/>
      <c r="E9" s="161"/>
      <c r="F9" s="161"/>
      <c r="G9" s="161"/>
      <c r="H9" s="161"/>
      <c r="I9" s="161"/>
      <c r="J9" s="161"/>
      <c r="K9" s="162"/>
      <c r="L9" s="4" t="s">
        <v>14</v>
      </c>
      <c r="M9" s="157"/>
      <c r="N9" s="158"/>
      <c r="O9" s="159"/>
    </row>
    <row r="10" spans="1:15" ht="22.5" customHeight="1" thickBot="1">
      <c r="A10" s="142" t="s">
        <v>15</v>
      </c>
      <c r="B10" s="186"/>
      <c r="C10" s="187"/>
      <c r="D10" s="187"/>
      <c r="E10" s="187"/>
      <c r="F10" s="187"/>
      <c r="G10" s="187"/>
      <c r="H10" s="187"/>
      <c r="I10" s="187"/>
      <c r="J10" s="187"/>
      <c r="K10" s="188"/>
      <c r="L10" s="143" t="s">
        <v>16</v>
      </c>
      <c r="M10" s="219"/>
      <c r="N10" s="220"/>
      <c r="O10" s="221"/>
    </row>
    <row r="11" spans="1:15" ht="21" customHeight="1" thickBot="1">
      <c r="A11" s="144" t="s">
        <v>17</v>
      </c>
      <c r="B11" s="183"/>
      <c r="C11" s="184"/>
      <c r="D11" s="184"/>
      <c r="E11" s="184"/>
      <c r="F11" s="184"/>
      <c r="G11" s="184"/>
      <c r="H11" s="184"/>
      <c r="I11" s="184"/>
      <c r="J11" s="184"/>
      <c r="K11" s="185"/>
      <c r="L11" s="5" t="s">
        <v>18</v>
      </c>
      <c r="M11" s="635"/>
      <c r="N11" s="187"/>
      <c r="O11" s="209"/>
    </row>
    <row r="12" spans="1:15" ht="12.75" customHeight="1">
      <c r="A12" s="173" t="s">
        <v>91</v>
      </c>
      <c r="B12" s="175" t="s">
        <v>19</v>
      </c>
      <c r="C12" s="176"/>
      <c r="D12" s="176"/>
      <c r="E12" s="177"/>
      <c r="F12" s="175" t="s">
        <v>20</v>
      </c>
      <c r="G12" s="204"/>
      <c r="H12" s="205"/>
      <c r="I12" s="145" t="s">
        <v>150</v>
      </c>
      <c r="J12" s="146"/>
      <c r="K12" s="202" t="s">
        <v>21</v>
      </c>
      <c r="L12" s="202" t="s">
        <v>22</v>
      </c>
      <c r="M12" s="210" t="s">
        <v>23</v>
      </c>
      <c r="N12" s="212" t="s">
        <v>24</v>
      </c>
      <c r="O12" s="213"/>
    </row>
    <row r="13" spans="1:15" ht="16.5" customHeight="1" thickBot="1">
      <c r="A13" s="174"/>
      <c r="B13" s="178"/>
      <c r="C13" s="179"/>
      <c r="D13" s="179"/>
      <c r="E13" s="180"/>
      <c r="F13" s="206"/>
      <c r="G13" s="207"/>
      <c r="H13" s="208"/>
      <c r="I13" s="147" t="s">
        <v>149</v>
      </c>
      <c r="J13" s="148"/>
      <c r="K13" s="203"/>
      <c r="L13" s="222"/>
      <c r="M13" s="211"/>
      <c r="N13" s="149" t="s">
        <v>25</v>
      </c>
      <c r="O13" s="150" t="s">
        <v>26</v>
      </c>
    </row>
    <row r="14" spans="1:15" ht="18" customHeight="1">
      <c r="A14" s="151" t="s">
        <v>27</v>
      </c>
      <c r="B14" s="191">
        <v>0</v>
      </c>
      <c r="C14" s="192"/>
      <c r="D14" s="192"/>
      <c r="E14" s="193"/>
      <c r="F14" s="194">
        <v>0</v>
      </c>
      <c r="G14" s="195"/>
      <c r="H14" s="196"/>
      <c r="I14" s="201">
        <v>0</v>
      </c>
      <c r="J14" s="193"/>
      <c r="K14" s="10">
        <v>0</v>
      </c>
      <c r="L14" s="11">
        <v>0</v>
      </c>
      <c r="M14" s="12">
        <v>0</v>
      </c>
      <c r="N14" s="13"/>
      <c r="O14" s="49">
        <v>0</v>
      </c>
    </row>
    <row r="15" spans="1:15" ht="18" customHeight="1">
      <c r="A15" s="151" t="s">
        <v>28</v>
      </c>
      <c r="B15" s="189">
        <v>0</v>
      </c>
      <c r="C15" s="190"/>
      <c r="D15" s="190"/>
      <c r="E15" s="164"/>
      <c r="F15" s="189">
        <v>0</v>
      </c>
      <c r="G15" s="197"/>
      <c r="H15" s="198"/>
      <c r="I15" s="201">
        <v>0</v>
      </c>
      <c r="J15" s="193"/>
      <c r="K15" s="14">
        <v>0</v>
      </c>
      <c r="L15" s="15">
        <v>0</v>
      </c>
      <c r="M15" s="16">
        <v>0</v>
      </c>
      <c r="N15" s="17"/>
      <c r="O15" s="50">
        <v>0</v>
      </c>
    </row>
    <row r="16" spans="1:15" ht="18" customHeight="1">
      <c r="A16" s="151" t="s">
        <v>29</v>
      </c>
      <c r="B16" s="189">
        <v>0</v>
      </c>
      <c r="C16" s="190"/>
      <c r="D16" s="190"/>
      <c r="E16" s="164"/>
      <c r="F16" s="189">
        <v>0</v>
      </c>
      <c r="G16" s="197"/>
      <c r="H16" s="198"/>
      <c r="I16" s="201">
        <v>0</v>
      </c>
      <c r="J16" s="193"/>
      <c r="K16" s="14">
        <v>0</v>
      </c>
      <c r="L16" s="15">
        <v>0</v>
      </c>
      <c r="M16" s="16">
        <v>0</v>
      </c>
      <c r="N16" s="17"/>
      <c r="O16" s="50">
        <v>0</v>
      </c>
    </row>
    <row r="17" spans="1:15" ht="18" customHeight="1">
      <c r="A17" s="151" t="s">
        <v>30</v>
      </c>
      <c r="B17" s="189">
        <v>0</v>
      </c>
      <c r="C17" s="190"/>
      <c r="D17" s="190"/>
      <c r="E17" s="164"/>
      <c r="F17" s="189">
        <v>0</v>
      </c>
      <c r="G17" s="197"/>
      <c r="H17" s="198"/>
      <c r="I17" s="163">
        <v>0</v>
      </c>
      <c r="J17" s="164"/>
      <c r="K17" s="14">
        <v>0</v>
      </c>
      <c r="L17" s="15">
        <v>0</v>
      </c>
      <c r="M17" s="16">
        <v>0</v>
      </c>
      <c r="N17" s="17"/>
      <c r="O17" s="50">
        <v>0</v>
      </c>
    </row>
    <row r="18" spans="1:15" ht="18" customHeight="1">
      <c r="A18" s="151" t="s">
        <v>31</v>
      </c>
      <c r="B18" s="189">
        <v>0</v>
      </c>
      <c r="C18" s="190"/>
      <c r="D18" s="190"/>
      <c r="E18" s="164"/>
      <c r="F18" s="189">
        <v>0</v>
      </c>
      <c r="G18" s="197"/>
      <c r="H18" s="198"/>
      <c r="I18" s="163">
        <v>0</v>
      </c>
      <c r="J18" s="164"/>
      <c r="K18" s="14">
        <v>0</v>
      </c>
      <c r="L18" s="15">
        <v>0</v>
      </c>
      <c r="M18" s="16">
        <v>0</v>
      </c>
      <c r="N18" s="17"/>
      <c r="O18" s="50">
        <v>0</v>
      </c>
    </row>
    <row r="19" spans="1:15" ht="18" customHeight="1">
      <c r="A19" s="151" t="s">
        <v>32</v>
      </c>
      <c r="B19" s="189">
        <v>0</v>
      </c>
      <c r="C19" s="190"/>
      <c r="D19" s="190"/>
      <c r="E19" s="164"/>
      <c r="F19" s="189">
        <v>0</v>
      </c>
      <c r="G19" s="197"/>
      <c r="H19" s="198"/>
      <c r="I19" s="163">
        <v>0</v>
      </c>
      <c r="J19" s="164"/>
      <c r="K19" s="14">
        <v>0</v>
      </c>
      <c r="L19" s="15">
        <v>0</v>
      </c>
      <c r="M19" s="16">
        <v>0</v>
      </c>
      <c r="N19" s="17"/>
      <c r="O19" s="50">
        <v>0</v>
      </c>
    </row>
    <row r="20" spans="1:15" ht="18" customHeight="1">
      <c r="A20" s="151" t="s">
        <v>33</v>
      </c>
      <c r="B20" s="189">
        <v>0</v>
      </c>
      <c r="C20" s="190"/>
      <c r="D20" s="190"/>
      <c r="E20" s="164"/>
      <c r="F20" s="189">
        <v>0</v>
      </c>
      <c r="G20" s="197"/>
      <c r="H20" s="198"/>
      <c r="I20" s="163">
        <v>0</v>
      </c>
      <c r="J20" s="164"/>
      <c r="K20" s="14">
        <v>0</v>
      </c>
      <c r="L20" s="15">
        <v>0</v>
      </c>
      <c r="M20" s="16">
        <v>0</v>
      </c>
      <c r="N20" s="17"/>
      <c r="O20" s="50">
        <v>0</v>
      </c>
    </row>
    <row r="21" spans="1:15" ht="18" customHeight="1">
      <c r="A21" s="151" t="s">
        <v>34</v>
      </c>
      <c r="B21" s="189">
        <v>0</v>
      </c>
      <c r="C21" s="190"/>
      <c r="D21" s="190"/>
      <c r="E21" s="164"/>
      <c r="F21" s="189">
        <v>0</v>
      </c>
      <c r="G21" s="197"/>
      <c r="H21" s="198"/>
      <c r="I21" s="163">
        <v>0</v>
      </c>
      <c r="J21" s="164"/>
      <c r="K21" s="14">
        <v>0</v>
      </c>
      <c r="L21" s="15">
        <v>0</v>
      </c>
      <c r="M21" s="16">
        <v>0</v>
      </c>
      <c r="N21" s="17"/>
      <c r="O21" s="50">
        <v>0</v>
      </c>
    </row>
    <row r="22" spans="1:15" ht="18" customHeight="1">
      <c r="A22" s="151" t="s">
        <v>35</v>
      </c>
      <c r="B22" s="189">
        <v>0</v>
      </c>
      <c r="C22" s="190"/>
      <c r="D22" s="190"/>
      <c r="E22" s="164"/>
      <c r="F22" s="189">
        <v>0</v>
      </c>
      <c r="G22" s="197"/>
      <c r="H22" s="198"/>
      <c r="I22" s="163">
        <v>0</v>
      </c>
      <c r="J22" s="164"/>
      <c r="K22" s="14">
        <v>0</v>
      </c>
      <c r="L22" s="15">
        <v>0</v>
      </c>
      <c r="M22" s="16">
        <v>0</v>
      </c>
      <c r="N22" s="17"/>
      <c r="O22" s="50">
        <v>0</v>
      </c>
    </row>
    <row r="23" spans="1:15" ht="18" customHeight="1">
      <c r="A23" s="151" t="s">
        <v>36</v>
      </c>
      <c r="B23" s="189">
        <v>0</v>
      </c>
      <c r="C23" s="190"/>
      <c r="D23" s="190"/>
      <c r="E23" s="164"/>
      <c r="F23" s="189">
        <v>0</v>
      </c>
      <c r="G23" s="197"/>
      <c r="H23" s="198"/>
      <c r="I23" s="163">
        <v>0</v>
      </c>
      <c r="J23" s="164"/>
      <c r="K23" s="14">
        <v>0</v>
      </c>
      <c r="L23" s="15">
        <v>0</v>
      </c>
      <c r="M23" s="16">
        <v>0</v>
      </c>
      <c r="N23" s="17"/>
      <c r="O23" s="50">
        <v>0</v>
      </c>
    </row>
    <row r="24" spans="1:15" ht="18" customHeight="1">
      <c r="A24" s="151" t="s">
        <v>37</v>
      </c>
      <c r="B24" s="189">
        <v>0</v>
      </c>
      <c r="C24" s="190"/>
      <c r="D24" s="190"/>
      <c r="E24" s="164"/>
      <c r="F24" s="189">
        <v>0</v>
      </c>
      <c r="G24" s="197"/>
      <c r="H24" s="198"/>
      <c r="I24" s="163">
        <v>0</v>
      </c>
      <c r="J24" s="164"/>
      <c r="K24" s="14">
        <v>0</v>
      </c>
      <c r="L24" s="15">
        <v>0</v>
      </c>
      <c r="M24" s="16">
        <v>0</v>
      </c>
      <c r="N24" s="17"/>
      <c r="O24" s="50">
        <v>0</v>
      </c>
    </row>
    <row r="25" spans="1:15" ht="18" customHeight="1">
      <c r="A25" s="151" t="s">
        <v>38</v>
      </c>
      <c r="B25" s="189">
        <v>0</v>
      </c>
      <c r="C25" s="190"/>
      <c r="D25" s="190"/>
      <c r="E25" s="164"/>
      <c r="F25" s="189">
        <v>0</v>
      </c>
      <c r="G25" s="197"/>
      <c r="H25" s="198"/>
      <c r="I25" s="163">
        <v>0</v>
      </c>
      <c r="J25" s="164"/>
      <c r="K25" s="14">
        <v>0</v>
      </c>
      <c r="L25" s="15">
        <v>0</v>
      </c>
      <c r="M25" s="16">
        <v>0</v>
      </c>
      <c r="N25" s="17"/>
      <c r="O25" s="50">
        <v>0</v>
      </c>
    </row>
    <row r="26" spans="1:15" ht="16.5" customHeight="1">
      <c r="A26" s="152" t="s">
        <v>39</v>
      </c>
      <c r="B26" s="261"/>
      <c r="C26" s="264"/>
      <c r="D26" s="264"/>
      <c r="E26" s="172"/>
      <c r="F26" s="261"/>
      <c r="G26" s="262"/>
      <c r="H26" s="263"/>
      <c r="I26" s="171"/>
      <c r="J26" s="172"/>
      <c r="K26" s="153"/>
      <c r="L26" s="154"/>
      <c r="M26" s="154"/>
      <c r="N26" s="154"/>
      <c r="O26" s="155"/>
    </row>
    <row r="27" spans="1:15" ht="18" customHeight="1">
      <c r="A27" s="151" t="s">
        <v>94</v>
      </c>
      <c r="B27" s="189">
        <v>0</v>
      </c>
      <c r="C27" s="190"/>
      <c r="D27" s="190"/>
      <c r="E27" s="164"/>
      <c r="F27" s="249"/>
      <c r="G27" s="250"/>
      <c r="H27" s="251"/>
      <c r="I27" s="243"/>
      <c r="J27" s="244"/>
      <c r="K27" s="165"/>
      <c r="L27" s="168"/>
      <c r="M27" s="168"/>
      <c r="N27" s="168"/>
      <c r="O27" s="258"/>
    </row>
    <row r="28" spans="1:15" ht="18" customHeight="1">
      <c r="A28" s="151" t="s">
        <v>95</v>
      </c>
      <c r="B28" s="189">
        <v>0</v>
      </c>
      <c r="C28" s="190"/>
      <c r="D28" s="190"/>
      <c r="E28" s="164"/>
      <c r="F28" s="252"/>
      <c r="G28" s="253"/>
      <c r="H28" s="254"/>
      <c r="I28" s="245"/>
      <c r="J28" s="246"/>
      <c r="K28" s="166"/>
      <c r="L28" s="169"/>
      <c r="M28" s="169"/>
      <c r="N28" s="169"/>
      <c r="O28" s="259"/>
    </row>
    <row r="29" spans="1:15" ht="18" customHeight="1">
      <c r="A29" s="151" t="s">
        <v>93</v>
      </c>
      <c r="B29" s="189">
        <v>0</v>
      </c>
      <c r="C29" s="190"/>
      <c r="D29" s="190"/>
      <c r="E29" s="164"/>
      <c r="F29" s="252"/>
      <c r="G29" s="253"/>
      <c r="H29" s="254"/>
      <c r="I29" s="245"/>
      <c r="J29" s="246"/>
      <c r="K29" s="166"/>
      <c r="L29" s="169"/>
      <c r="M29" s="169"/>
      <c r="N29" s="169"/>
      <c r="O29" s="259"/>
    </row>
    <row r="30" spans="1:15" ht="15.75" customHeight="1">
      <c r="A30" s="151" t="s">
        <v>40</v>
      </c>
      <c r="B30" s="189">
        <v>0</v>
      </c>
      <c r="C30" s="190"/>
      <c r="D30" s="190"/>
      <c r="E30" s="164"/>
      <c r="F30" s="252"/>
      <c r="G30" s="253"/>
      <c r="H30" s="254"/>
      <c r="I30" s="245"/>
      <c r="J30" s="246"/>
      <c r="K30" s="166"/>
      <c r="L30" s="169"/>
      <c r="M30" s="169"/>
      <c r="N30" s="169"/>
      <c r="O30" s="259"/>
    </row>
    <row r="31" spans="1:15" ht="15.75" customHeight="1">
      <c r="A31" s="151" t="s">
        <v>97</v>
      </c>
      <c r="B31" s="189">
        <v>0</v>
      </c>
      <c r="C31" s="190"/>
      <c r="D31" s="190"/>
      <c r="E31" s="164"/>
      <c r="F31" s="252"/>
      <c r="G31" s="253"/>
      <c r="H31" s="254"/>
      <c r="I31" s="245"/>
      <c r="J31" s="246"/>
      <c r="K31" s="166"/>
      <c r="L31" s="169"/>
      <c r="M31" s="169"/>
      <c r="N31" s="169"/>
      <c r="O31" s="259"/>
    </row>
    <row r="32" spans="1:15" ht="15.75" customHeight="1">
      <c r="A32" s="156"/>
      <c r="B32" s="240"/>
      <c r="C32" s="241"/>
      <c r="D32" s="241"/>
      <c r="E32" s="242"/>
      <c r="F32" s="255"/>
      <c r="G32" s="256"/>
      <c r="H32" s="257"/>
      <c r="I32" s="247"/>
      <c r="J32" s="248"/>
      <c r="K32" s="167"/>
      <c r="L32" s="170"/>
      <c r="M32" s="170"/>
      <c r="N32" s="170"/>
      <c r="O32" s="260"/>
    </row>
    <row r="33" spans="1:19" ht="18" customHeight="1" thickBot="1">
      <c r="A33" s="53" t="s">
        <v>41</v>
      </c>
      <c r="B33" s="278">
        <f>SUM(B14:E32)</f>
        <v>0</v>
      </c>
      <c r="C33" s="279"/>
      <c r="D33" s="279"/>
      <c r="E33" s="280"/>
      <c r="F33" s="278">
        <f>SUM(F14:H31)</f>
        <v>0</v>
      </c>
      <c r="G33" s="281"/>
      <c r="H33" s="282"/>
      <c r="I33" s="289">
        <f>SUM(I14:J31)</f>
        <v>0</v>
      </c>
      <c r="J33" s="280"/>
      <c r="K33" s="54">
        <f>SUM(K14:K31)</f>
        <v>0</v>
      </c>
      <c r="L33" s="55">
        <f>SUM(L14:L31)</f>
        <v>0</v>
      </c>
      <c r="M33" s="56">
        <f>SUM(M14:M31)</f>
        <v>0</v>
      </c>
      <c r="N33" s="56">
        <f>SUM(N14:N31)</f>
        <v>0</v>
      </c>
      <c r="O33" s="57">
        <f>SUM(O14:O31)</f>
        <v>0</v>
      </c>
    </row>
    <row r="34" spans="1:19" ht="23.25" customHeight="1" thickBot="1">
      <c r="A34" s="283" t="s">
        <v>42</v>
      </c>
      <c r="B34" s="284"/>
      <c r="C34" s="284"/>
      <c r="D34" s="284"/>
      <c r="E34" s="284"/>
      <c r="F34" s="284"/>
      <c r="G34" s="284"/>
      <c r="H34" s="284"/>
      <c r="I34" s="284"/>
      <c r="J34" s="284"/>
      <c r="K34" s="284"/>
      <c r="L34" s="285"/>
      <c r="M34" s="286">
        <f>B33</f>
        <v>0</v>
      </c>
      <c r="N34" s="274"/>
      <c r="O34" s="275"/>
      <c r="P34" s="6"/>
      <c r="Q34" s="6">
        <f>I33</f>
        <v>0</v>
      </c>
    </row>
    <row r="35" spans="1:19" ht="14.25" customHeight="1">
      <c r="A35" s="287" t="s">
        <v>43</v>
      </c>
      <c r="B35" s="288"/>
      <c r="C35" s="288"/>
      <c r="D35" s="288"/>
      <c r="E35" s="288"/>
      <c r="F35" s="288"/>
      <c r="G35" s="288"/>
      <c r="H35" s="288"/>
      <c r="I35" s="288"/>
      <c r="J35" s="288"/>
      <c r="K35" s="58"/>
      <c r="L35" s="59"/>
      <c r="M35" s="51"/>
      <c r="N35" s="51"/>
      <c r="O35" s="52"/>
      <c r="P35" s="6"/>
      <c r="Q35" s="6">
        <v>50000</v>
      </c>
    </row>
    <row r="36" spans="1:19" ht="13.5" customHeight="1">
      <c r="A36" s="276" t="s">
        <v>44</v>
      </c>
      <c r="B36" s="277"/>
      <c r="C36" s="277"/>
      <c r="D36" s="277"/>
      <c r="E36" s="277"/>
      <c r="F36" s="277"/>
      <c r="G36" s="277"/>
      <c r="H36" s="277"/>
      <c r="I36" s="277"/>
      <c r="J36" s="277"/>
      <c r="K36" s="265">
        <v>0</v>
      </c>
      <c r="L36" s="266"/>
      <c r="M36" s="51"/>
      <c r="N36" s="51"/>
      <c r="O36" s="52"/>
      <c r="P36" s="6"/>
      <c r="Q36" s="6">
        <f>Q34-Q35</f>
        <v>-50000</v>
      </c>
    </row>
    <row r="37" spans="1:19" ht="15.75" customHeight="1">
      <c r="A37" s="276" t="s">
        <v>45</v>
      </c>
      <c r="B37" s="277"/>
      <c r="C37" s="277"/>
      <c r="D37" s="277"/>
      <c r="E37" s="277"/>
      <c r="F37" s="277"/>
      <c r="G37" s="277"/>
      <c r="H37" s="277"/>
      <c r="I37" s="277"/>
      <c r="J37" s="277"/>
      <c r="K37" s="267">
        <v>50000</v>
      </c>
      <c r="L37" s="268"/>
      <c r="M37" s="51"/>
      <c r="N37" s="51"/>
      <c r="O37" s="52"/>
      <c r="P37" s="6"/>
      <c r="Q37" s="6"/>
    </row>
    <row r="38" spans="1:19" ht="17.25" customHeight="1">
      <c r="A38" s="276" t="s">
        <v>46</v>
      </c>
      <c r="B38" s="277"/>
      <c r="C38" s="277"/>
      <c r="D38" s="277"/>
      <c r="E38" s="277"/>
      <c r="F38" s="277"/>
      <c r="G38" s="277"/>
      <c r="H38" s="277"/>
      <c r="I38" s="277"/>
      <c r="J38" s="277"/>
      <c r="K38" s="296">
        <f>K33</f>
        <v>0</v>
      </c>
      <c r="L38" s="268"/>
      <c r="M38" s="51"/>
      <c r="N38" s="51"/>
      <c r="O38" s="52"/>
      <c r="P38" s="6"/>
      <c r="Q38" s="6"/>
    </row>
    <row r="39" spans="1:19" ht="17.25" customHeight="1" thickBot="1">
      <c r="A39" s="304" t="s">
        <v>47</v>
      </c>
      <c r="B39" s="305"/>
      <c r="C39" s="305"/>
      <c r="D39" s="305"/>
      <c r="E39" s="305"/>
      <c r="F39" s="305"/>
      <c r="G39" s="305"/>
      <c r="H39" s="305"/>
      <c r="I39" s="305"/>
      <c r="J39" s="305"/>
      <c r="K39" s="297">
        <f>SUM(K36:L38)</f>
        <v>50000</v>
      </c>
      <c r="L39" s="298"/>
      <c r="M39" s="290"/>
      <c r="N39" s="291"/>
      <c r="O39" s="292"/>
      <c r="P39" s="6"/>
      <c r="Q39" s="6"/>
    </row>
    <row r="40" spans="1:19" ht="21.75" customHeight="1" thickBot="1">
      <c r="A40" s="293" t="s">
        <v>48</v>
      </c>
      <c r="B40" s="294"/>
      <c r="C40" s="294"/>
      <c r="D40" s="294"/>
      <c r="E40" s="294"/>
      <c r="F40" s="294"/>
      <c r="G40" s="294"/>
      <c r="H40" s="294"/>
      <c r="I40" s="294"/>
      <c r="J40" s="294"/>
      <c r="K40" s="306"/>
      <c r="L40" s="307"/>
      <c r="M40" s="295">
        <f>M34-K39</f>
        <v>-50000</v>
      </c>
      <c r="N40" s="274"/>
      <c r="O40" s="275"/>
      <c r="S40" s="3"/>
    </row>
    <row r="41" spans="1:19" ht="17.25" customHeight="1" thickBot="1">
      <c r="A41" s="299" t="s">
        <v>49</v>
      </c>
      <c r="B41" s="300"/>
      <c r="C41" s="300"/>
      <c r="D41" s="300"/>
      <c r="E41" s="300"/>
      <c r="F41" s="300"/>
      <c r="G41" s="300"/>
      <c r="H41" s="300"/>
      <c r="I41" s="300"/>
      <c r="J41" s="300"/>
      <c r="K41" s="300"/>
      <c r="L41" s="272"/>
      <c r="M41" s="60">
        <v>0</v>
      </c>
      <c r="N41" s="62"/>
      <c r="O41" s="63">
        <f>IF(M41&gt;=200000,(200000),IF(M41&lt;200000,M41))</f>
        <v>0</v>
      </c>
    </row>
    <row r="42" spans="1:19" ht="22.5" customHeight="1" thickBot="1">
      <c r="A42" s="301" t="s">
        <v>50</v>
      </c>
      <c r="B42" s="300"/>
      <c r="C42" s="300"/>
      <c r="D42" s="302"/>
      <c r="E42" s="303"/>
      <c r="F42" s="300"/>
      <c r="G42" s="300"/>
      <c r="H42" s="300"/>
      <c r="I42" s="300"/>
      <c r="J42" s="300"/>
      <c r="K42" s="300"/>
      <c r="L42" s="272"/>
      <c r="M42" s="61"/>
      <c r="N42" s="61"/>
      <c r="O42" s="64"/>
    </row>
    <row r="43" spans="1:19" ht="18" customHeight="1" thickBot="1">
      <c r="A43" s="269" t="s">
        <v>103</v>
      </c>
      <c r="B43" s="270"/>
      <c r="C43" s="270"/>
      <c r="D43" s="270"/>
      <c r="E43" s="270"/>
      <c r="F43" s="270"/>
      <c r="G43" s="270"/>
      <c r="H43" s="270"/>
      <c r="I43" s="270"/>
      <c r="J43" s="270"/>
      <c r="K43" s="271"/>
      <c r="L43" s="272"/>
      <c r="M43" s="273">
        <f>SUM(M40-O41)</f>
        <v>-50000</v>
      </c>
      <c r="N43" s="274"/>
      <c r="O43" s="275"/>
    </row>
    <row r="44" spans="1:19" ht="16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</row>
    <row r="45" spans="1:19" ht="15.75" customHeight="1">
      <c r="A45" s="1"/>
      <c r="B45" s="1"/>
      <c r="C45" s="1"/>
      <c r="D45" s="1"/>
      <c r="E45" s="1"/>
      <c r="F45" s="7"/>
      <c r="G45" s="1"/>
      <c r="H45" s="1"/>
      <c r="I45" s="1"/>
      <c r="J45" s="1"/>
      <c r="K45" s="1"/>
      <c r="L45" s="1"/>
      <c r="M45" s="1"/>
      <c r="N45" s="1"/>
      <c r="O45" s="1"/>
    </row>
    <row r="46" spans="1:19" ht="15.75" customHeight="1">
      <c r="A46" s="1"/>
      <c r="B46" s="1"/>
      <c r="C46" s="1"/>
      <c r="D46" s="1"/>
      <c r="E46" s="1"/>
      <c r="F46" s="7"/>
      <c r="G46" s="1"/>
      <c r="H46" s="1"/>
      <c r="I46" s="1"/>
      <c r="J46" s="1"/>
      <c r="K46" s="1"/>
      <c r="L46" s="1"/>
      <c r="M46" s="1"/>
      <c r="N46" s="1"/>
      <c r="O46" s="1"/>
    </row>
    <row r="47" spans="1:19" ht="15.75" customHeight="1">
      <c r="A47" s="1"/>
      <c r="B47" s="1"/>
      <c r="C47" s="1"/>
      <c r="D47" s="1"/>
      <c r="E47" s="1"/>
      <c r="F47" s="7"/>
      <c r="G47" s="1"/>
      <c r="H47" s="1"/>
      <c r="I47" s="1"/>
      <c r="J47" s="1"/>
      <c r="K47" s="1"/>
      <c r="L47" s="1"/>
      <c r="M47" s="1"/>
      <c r="N47" s="1"/>
      <c r="O47" s="1"/>
    </row>
    <row r="48" spans="1:19" ht="15.75" customHeight="1">
      <c r="A48" s="1"/>
      <c r="B48" s="1"/>
      <c r="C48" s="1"/>
      <c r="D48" s="1"/>
      <c r="E48" s="1"/>
      <c r="F48" s="7"/>
      <c r="G48" s="1"/>
      <c r="H48" s="1"/>
      <c r="I48" s="1"/>
      <c r="J48" s="1"/>
      <c r="K48" s="1"/>
      <c r="L48" s="1"/>
      <c r="M48" s="1"/>
      <c r="N48" s="1"/>
      <c r="O48" s="1"/>
    </row>
    <row r="49" spans="1:15" ht="15.75" customHeight="1">
      <c r="A49" s="1"/>
      <c r="B49" s="1"/>
      <c r="C49" s="1"/>
      <c r="D49" s="1"/>
      <c r="E49" s="1"/>
      <c r="F49" s="7"/>
      <c r="G49" s="1"/>
      <c r="H49" s="1"/>
      <c r="I49" s="1"/>
      <c r="J49" s="1"/>
      <c r="K49" s="1"/>
      <c r="L49" s="1"/>
      <c r="M49" s="1"/>
      <c r="N49" s="1"/>
      <c r="O49" s="1"/>
    </row>
    <row r="50" spans="1:15" ht="15.75" customHeight="1">
      <c r="A50" s="1"/>
      <c r="B50" s="1"/>
      <c r="C50" s="1"/>
      <c r="D50" s="1"/>
      <c r="E50" s="1"/>
      <c r="F50" s="7"/>
      <c r="G50" s="1"/>
      <c r="H50" s="1"/>
      <c r="I50" s="1"/>
      <c r="J50" s="1"/>
      <c r="K50" s="1"/>
      <c r="L50" s="1"/>
      <c r="M50" s="1"/>
      <c r="N50" s="1"/>
      <c r="O50" s="1"/>
    </row>
    <row r="51" spans="1:15" ht="15.75" customHeight="1">
      <c r="A51" s="1"/>
      <c r="B51" s="1"/>
      <c r="C51" s="1"/>
      <c r="D51" s="1"/>
      <c r="E51" s="1"/>
      <c r="F51" s="7"/>
      <c r="G51" s="1"/>
      <c r="H51" s="1"/>
      <c r="I51" s="1"/>
      <c r="J51" s="1"/>
      <c r="K51" s="1"/>
      <c r="L51" s="1"/>
      <c r="M51" s="1"/>
      <c r="N51" s="1"/>
      <c r="O51" s="1"/>
    </row>
    <row r="52" spans="1:15" ht="15.75" customHeight="1">
      <c r="A52" s="1"/>
      <c r="B52" s="1"/>
      <c r="C52" s="1"/>
      <c r="D52" s="1"/>
      <c r="E52" s="1"/>
      <c r="F52" s="7"/>
      <c r="G52" s="1"/>
      <c r="H52" s="1"/>
      <c r="I52" s="1"/>
      <c r="J52" s="1"/>
      <c r="K52" s="1"/>
      <c r="L52" s="1"/>
      <c r="M52" s="1"/>
      <c r="N52" s="1"/>
      <c r="O52" s="1"/>
    </row>
    <row r="53" spans="1:15" ht="15.75" customHeight="1">
      <c r="A53" s="1"/>
      <c r="B53" s="1"/>
      <c r="C53" s="1"/>
      <c r="D53" s="1"/>
      <c r="E53" s="1"/>
      <c r="F53" s="7"/>
      <c r="G53" s="1"/>
      <c r="H53" s="1"/>
      <c r="I53" s="1"/>
      <c r="J53" s="1"/>
      <c r="K53" s="1"/>
      <c r="L53" s="1"/>
      <c r="M53" s="1"/>
      <c r="N53" s="1"/>
      <c r="O53" s="1"/>
    </row>
    <row r="54" spans="1:15" ht="15.75" customHeight="1">
      <c r="A54" s="1"/>
      <c r="B54" s="1"/>
      <c r="C54" s="1"/>
      <c r="D54" s="1"/>
      <c r="E54" s="1"/>
      <c r="F54" s="7"/>
      <c r="G54" s="1"/>
      <c r="H54" s="1"/>
      <c r="I54" s="1"/>
      <c r="J54" s="1"/>
      <c r="K54" s="1"/>
      <c r="L54" s="1"/>
      <c r="M54" s="1"/>
      <c r="N54" s="1"/>
      <c r="O54" s="1"/>
    </row>
    <row r="55" spans="1:15" ht="15.75" customHeight="1">
      <c r="A55" s="1"/>
      <c r="B55" s="1"/>
      <c r="C55" s="1"/>
      <c r="D55" s="1"/>
      <c r="E55" s="1"/>
      <c r="F55" s="7"/>
      <c r="G55" s="1"/>
      <c r="H55" s="1"/>
      <c r="I55" s="1"/>
      <c r="J55" s="1"/>
      <c r="K55" s="1"/>
      <c r="L55" s="1"/>
      <c r="M55" s="1"/>
      <c r="N55" s="1"/>
      <c r="O55" s="1"/>
    </row>
    <row r="56" spans="1:15" ht="15.75" customHeight="1">
      <c r="A56" s="1"/>
      <c r="B56" s="1"/>
      <c r="C56" s="1"/>
      <c r="D56" s="1"/>
      <c r="E56" s="1"/>
      <c r="F56" s="7"/>
      <c r="G56" s="1"/>
      <c r="H56" s="1"/>
      <c r="I56" s="1"/>
      <c r="J56" s="1"/>
      <c r="K56" s="1"/>
      <c r="L56" s="1"/>
      <c r="M56" s="1"/>
      <c r="N56" s="1"/>
      <c r="O56" s="1"/>
    </row>
    <row r="57" spans="1:15" ht="15.75" customHeight="1">
      <c r="A57" s="1"/>
      <c r="B57" s="1"/>
      <c r="C57" s="1"/>
      <c r="D57" s="1"/>
      <c r="E57" s="1"/>
      <c r="F57" s="7"/>
      <c r="G57" s="1"/>
      <c r="H57" s="1"/>
      <c r="I57" s="1"/>
      <c r="J57" s="1"/>
      <c r="K57" s="1"/>
      <c r="L57" s="1"/>
      <c r="M57" s="1"/>
      <c r="N57" s="1"/>
      <c r="O57" s="1"/>
    </row>
    <row r="58" spans="1:15" ht="15.75" customHeight="1">
      <c r="A58" s="1"/>
      <c r="B58" s="1"/>
      <c r="C58" s="1"/>
      <c r="D58" s="1"/>
      <c r="E58" s="1"/>
      <c r="F58" s="7"/>
      <c r="G58" s="1"/>
      <c r="H58" s="1"/>
      <c r="I58" s="1"/>
      <c r="J58" s="1"/>
      <c r="K58" s="1"/>
      <c r="L58" s="1"/>
      <c r="M58" s="1"/>
      <c r="N58" s="1"/>
      <c r="O58" s="1"/>
    </row>
    <row r="59" spans="1:15" ht="15.75" customHeight="1">
      <c r="A59" s="1"/>
      <c r="B59" s="1"/>
      <c r="C59" s="1"/>
      <c r="D59" s="1"/>
      <c r="E59" s="1"/>
      <c r="F59" s="7"/>
      <c r="G59" s="1"/>
      <c r="H59" s="1"/>
      <c r="I59" s="1"/>
      <c r="J59" s="1"/>
      <c r="K59" s="1"/>
      <c r="L59" s="1"/>
      <c r="M59" s="1"/>
      <c r="N59" s="1"/>
      <c r="O59" s="1"/>
    </row>
    <row r="60" spans="1:15" ht="15.75" customHeight="1">
      <c r="A60" s="1"/>
      <c r="B60" s="1"/>
      <c r="C60" s="1"/>
      <c r="D60" s="1"/>
      <c r="E60" s="1"/>
      <c r="F60" s="7"/>
      <c r="G60" s="1"/>
      <c r="H60" s="1"/>
      <c r="I60" s="1"/>
      <c r="J60" s="1"/>
      <c r="K60" s="1"/>
      <c r="L60" s="1"/>
      <c r="M60" s="1"/>
      <c r="N60" s="1"/>
      <c r="O60" s="1"/>
    </row>
    <row r="61" spans="1:15" ht="15.75" customHeight="1">
      <c r="A61" s="1"/>
      <c r="B61" s="1"/>
      <c r="C61" s="1"/>
      <c r="D61" s="1"/>
      <c r="E61" s="1"/>
      <c r="F61" s="7"/>
      <c r="G61" s="1"/>
      <c r="H61" s="1"/>
      <c r="I61" s="1"/>
      <c r="J61" s="1"/>
      <c r="K61" s="1"/>
      <c r="L61" s="1"/>
      <c r="M61" s="1"/>
      <c r="N61" s="1"/>
      <c r="O61" s="1"/>
    </row>
    <row r="62" spans="1:15" ht="15.75" customHeight="1">
      <c r="A62" s="1"/>
      <c r="B62" s="1"/>
      <c r="C62" s="1"/>
      <c r="D62" s="1"/>
      <c r="E62" s="1"/>
      <c r="F62" s="7"/>
      <c r="G62" s="1"/>
      <c r="H62" s="1"/>
      <c r="I62" s="1"/>
      <c r="J62" s="1"/>
      <c r="K62" s="1"/>
      <c r="L62" s="1"/>
      <c r="M62" s="1"/>
      <c r="N62" s="1"/>
      <c r="O62" s="1"/>
    </row>
    <row r="63" spans="1:15" ht="15.75" customHeight="1">
      <c r="A63" s="1"/>
      <c r="B63" s="1"/>
      <c r="C63" s="1"/>
      <c r="D63" s="1"/>
      <c r="E63" s="1"/>
      <c r="F63" s="7"/>
      <c r="G63" s="1"/>
      <c r="H63" s="1"/>
      <c r="I63" s="1"/>
      <c r="J63" s="1"/>
      <c r="K63" s="1"/>
      <c r="L63" s="1"/>
      <c r="M63" s="1"/>
      <c r="N63" s="1"/>
      <c r="O63" s="1"/>
    </row>
    <row r="64" spans="1:15" ht="15.75" customHeight="1">
      <c r="A64" s="1"/>
      <c r="B64" s="1"/>
      <c r="C64" s="1"/>
      <c r="D64" s="1"/>
      <c r="E64" s="1"/>
      <c r="F64" s="7"/>
      <c r="G64" s="1"/>
      <c r="H64" s="1"/>
      <c r="I64" s="1"/>
      <c r="J64" s="1"/>
      <c r="K64" s="1"/>
      <c r="L64" s="1"/>
      <c r="M64" s="1"/>
      <c r="N64" s="1"/>
      <c r="O64" s="1"/>
    </row>
    <row r="65" spans="1:15" ht="15.75" customHeight="1">
      <c r="A65" s="1"/>
      <c r="B65" s="1"/>
      <c r="C65" s="1"/>
      <c r="D65" s="1"/>
      <c r="E65" s="1"/>
      <c r="F65" s="7"/>
      <c r="G65" s="1"/>
      <c r="H65" s="1"/>
      <c r="I65" s="1"/>
      <c r="J65" s="1"/>
      <c r="K65" s="1"/>
      <c r="L65" s="1"/>
      <c r="M65" s="1"/>
      <c r="N65" s="1"/>
      <c r="O65" s="1"/>
    </row>
    <row r="66" spans="1:15" ht="15.75" customHeight="1">
      <c r="A66" s="1"/>
      <c r="B66" s="1"/>
      <c r="C66" s="1"/>
      <c r="D66" s="1"/>
      <c r="E66" s="1"/>
      <c r="F66" s="7"/>
      <c r="G66" s="1"/>
      <c r="H66" s="1"/>
      <c r="I66" s="1"/>
      <c r="J66" s="1"/>
      <c r="K66" s="1"/>
      <c r="L66" s="1"/>
      <c r="M66" s="1"/>
      <c r="N66" s="1"/>
      <c r="O66" s="1"/>
    </row>
    <row r="67" spans="1:15" ht="15.75" customHeight="1">
      <c r="A67" s="1"/>
      <c r="B67" s="1"/>
      <c r="C67" s="1"/>
      <c r="D67" s="1"/>
      <c r="E67" s="1"/>
      <c r="F67" s="7"/>
      <c r="G67" s="1"/>
      <c r="H67" s="1"/>
      <c r="I67" s="1"/>
      <c r="J67" s="1"/>
      <c r="K67" s="1"/>
      <c r="L67" s="1"/>
      <c r="M67" s="1"/>
      <c r="N67" s="1"/>
      <c r="O67" s="1"/>
    </row>
    <row r="68" spans="1:15" ht="15.75" customHeight="1">
      <c r="A68" s="1"/>
      <c r="B68" s="1"/>
      <c r="C68" s="1"/>
      <c r="D68" s="1"/>
      <c r="E68" s="1"/>
      <c r="F68" s="7"/>
      <c r="G68" s="1"/>
      <c r="H68" s="1"/>
      <c r="I68" s="1"/>
      <c r="J68" s="1"/>
      <c r="K68" s="1"/>
      <c r="L68" s="1"/>
      <c r="M68" s="1"/>
      <c r="N68" s="1"/>
      <c r="O68" s="1"/>
    </row>
    <row r="69" spans="1:15" ht="15.75" customHeight="1">
      <c r="A69" s="1"/>
      <c r="B69" s="1"/>
      <c r="C69" s="1"/>
      <c r="D69" s="1"/>
      <c r="E69" s="1"/>
      <c r="F69" s="7"/>
      <c r="G69" s="1"/>
      <c r="H69" s="1"/>
      <c r="I69" s="1"/>
      <c r="J69" s="1"/>
      <c r="K69" s="1"/>
      <c r="L69" s="1"/>
      <c r="M69" s="1"/>
      <c r="N69" s="1"/>
      <c r="O69" s="1"/>
    </row>
    <row r="70" spans="1:15" ht="15.75" customHeight="1">
      <c r="A70" s="1"/>
      <c r="B70" s="1"/>
      <c r="C70" s="1"/>
      <c r="D70" s="1"/>
      <c r="E70" s="1"/>
      <c r="F70" s="7"/>
      <c r="G70" s="1"/>
      <c r="H70" s="1"/>
      <c r="I70" s="1"/>
      <c r="J70" s="1"/>
      <c r="K70" s="1"/>
      <c r="L70" s="1"/>
      <c r="M70" s="1"/>
      <c r="N70" s="1"/>
      <c r="O70" s="1"/>
    </row>
    <row r="71" spans="1:15" ht="15.75" customHeight="1">
      <c r="A71" s="1"/>
      <c r="B71" s="1"/>
      <c r="C71" s="1"/>
      <c r="D71" s="1"/>
      <c r="E71" s="1"/>
      <c r="F71" s="7"/>
      <c r="G71" s="1"/>
      <c r="H71" s="1"/>
      <c r="I71" s="1"/>
      <c r="J71" s="1"/>
      <c r="K71" s="1"/>
      <c r="L71" s="1"/>
      <c r="M71" s="1"/>
      <c r="N71" s="1"/>
      <c r="O71" s="1"/>
    </row>
    <row r="72" spans="1:15" ht="15.75" customHeight="1">
      <c r="A72" s="1"/>
      <c r="B72" s="1"/>
      <c r="C72" s="1"/>
      <c r="D72" s="1"/>
      <c r="E72" s="1"/>
      <c r="F72" s="7"/>
      <c r="G72" s="1"/>
      <c r="H72" s="1"/>
      <c r="I72" s="1"/>
      <c r="J72" s="1"/>
      <c r="K72" s="1"/>
      <c r="L72" s="1"/>
      <c r="M72" s="1"/>
      <c r="N72" s="1"/>
      <c r="O72" s="1"/>
    </row>
    <row r="73" spans="1:15" ht="15.75" customHeight="1">
      <c r="A73" s="1"/>
      <c r="B73" s="1"/>
      <c r="C73" s="1"/>
      <c r="D73" s="1"/>
      <c r="E73" s="1"/>
      <c r="F73" s="7"/>
      <c r="G73" s="1"/>
      <c r="H73" s="1"/>
      <c r="I73" s="1"/>
      <c r="J73" s="1"/>
      <c r="K73" s="1"/>
      <c r="L73" s="1"/>
      <c r="M73" s="1"/>
      <c r="N73" s="1"/>
      <c r="O73" s="1"/>
    </row>
    <row r="74" spans="1:15" ht="15.75" customHeight="1">
      <c r="A74" s="1"/>
      <c r="B74" s="1"/>
      <c r="C74" s="1"/>
      <c r="D74" s="1"/>
      <c r="E74" s="1"/>
      <c r="F74" s="7"/>
      <c r="G74" s="1"/>
      <c r="H74" s="1"/>
      <c r="I74" s="1"/>
      <c r="J74" s="1"/>
      <c r="K74" s="1"/>
      <c r="L74" s="1"/>
      <c r="M74" s="1"/>
      <c r="N74" s="1"/>
      <c r="O74" s="1"/>
    </row>
    <row r="75" spans="1:15" ht="15.75" customHeight="1">
      <c r="A75" s="1"/>
      <c r="B75" s="1"/>
      <c r="C75" s="1"/>
      <c r="D75" s="1"/>
      <c r="E75" s="1"/>
      <c r="F75" s="7"/>
      <c r="G75" s="1"/>
      <c r="H75" s="1"/>
      <c r="I75" s="1"/>
      <c r="J75" s="1"/>
      <c r="K75" s="1"/>
      <c r="L75" s="1"/>
      <c r="M75" s="1"/>
      <c r="N75" s="1"/>
      <c r="O75" s="1"/>
    </row>
    <row r="76" spans="1:15" ht="15.75" customHeight="1">
      <c r="A76" s="1"/>
      <c r="B76" s="1"/>
      <c r="C76" s="1"/>
      <c r="D76" s="1"/>
      <c r="E76" s="1"/>
      <c r="F76" s="7"/>
      <c r="G76" s="1"/>
      <c r="H76" s="1"/>
      <c r="I76" s="1"/>
      <c r="J76" s="1"/>
      <c r="K76" s="1"/>
      <c r="L76" s="1"/>
      <c r="M76" s="1"/>
      <c r="N76" s="1"/>
      <c r="O76" s="1"/>
    </row>
    <row r="77" spans="1:15" ht="15.75" customHeight="1">
      <c r="A77" s="1"/>
      <c r="B77" s="1"/>
      <c r="C77" s="1"/>
      <c r="D77" s="1"/>
      <c r="E77" s="1"/>
      <c r="F77" s="7"/>
      <c r="G77" s="1"/>
      <c r="H77" s="1"/>
      <c r="I77" s="1"/>
      <c r="J77" s="1"/>
      <c r="K77" s="1"/>
      <c r="L77" s="1"/>
      <c r="M77" s="1"/>
      <c r="N77" s="1"/>
      <c r="O77" s="1"/>
    </row>
    <row r="78" spans="1:15" ht="15.75" customHeight="1">
      <c r="A78" s="1"/>
      <c r="B78" s="1"/>
      <c r="C78" s="1"/>
      <c r="D78" s="1"/>
      <c r="E78" s="1"/>
      <c r="F78" s="7"/>
      <c r="G78" s="1"/>
      <c r="H78" s="1"/>
      <c r="I78" s="1"/>
      <c r="J78" s="1"/>
      <c r="K78" s="1"/>
      <c r="L78" s="1"/>
      <c r="M78" s="1"/>
      <c r="N78" s="1"/>
      <c r="O78" s="1"/>
    </row>
    <row r="79" spans="1:15" ht="15.75" customHeight="1">
      <c r="A79" s="1"/>
      <c r="B79" s="1"/>
      <c r="C79" s="1"/>
      <c r="D79" s="1"/>
      <c r="E79" s="1"/>
      <c r="F79" s="7"/>
      <c r="G79" s="1"/>
      <c r="H79" s="1"/>
      <c r="I79" s="1"/>
      <c r="J79" s="1"/>
      <c r="K79" s="1"/>
      <c r="L79" s="1"/>
      <c r="M79" s="1"/>
      <c r="N79" s="1"/>
      <c r="O79" s="1"/>
    </row>
    <row r="80" spans="1:15" ht="15.75" customHeight="1">
      <c r="A80" s="1"/>
      <c r="B80" s="1"/>
      <c r="C80" s="1"/>
      <c r="D80" s="1"/>
      <c r="E80" s="1"/>
      <c r="F80" s="7"/>
      <c r="G80" s="1"/>
      <c r="H80" s="1"/>
      <c r="I80" s="1"/>
      <c r="J80" s="1"/>
      <c r="K80" s="1"/>
      <c r="L80" s="1"/>
      <c r="M80" s="1"/>
      <c r="N80" s="1"/>
      <c r="O80" s="1"/>
    </row>
    <row r="81" spans="1:15" ht="15.75" customHeight="1">
      <c r="A81" s="1"/>
      <c r="B81" s="1"/>
      <c r="C81" s="1"/>
      <c r="D81" s="1"/>
      <c r="E81" s="1"/>
      <c r="F81" s="7"/>
      <c r="G81" s="1"/>
      <c r="H81" s="1"/>
      <c r="I81" s="1"/>
      <c r="J81" s="1"/>
      <c r="K81" s="1"/>
      <c r="L81" s="1"/>
      <c r="M81" s="1"/>
      <c r="N81" s="1"/>
      <c r="O81" s="1"/>
    </row>
    <row r="82" spans="1:15" ht="15.75" customHeight="1">
      <c r="A82" s="1"/>
      <c r="B82" s="1"/>
      <c r="C82" s="1"/>
      <c r="D82" s="1"/>
      <c r="E82" s="1"/>
      <c r="F82" s="7"/>
      <c r="G82" s="1"/>
      <c r="H82" s="1"/>
      <c r="I82" s="1"/>
      <c r="J82" s="1"/>
      <c r="K82" s="1"/>
      <c r="L82" s="1"/>
      <c r="M82" s="1"/>
      <c r="N82" s="1"/>
      <c r="O82" s="1"/>
    </row>
    <row r="83" spans="1:15" ht="15.75" customHeight="1">
      <c r="A83" s="1"/>
      <c r="B83" s="1"/>
      <c r="C83" s="1"/>
      <c r="D83" s="1"/>
      <c r="E83" s="1"/>
      <c r="F83" s="7"/>
      <c r="G83" s="1"/>
      <c r="H83" s="1"/>
      <c r="I83" s="1"/>
      <c r="J83" s="1"/>
      <c r="K83" s="1"/>
      <c r="L83" s="1"/>
      <c r="M83" s="1"/>
      <c r="N83" s="1"/>
      <c r="O83" s="1"/>
    </row>
    <row r="84" spans="1:15" ht="15.75" customHeight="1">
      <c r="A84" s="1"/>
      <c r="B84" s="1"/>
      <c r="C84" s="1"/>
      <c r="D84" s="1"/>
      <c r="E84" s="1"/>
      <c r="F84" s="7"/>
      <c r="G84" s="1"/>
      <c r="H84" s="1"/>
      <c r="I84" s="1"/>
      <c r="J84" s="1"/>
      <c r="K84" s="1"/>
      <c r="L84" s="1"/>
      <c r="M84" s="1"/>
      <c r="N84" s="1"/>
      <c r="O84" s="1"/>
    </row>
    <row r="85" spans="1:15" ht="15.75" customHeight="1">
      <c r="A85" s="1"/>
      <c r="B85" s="1"/>
      <c r="C85" s="1"/>
      <c r="D85" s="1"/>
      <c r="E85" s="1"/>
      <c r="F85" s="7"/>
      <c r="G85" s="1"/>
      <c r="H85" s="1"/>
      <c r="I85" s="1"/>
      <c r="J85" s="1"/>
      <c r="K85" s="1"/>
      <c r="L85" s="1"/>
      <c r="M85" s="1"/>
      <c r="N85" s="1"/>
      <c r="O85" s="1"/>
    </row>
    <row r="86" spans="1:15" ht="15.75" customHeight="1">
      <c r="A86" s="1"/>
      <c r="B86" s="1"/>
      <c r="C86" s="1"/>
      <c r="D86" s="1"/>
      <c r="E86" s="1"/>
      <c r="F86" s="7"/>
      <c r="G86" s="1"/>
      <c r="H86" s="1"/>
      <c r="I86" s="1"/>
      <c r="J86" s="1"/>
      <c r="K86" s="1"/>
      <c r="L86" s="1"/>
      <c r="M86" s="1"/>
      <c r="N86" s="1"/>
      <c r="O86" s="1"/>
    </row>
    <row r="87" spans="1:15" ht="15.75" customHeight="1">
      <c r="A87" s="1"/>
      <c r="B87" s="1"/>
      <c r="C87" s="1"/>
      <c r="D87" s="1"/>
      <c r="E87" s="1"/>
      <c r="F87" s="7"/>
      <c r="G87" s="1"/>
      <c r="H87" s="1"/>
      <c r="I87" s="1"/>
      <c r="J87" s="1"/>
      <c r="K87" s="1"/>
      <c r="L87" s="1"/>
      <c r="M87" s="1"/>
      <c r="N87" s="1"/>
      <c r="O87" s="1"/>
    </row>
    <row r="88" spans="1:15" ht="15.75" customHeight="1">
      <c r="A88" s="1"/>
      <c r="B88" s="1"/>
      <c r="C88" s="1"/>
      <c r="D88" s="1"/>
      <c r="E88" s="1"/>
      <c r="F88" s="7"/>
      <c r="G88" s="1"/>
      <c r="H88" s="1"/>
      <c r="I88" s="1"/>
      <c r="J88" s="1"/>
      <c r="K88" s="1"/>
      <c r="L88" s="1"/>
      <c r="M88" s="1"/>
      <c r="N88" s="1"/>
      <c r="O88" s="1"/>
    </row>
    <row r="89" spans="1:15" ht="15.75" customHeight="1">
      <c r="A89" s="1"/>
      <c r="B89" s="1"/>
      <c r="C89" s="1"/>
      <c r="D89" s="1"/>
      <c r="E89" s="1"/>
      <c r="F89" s="7"/>
      <c r="G89" s="1"/>
      <c r="H89" s="1"/>
      <c r="I89" s="1"/>
      <c r="J89" s="1"/>
      <c r="K89" s="1"/>
      <c r="L89" s="1"/>
      <c r="M89" s="1"/>
      <c r="N89" s="1"/>
      <c r="O89" s="1"/>
    </row>
    <row r="90" spans="1:15" ht="15.75" customHeight="1">
      <c r="A90" s="1"/>
      <c r="B90" s="1"/>
      <c r="C90" s="1"/>
      <c r="D90" s="1"/>
      <c r="E90" s="1"/>
      <c r="F90" s="7"/>
      <c r="G90" s="1"/>
      <c r="H90" s="1"/>
      <c r="I90" s="1"/>
      <c r="J90" s="1"/>
      <c r="K90" s="1"/>
      <c r="L90" s="1"/>
      <c r="M90" s="1"/>
      <c r="N90" s="1"/>
      <c r="O90" s="1"/>
    </row>
    <row r="91" spans="1:15" ht="15.75" customHeight="1">
      <c r="A91" s="1"/>
      <c r="B91" s="1"/>
      <c r="C91" s="1"/>
      <c r="D91" s="1"/>
      <c r="E91" s="1"/>
      <c r="F91" s="7"/>
      <c r="G91" s="1"/>
      <c r="H91" s="1"/>
      <c r="I91" s="1"/>
      <c r="J91" s="1"/>
      <c r="K91" s="1"/>
      <c r="L91" s="1"/>
      <c r="M91" s="1"/>
      <c r="N91" s="1"/>
      <c r="O91" s="1"/>
    </row>
    <row r="92" spans="1:15" ht="15.75" customHeight="1">
      <c r="A92" s="1"/>
      <c r="B92" s="1"/>
      <c r="C92" s="1"/>
      <c r="D92" s="1"/>
      <c r="E92" s="1"/>
      <c r="F92" s="7"/>
      <c r="G92" s="1"/>
      <c r="H92" s="1"/>
      <c r="I92" s="1"/>
      <c r="J92" s="1"/>
      <c r="K92" s="1"/>
      <c r="L92" s="1"/>
      <c r="M92" s="1"/>
      <c r="N92" s="1"/>
      <c r="O92" s="1"/>
    </row>
    <row r="93" spans="1:15" ht="15.75" customHeight="1">
      <c r="A93" s="1"/>
      <c r="B93" s="1"/>
      <c r="C93" s="1"/>
      <c r="D93" s="1"/>
      <c r="E93" s="1"/>
      <c r="F93" s="7"/>
      <c r="G93" s="1"/>
      <c r="H93" s="1"/>
      <c r="I93" s="1"/>
      <c r="J93" s="1"/>
      <c r="K93" s="1"/>
      <c r="L93" s="1"/>
      <c r="M93" s="1"/>
      <c r="N93" s="1"/>
      <c r="O93" s="1"/>
    </row>
    <row r="94" spans="1:15" ht="15.75" customHeight="1">
      <c r="A94" s="1"/>
      <c r="B94" s="1"/>
      <c r="C94" s="1"/>
      <c r="D94" s="1"/>
      <c r="E94" s="1"/>
      <c r="F94" s="7"/>
      <c r="G94" s="1"/>
      <c r="H94" s="1"/>
      <c r="I94" s="1"/>
      <c r="J94" s="1"/>
      <c r="K94" s="1"/>
      <c r="L94" s="1"/>
      <c r="M94" s="1"/>
      <c r="N94" s="1"/>
      <c r="O94" s="1"/>
    </row>
    <row r="95" spans="1:15" ht="15.75" customHeight="1">
      <c r="A95" s="1"/>
      <c r="B95" s="1"/>
      <c r="C95" s="1"/>
      <c r="D95" s="1"/>
      <c r="E95" s="1"/>
      <c r="F95" s="7"/>
      <c r="G95" s="1"/>
      <c r="H95" s="1"/>
      <c r="I95" s="1"/>
      <c r="J95" s="1"/>
      <c r="K95" s="1"/>
      <c r="L95" s="1"/>
      <c r="M95" s="1"/>
      <c r="N95" s="1"/>
      <c r="O95" s="1"/>
    </row>
    <row r="96" spans="1:15" ht="15.75" customHeight="1">
      <c r="A96" s="1"/>
      <c r="B96" s="1"/>
      <c r="C96" s="1"/>
      <c r="D96" s="1"/>
      <c r="E96" s="1"/>
      <c r="F96" s="7"/>
      <c r="G96" s="1"/>
      <c r="H96" s="1"/>
      <c r="I96" s="1"/>
      <c r="J96" s="1"/>
      <c r="K96" s="1"/>
      <c r="L96" s="1"/>
      <c r="M96" s="1"/>
      <c r="N96" s="1"/>
      <c r="O96" s="1"/>
    </row>
  </sheetData>
  <sheetProtection algorithmName="SHA-512" hashValue="fpMMHXCt6C/OiVPnq2uHAYk+CJVSLM11wZrFZaMpBksgP87K4vBzLR9LAbFOy5hwmaht4OwE4A/XaPLjipFwSw==" saltValue="PYjy1r3pLc6YfBvWugVpwQ==" spinCount="100000" sheet="1" objects="1" scenarios="1"/>
  <mergeCells count="114">
    <mergeCell ref="E42:L42"/>
    <mergeCell ref="A39:J39"/>
    <mergeCell ref="K40:L40"/>
    <mergeCell ref="F26:H26"/>
    <mergeCell ref="B26:E26"/>
    <mergeCell ref="B27:E27"/>
    <mergeCell ref="K36:L36"/>
    <mergeCell ref="K37:L37"/>
    <mergeCell ref="A43:J43"/>
    <mergeCell ref="K43:L43"/>
    <mergeCell ref="M43:O43"/>
    <mergeCell ref="A36:J36"/>
    <mergeCell ref="B33:E33"/>
    <mergeCell ref="F33:H33"/>
    <mergeCell ref="A34:L34"/>
    <mergeCell ref="M34:O34"/>
    <mergeCell ref="A35:J35"/>
    <mergeCell ref="I33:J33"/>
    <mergeCell ref="M39:O39"/>
    <mergeCell ref="A40:J40"/>
    <mergeCell ref="M40:O40"/>
    <mergeCell ref="A37:J37"/>
    <mergeCell ref="A38:J38"/>
    <mergeCell ref="K38:L38"/>
    <mergeCell ref="K39:L39"/>
    <mergeCell ref="A41:L41"/>
    <mergeCell ref="A42:D42"/>
    <mergeCell ref="F28:H28"/>
    <mergeCell ref="F29:H29"/>
    <mergeCell ref="F30:H30"/>
    <mergeCell ref="F31:H31"/>
    <mergeCell ref="F32:H32"/>
    <mergeCell ref="M27:M32"/>
    <mergeCell ref="N27:N32"/>
    <mergeCell ref="O27:O32"/>
    <mergeCell ref="B29:E29"/>
    <mergeCell ref="L3:M3"/>
    <mergeCell ref="N3:O3"/>
    <mergeCell ref="B4:K4"/>
    <mergeCell ref="L4:M4"/>
    <mergeCell ref="B5:K5"/>
    <mergeCell ref="B6:K6"/>
    <mergeCell ref="L6:M6"/>
    <mergeCell ref="N6:O6"/>
    <mergeCell ref="A1:O1"/>
    <mergeCell ref="A2:O2"/>
    <mergeCell ref="B3:K3"/>
    <mergeCell ref="N4:O4"/>
    <mergeCell ref="L5:M5"/>
    <mergeCell ref="N5:O5"/>
    <mergeCell ref="L7:M7"/>
    <mergeCell ref="N7:O7"/>
    <mergeCell ref="M8:O8"/>
    <mergeCell ref="M10:O10"/>
    <mergeCell ref="B24:E24"/>
    <mergeCell ref="F24:H24"/>
    <mergeCell ref="F22:H22"/>
    <mergeCell ref="F23:H23"/>
    <mergeCell ref="I17:J17"/>
    <mergeCell ref="F18:H18"/>
    <mergeCell ref="F19:H19"/>
    <mergeCell ref="F20:H20"/>
    <mergeCell ref="F21:H21"/>
    <mergeCell ref="F16:H16"/>
    <mergeCell ref="F17:H17"/>
    <mergeCell ref="B18:E18"/>
    <mergeCell ref="B19:E19"/>
    <mergeCell ref="B20:E20"/>
    <mergeCell ref="B21:E21"/>
    <mergeCell ref="B17:E17"/>
    <mergeCell ref="L12:L13"/>
    <mergeCell ref="B22:E22"/>
    <mergeCell ref="B23:E23"/>
    <mergeCell ref="A12:A13"/>
    <mergeCell ref="B12:E13"/>
    <mergeCell ref="A7:A8"/>
    <mergeCell ref="B11:K11"/>
    <mergeCell ref="B10:K10"/>
    <mergeCell ref="B16:E16"/>
    <mergeCell ref="B14:E14"/>
    <mergeCell ref="F14:H14"/>
    <mergeCell ref="B15:E15"/>
    <mergeCell ref="F15:H15"/>
    <mergeCell ref="B7:K8"/>
    <mergeCell ref="I16:J16"/>
    <mergeCell ref="K12:K13"/>
    <mergeCell ref="I14:J14"/>
    <mergeCell ref="I15:J15"/>
    <mergeCell ref="F12:H12"/>
    <mergeCell ref="F13:H13"/>
    <mergeCell ref="M9:O9"/>
    <mergeCell ref="B9:K9"/>
    <mergeCell ref="I18:J18"/>
    <mergeCell ref="I19:J19"/>
    <mergeCell ref="K27:K32"/>
    <mergeCell ref="L27:L32"/>
    <mergeCell ref="I26:J26"/>
    <mergeCell ref="I24:J24"/>
    <mergeCell ref="I25:J25"/>
    <mergeCell ref="I20:J20"/>
    <mergeCell ref="I21:J21"/>
    <mergeCell ref="I22:J22"/>
    <mergeCell ref="I23:J23"/>
    <mergeCell ref="M11:O11"/>
    <mergeCell ref="M12:M13"/>
    <mergeCell ref="N12:O12"/>
    <mergeCell ref="B32:E32"/>
    <mergeCell ref="I27:J32"/>
    <mergeCell ref="B25:E25"/>
    <mergeCell ref="F25:H25"/>
    <mergeCell ref="B30:E30"/>
    <mergeCell ref="B31:E31"/>
    <mergeCell ref="B28:E28"/>
    <mergeCell ref="F27:H27"/>
  </mergeCells>
  <pageMargins left="0.69" right="0.26" top="0.22" bottom="0.2" header="0" footer="0"/>
  <pageSetup paperSize="9"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 tint="0.39997558519241921"/>
  </sheetPr>
  <dimension ref="A1:L105"/>
  <sheetViews>
    <sheetView topLeftCell="A21" zoomScaleNormal="100" workbookViewId="0">
      <selection activeCell="K34" sqref="K34:L34"/>
    </sheetView>
  </sheetViews>
  <sheetFormatPr defaultColWidth="14.36328125" defaultRowHeight="15" customHeight="1"/>
  <cols>
    <col min="1" max="1" width="9.6328125" customWidth="1"/>
    <col min="2" max="3" width="7.90625" customWidth="1"/>
    <col min="4" max="4" width="10.36328125" customWidth="1"/>
    <col min="5" max="5" width="15.7265625" customWidth="1"/>
    <col min="6" max="6" width="7.90625" customWidth="1"/>
    <col min="7" max="7" width="8.6328125" customWidth="1"/>
    <col min="8" max="8" width="2.54296875" customWidth="1"/>
    <col min="9" max="9" width="10.1796875" customWidth="1"/>
    <col min="10" max="10" width="9.36328125" customWidth="1"/>
    <col min="11" max="11" width="8.36328125" customWidth="1"/>
    <col min="12" max="12" width="12.90625" customWidth="1"/>
  </cols>
  <sheetData>
    <row r="1" spans="1:12" ht="19.5" customHeight="1" thickBot="1">
      <c r="A1" s="339" t="s">
        <v>104</v>
      </c>
      <c r="B1" s="340"/>
      <c r="C1" s="340"/>
      <c r="D1" s="340"/>
      <c r="E1" s="340"/>
      <c r="F1" s="65"/>
      <c r="G1" s="65"/>
      <c r="H1" s="66"/>
      <c r="I1" s="325">
        <f>'OLD Regime Page 1 '!M43</f>
        <v>-50000</v>
      </c>
      <c r="J1" s="323"/>
      <c r="K1" s="323"/>
      <c r="L1" s="324"/>
    </row>
    <row r="2" spans="1:12" ht="15.75" customHeight="1" thickBot="1">
      <c r="A2" s="341" t="s">
        <v>105</v>
      </c>
      <c r="B2" s="342"/>
      <c r="C2" s="342"/>
      <c r="D2" s="342"/>
      <c r="E2" s="342"/>
      <c r="F2" s="2"/>
      <c r="G2" s="2"/>
      <c r="H2" s="2"/>
      <c r="I2" s="2"/>
      <c r="J2" s="2"/>
      <c r="K2" s="22"/>
      <c r="L2" s="23"/>
    </row>
    <row r="3" spans="1:12" ht="18.75" customHeight="1">
      <c r="A3" s="343" t="s">
        <v>141</v>
      </c>
      <c r="B3" s="344"/>
      <c r="C3" s="344"/>
      <c r="D3" s="344"/>
      <c r="E3" s="345">
        <f>'OLD Regime Page 1 '!F33</f>
        <v>0</v>
      </c>
      <c r="F3" s="346"/>
      <c r="G3" s="326" t="s">
        <v>98</v>
      </c>
      <c r="H3" s="327"/>
      <c r="I3" s="327"/>
      <c r="J3" s="327"/>
      <c r="K3" s="327"/>
      <c r="L3" s="328"/>
    </row>
    <row r="4" spans="1:12" ht="18" customHeight="1">
      <c r="A4" s="353" t="s">
        <v>130</v>
      </c>
      <c r="B4" s="354"/>
      <c r="C4" s="354"/>
      <c r="D4" s="354"/>
      <c r="E4" s="347">
        <f>'OLD Regime Page 1 '!L33</f>
        <v>0</v>
      </c>
      <c r="F4" s="348"/>
      <c r="G4" s="329"/>
      <c r="H4" s="330"/>
      <c r="I4" s="330"/>
      <c r="J4" s="330"/>
      <c r="K4" s="330"/>
      <c r="L4" s="331"/>
    </row>
    <row r="5" spans="1:12" ht="17.25" customHeight="1">
      <c r="A5" s="353" t="s">
        <v>131</v>
      </c>
      <c r="B5" s="354"/>
      <c r="C5" s="354"/>
      <c r="D5" s="354"/>
      <c r="E5" s="347">
        <f>'OLD Regime Page 1 '!M33</f>
        <v>0</v>
      </c>
      <c r="F5" s="348"/>
      <c r="G5" s="329"/>
      <c r="H5" s="330"/>
      <c r="I5" s="330"/>
      <c r="J5" s="330"/>
      <c r="K5" s="330"/>
      <c r="L5" s="331"/>
    </row>
    <row r="6" spans="1:12" ht="17.25" customHeight="1">
      <c r="A6" s="353" t="s">
        <v>132</v>
      </c>
      <c r="B6" s="354"/>
      <c r="C6" s="354"/>
      <c r="D6" s="354"/>
      <c r="E6" s="338">
        <v>0</v>
      </c>
      <c r="F6" s="237"/>
      <c r="G6" s="329"/>
      <c r="H6" s="330"/>
      <c r="I6" s="330"/>
      <c r="J6" s="330"/>
      <c r="K6" s="330"/>
      <c r="L6" s="331"/>
    </row>
    <row r="7" spans="1:12" ht="17.25" customHeight="1">
      <c r="A7" s="353" t="s">
        <v>133</v>
      </c>
      <c r="B7" s="354"/>
      <c r="C7" s="354"/>
      <c r="D7" s="354"/>
      <c r="E7" s="338">
        <v>0</v>
      </c>
      <c r="F7" s="237"/>
      <c r="G7" s="329"/>
      <c r="H7" s="330"/>
      <c r="I7" s="330"/>
      <c r="J7" s="330"/>
      <c r="K7" s="330"/>
      <c r="L7" s="331"/>
    </row>
    <row r="8" spans="1:12" ht="16.5" customHeight="1">
      <c r="A8" s="353" t="s">
        <v>134</v>
      </c>
      <c r="B8" s="354"/>
      <c r="C8" s="354"/>
      <c r="D8" s="354"/>
      <c r="E8" s="338">
        <v>0</v>
      </c>
      <c r="F8" s="237"/>
      <c r="G8" s="329"/>
      <c r="H8" s="330"/>
      <c r="I8" s="330"/>
      <c r="J8" s="330"/>
      <c r="K8" s="330"/>
      <c r="L8" s="331"/>
    </row>
    <row r="9" spans="1:12" ht="17.25" customHeight="1">
      <c r="A9" s="353" t="s">
        <v>135</v>
      </c>
      <c r="B9" s="354"/>
      <c r="C9" s="354"/>
      <c r="D9" s="354"/>
      <c r="E9" s="338">
        <v>0</v>
      </c>
      <c r="F9" s="237"/>
      <c r="G9" s="329"/>
      <c r="H9" s="330"/>
      <c r="I9" s="330"/>
      <c r="J9" s="330"/>
      <c r="K9" s="330"/>
      <c r="L9" s="331"/>
    </row>
    <row r="10" spans="1:12" ht="18.75" customHeight="1">
      <c r="A10" s="353" t="s">
        <v>136</v>
      </c>
      <c r="B10" s="354"/>
      <c r="C10" s="354"/>
      <c r="D10" s="354"/>
      <c r="E10" s="338">
        <v>0</v>
      </c>
      <c r="F10" s="237"/>
      <c r="G10" s="329"/>
      <c r="H10" s="330"/>
      <c r="I10" s="330"/>
      <c r="J10" s="330"/>
      <c r="K10" s="330"/>
      <c r="L10" s="331"/>
    </row>
    <row r="11" spans="1:12" ht="18" customHeight="1">
      <c r="A11" s="353" t="s">
        <v>137</v>
      </c>
      <c r="B11" s="354"/>
      <c r="C11" s="354"/>
      <c r="D11" s="354"/>
      <c r="E11" s="338">
        <v>0</v>
      </c>
      <c r="F11" s="237"/>
      <c r="G11" s="329"/>
      <c r="H11" s="330"/>
      <c r="I11" s="330"/>
      <c r="J11" s="330"/>
      <c r="K11" s="330"/>
      <c r="L11" s="331"/>
    </row>
    <row r="12" spans="1:12" ht="18" customHeight="1">
      <c r="A12" s="353" t="s">
        <v>138</v>
      </c>
      <c r="B12" s="354"/>
      <c r="C12" s="354"/>
      <c r="D12" s="354"/>
      <c r="E12" s="465">
        <v>0</v>
      </c>
      <c r="F12" s="217"/>
      <c r="G12" s="329"/>
      <c r="H12" s="330"/>
      <c r="I12" s="330"/>
      <c r="J12" s="330"/>
      <c r="K12" s="330"/>
      <c r="L12" s="331"/>
    </row>
    <row r="13" spans="1:12" ht="15.75" customHeight="1" thickBot="1">
      <c r="A13" s="353" t="s">
        <v>139</v>
      </c>
      <c r="B13" s="354"/>
      <c r="C13" s="354"/>
      <c r="D13" s="354"/>
      <c r="E13" s="338">
        <v>0</v>
      </c>
      <c r="F13" s="237"/>
      <c r="G13" s="332"/>
      <c r="H13" s="332"/>
      <c r="I13" s="332"/>
      <c r="J13" s="332"/>
      <c r="K13" s="332"/>
      <c r="L13" s="333"/>
    </row>
    <row r="14" spans="1:12" ht="15.75" customHeight="1" thickBot="1">
      <c r="A14" s="353" t="s">
        <v>140</v>
      </c>
      <c r="B14" s="354"/>
      <c r="C14" s="354"/>
      <c r="D14" s="354"/>
      <c r="E14" s="357">
        <v>0</v>
      </c>
      <c r="F14" s="358"/>
      <c r="G14" s="24"/>
      <c r="H14" s="24"/>
      <c r="I14" s="321"/>
      <c r="J14" s="307"/>
      <c r="K14" s="307"/>
      <c r="L14" s="317"/>
    </row>
    <row r="15" spans="1:12" ht="17.25" customHeight="1" thickBot="1">
      <c r="A15" s="462" t="s">
        <v>51</v>
      </c>
      <c r="B15" s="383"/>
      <c r="C15" s="383"/>
      <c r="D15" s="383"/>
      <c r="E15" s="463">
        <f>SUM(E3:F14)</f>
        <v>0</v>
      </c>
      <c r="F15" s="464"/>
      <c r="G15" s="24"/>
      <c r="H15" s="24"/>
      <c r="I15" s="322">
        <f>IF(E15&gt;=150000,(150000),IF(E15&lt;150000,E15))</f>
        <v>0</v>
      </c>
      <c r="J15" s="323"/>
      <c r="K15" s="323"/>
      <c r="L15" s="324"/>
    </row>
    <row r="16" spans="1:12" ht="16.5" customHeight="1" thickBot="1">
      <c r="A16" s="351" t="s">
        <v>106</v>
      </c>
      <c r="B16" s="352"/>
      <c r="C16" s="352"/>
      <c r="D16" s="352"/>
      <c r="E16" s="352"/>
      <c r="F16" s="65"/>
      <c r="G16" s="65"/>
      <c r="H16" s="65"/>
      <c r="I16" s="312">
        <f>I1-I15</f>
        <v>-50000</v>
      </c>
      <c r="J16" s="309"/>
      <c r="K16" s="309"/>
      <c r="L16" s="310"/>
    </row>
    <row r="17" spans="1:12" ht="17.25" customHeight="1" thickBot="1">
      <c r="A17" s="351" t="s">
        <v>107</v>
      </c>
      <c r="B17" s="352"/>
      <c r="C17" s="352"/>
      <c r="D17" s="352"/>
      <c r="E17" s="352"/>
      <c r="F17" s="65"/>
      <c r="G17" s="65"/>
      <c r="H17" s="65"/>
      <c r="I17" s="313"/>
      <c r="J17" s="314"/>
      <c r="K17" s="314"/>
      <c r="L17" s="315"/>
    </row>
    <row r="18" spans="1:12" ht="21.75" customHeight="1" thickBot="1">
      <c r="A18" s="71" t="s">
        <v>52</v>
      </c>
      <c r="B18" s="72"/>
      <c r="C18" s="72"/>
      <c r="D18" s="72"/>
      <c r="E18" s="77" t="s">
        <v>53</v>
      </c>
      <c r="F18" s="334">
        <v>0</v>
      </c>
      <c r="G18" s="335"/>
      <c r="H18" s="25"/>
      <c r="I18" s="316"/>
      <c r="J18" s="307"/>
      <c r="K18" s="307"/>
      <c r="L18" s="317"/>
    </row>
    <row r="19" spans="1:12" ht="25.5" customHeight="1" thickBot="1">
      <c r="A19" s="355" t="s">
        <v>99</v>
      </c>
      <c r="B19" s="356"/>
      <c r="C19" s="356"/>
      <c r="D19" s="356"/>
      <c r="E19" s="78" t="s">
        <v>53</v>
      </c>
      <c r="F19" s="336">
        <v>0</v>
      </c>
      <c r="G19" s="337"/>
      <c r="H19" s="25"/>
      <c r="I19" s="316"/>
      <c r="J19" s="307"/>
      <c r="K19" s="307"/>
      <c r="L19" s="317"/>
    </row>
    <row r="20" spans="1:12" ht="18" customHeight="1">
      <c r="A20" s="73" t="s">
        <v>54</v>
      </c>
      <c r="B20" s="74"/>
      <c r="C20" s="74"/>
      <c r="D20" s="74"/>
      <c r="E20" s="79" t="s">
        <v>55</v>
      </c>
      <c r="F20" s="375">
        <v>0</v>
      </c>
      <c r="G20" s="376"/>
      <c r="H20" s="25"/>
      <c r="I20" s="316"/>
      <c r="J20" s="307"/>
      <c r="K20" s="307"/>
      <c r="L20" s="317"/>
    </row>
    <row r="21" spans="1:12" ht="15.75" customHeight="1" thickBot="1">
      <c r="A21" s="75" t="s">
        <v>56</v>
      </c>
      <c r="B21" s="76"/>
      <c r="C21" s="76"/>
      <c r="D21" s="76"/>
      <c r="E21" s="80"/>
      <c r="F21" s="377"/>
      <c r="G21" s="378"/>
      <c r="H21" s="25"/>
      <c r="I21" s="316"/>
      <c r="J21" s="307"/>
      <c r="K21" s="307"/>
      <c r="L21" s="317"/>
    </row>
    <row r="22" spans="1:12" ht="17.25" customHeight="1" thickBot="1">
      <c r="A22" s="461" t="s">
        <v>142</v>
      </c>
      <c r="B22" s="437"/>
      <c r="C22" s="437"/>
      <c r="D22" s="437"/>
      <c r="E22" s="387"/>
      <c r="F22" s="334">
        <v>0</v>
      </c>
      <c r="G22" s="335"/>
      <c r="H22" s="25"/>
      <c r="I22" s="318"/>
      <c r="J22" s="319"/>
      <c r="K22" s="319"/>
      <c r="L22" s="320"/>
    </row>
    <row r="23" spans="1:12" ht="17.25" customHeight="1" thickBot="1">
      <c r="A23" s="429" t="s">
        <v>101</v>
      </c>
      <c r="B23" s="437"/>
      <c r="C23" s="437"/>
      <c r="D23" s="437"/>
      <c r="E23" s="387"/>
      <c r="F23" s="334">
        <v>0</v>
      </c>
      <c r="G23" s="335"/>
      <c r="H23" s="25"/>
      <c r="I23" s="67"/>
      <c r="J23" s="26"/>
      <c r="K23" s="26"/>
      <c r="L23" s="27"/>
    </row>
    <row r="24" spans="1:12" ht="15.75" customHeight="1" thickBot="1">
      <c r="A24" s="355" t="s">
        <v>100</v>
      </c>
      <c r="B24" s="356"/>
      <c r="C24" s="356"/>
      <c r="D24" s="356"/>
      <c r="E24" s="438"/>
      <c r="F24" s="385">
        <v>0</v>
      </c>
      <c r="G24" s="337"/>
      <c r="H24" s="25"/>
      <c r="I24" s="67"/>
      <c r="J24" s="26"/>
      <c r="K24" s="26"/>
      <c r="L24" s="27"/>
    </row>
    <row r="25" spans="1:12" ht="21.75" customHeight="1" thickBot="1">
      <c r="A25" s="429" t="s">
        <v>102</v>
      </c>
      <c r="B25" s="437"/>
      <c r="C25" s="437"/>
      <c r="D25" s="437"/>
      <c r="E25" s="387"/>
      <c r="F25" s="388">
        <f>'OLD Regime Page 1 '!I33</f>
        <v>0</v>
      </c>
      <c r="G25" s="275"/>
      <c r="H25" s="25"/>
      <c r="I25" s="68"/>
      <c r="J25" s="69"/>
      <c r="K25" s="69"/>
      <c r="L25" s="70"/>
    </row>
    <row r="26" spans="1:12" ht="52" customHeight="1" thickBot="1">
      <c r="A26" s="435" t="s">
        <v>128</v>
      </c>
      <c r="B26" s="436"/>
      <c r="C26" s="436"/>
      <c r="D26" s="439" t="s">
        <v>127</v>
      </c>
      <c r="E26" s="387"/>
      <c r="F26" s="386" t="s">
        <v>57</v>
      </c>
      <c r="G26" s="387"/>
      <c r="H26" s="28"/>
      <c r="I26" s="364" t="s">
        <v>58</v>
      </c>
      <c r="J26" s="365"/>
      <c r="K26" s="365"/>
      <c r="L26" s="366"/>
    </row>
    <row r="27" spans="1:12" ht="19.5" customHeight="1" thickBot="1">
      <c r="A27" s="455" t="s">
        <v>59</v>
      </c>
      <c r="B27" s="456"/>
      <c r="C27" s="456"/>
      <c r="D27" s="457">
        <v>0</v>
      </c>
      <c r="E27" s="458"/>
      <c r="F27" s="381">
        <f>D27/2</f>
        <v>0</v>
      </c>
      <c r="G27" s="382"/>
      <c r="H27" s="28"/>
      <c r="I27" s="369"/>
      <c r="J27" s="370"/>
      <c r="K27" s="370"/>
      <c r="L27" s="371"/>
    </row>
    <row r="28" spans="1:12" ht="15.75" customHeight="1" thickBot="1">
      <c r="A28" s="349"/>
      <c r="B28" s="350"/>
      <c r="C28" s="350"/>
      <c r="D28" s="459"/>
      <c r="E28" s="460"/>
      <c r="F28" s="383"/>
      <c r="G28" s="384"/>
      <c r="H28" s="28"/>
      <c r="I28" s="372"/>
      <c r="J28" s="373"/>
      <c r="K28" s="373"/>
      <c r="L28" s="374"/>
    </row>
    <row r="29" spans="1:12" ht="19.5" customHeight="1" thickBot="1">
      <c r="A29" s="453" t="s">
        <v>60</v>
      </c>
      <c r="B29" s="454"/>
      <c r="C29" s="454"/>
      <c r="D29" s="454"/>
      <c r="E29" s="454"/>
      <c r="F29" s="379">
        <f>SUM(F18:G28)</f>
        <v>0</v>
      </c>
      <c r="G29" s="380"/>
      <c r="H29" s="25"/>
      <c r="I29" s="24"/>
      <c r="J29" s="24"/>
      <c r="K29" s="24"/>
      <c r="L29" s="23"/>
    </row>
    <row r="30" spans="1:12" ht="20.25" customHeight="1" thickBot="1">
      <c r="A30" s="429" t="s">
        <v>108</v>
      </c>
      <c r="B30" s="430"/>
      <c r="C30" s="430"/>
      <c r="D30" s="430"/>
      <c r="E30" s="430"/>
      <c r="F30" s="65"/>
      <c r="G30" s="65"/>
      <c r="H30" s="66"/>
      <c r="I30" s="308">
        <f>I16-F29</f>
        <v>-50000</v>
      </c>
      <c r="J30" s="309"/>
      <c r="K30" s="309"/>
      <c r="L30" s="310"/>
    </row>
    <row r="31" spans="1:12" ht="22.5" customHeight="1" thickBot="1">
      <c r="A31" s="351" t="s">
        <v>61</v>
      </c>
      <c r="B31" s="430"/>
      <c r="C31" s="430"/>
      <c r="D31" s="430"/>
      <c r="E31" s="430"/>
      <c r="F31" s="65"/>
      <c r="G31" s="65"/>
      <c r="H31" s="66"/>
      <c r="I31" s="311">
        <f>ROUND(I30,-1)</f>
        <v>-50000</v>
      </c>
      <c r="J31" s="309"/>
      <c r="K31" s="309"/>
      <c r="L31" s="310"/>
    </row>
    <row r="32" spans="1:12" ht="17.25" customHeight="1" thickBot="1">
      <c r="A32" s="448" t="s">
        <v>109</v>
      </c>
      <c r="B32" s="449"/>
      <c r="C32" s="449"/>
      <c r="D32" s="449"/>
      <c r="E32" s="450"/>
      <c r="F32" s="84"/>
      <c r="G32" s="83"/>
      <c r="H32" s="24"/>
      <c r="I32" s="321"/>
      <c r="J32" s="401"/>
      <c r="K32" s="401"/>
      <c r="L32" s="317"/>
    </row>
    <row r="33" spans="1:12" ht="14.25" customHeight="1" thickBot="1">
      <c r="A33" s="451" t="s">
        <v>62</v>
      </c>
      <c r="B33" s="452"/>
      <c r="C33" s="452"/>
      <c r="D33" s="452"/>
      <c r="E33" s="88"/>
      <c r="F33" s="85"/>
      <c r="G33" s="86"/>
      <c r="H33" s="24"/>
      <c r="I33" s="415" t="s">
        <v>63</v>
      </c>
      <c r="J33" s="416"/>
      <c r="K33" s="402" t="s">
        <v>64</v>
      </c>
      <c r="L33" s="403"/>
    </row>
    <row r="34" spans="1:12" ht="15.75" customHeight="1" thickBot="1">
      <c r="A34" s="429" t="s">
        <v>65</v>
      </c>
      <c r="B34" s="437"/>
      <c r="C34" s="437"/>
      <c r="D34" s="437"/>
      <c r="E34" s="89"/>
      <c r="F34" s="404" t="s">
        <v>66</v>
      </c>
      <c r="G34" s="405"/>
      <c r="H34" s="25"/>
      <c r="I34" s="394" t="s">
        <v>27</v>
      </c>
      <c r="J34" s="395"/>
      <c r="K34" s="367">
        <v>0</v>
      </c>
      <c r="L34" s="368"/>
    </row>
    <row r="35" spans="1:12" ht="21.75" customHeight="1" thickBot="1">
      <c r="A35" s="445" t="s">
        <v>67</v>
      </c>
      <c r="B35" s="446"/>
      <c r="C35" s="446"/>
      <c r="D35" s="446"/>
      <c r="E35" s="447"/>
      <c r="F35" s="414">
        <f>IF(I31&lt;=250000,0,IF(I31&gt;=500000,(500000-250000)*5/100,IF(I31&lt;500000,(I31-250000)*5/100, )))</f>
        <v>0</v>
      </c>
      <c r="G35" s="413"/>
      <c r="H35" s="25"/>
      <c r="I35" s="394" t="s">
        <v>28</v>
      </c>
      <c r="J35" s="395"/>
      <c r="K35" s="367">
        <v>0</v>
      </c>
      <c r="L35" s="368"/>
    </row>
    <row r="36" spans="1:12" ht="19.5" customHeight="1" thickBot="1">
      <c r="A36" s="445" t="s">
        <v>68</v>
      </c>
      <c r="B36" s="446"/>
      <c r="C36" s="446"/>
      <c r="D36" s="446"/>
      <c r="E36" s="447"/>
      <c r="F36" s="412">
        <f>IF(I31&gt;=1000000,100000,IF(I31&gt;500000,(I31-500000)*20/100,IF(I31&lt;=500000,0)))</f>
        <v>0</v>
      </c>
      <c r="G36" s="413"/>
      <c r="H36" s="25"/>
      <c r="I36" s="394" t="s">
        <v>29</v>
      </c>
      <c r="J36" s="395"/>
      <c r="K36" s="367">
        <v>0</v>
      </c>
      <c r="L36" s="368"/>
    </row>
    <row r="37" spans="1:12" ht="15.75" customHeight="1" thickBot="1">
      <c r="A37" s="442" t="s">
        <v>69</v>
      </c>
      <c r="B37" s="443"/>
      <c r="C37" s="443"/>
      <c r="D37" s="443"/>
      <c r="E37" s="444"/>
      <c r="F37" s="408">
        <f>IF(I31&gt;1000000,(I31-1000000)*30/100,IF(I31&lt;1000000,0))</f>
        <v>0</v>
      </c>
      <c r="G37" s="409"/>
      <c r="H37" s="25"/>
      <c r="I37" s="394" t="s">
        <v>30</v>
      </c>
      <c r="J37" s="395"/>
      <c r="K37" s="367">
        <v>0</v>
      </c>
      <c r="L37" s="368"/>
    </row>
    <row r="38" spans="1:12" ht="30.75" customHeight="1" thickBot="1">
      <c r="A38" s="445" t="s">
        <v>110</v>
      </c>
      <c r="B38" s="446"/>
      <c r="C38" s="446"/>
      <c r="D38" s="446"/>
      <c r="E38" s="447"/>
      <c r="F38" s="410">
        <f>SUM(F35:F37)</f>
        <v>0</v>
      </c>
      <c r="G38" s="411"/>
      <c r="H38" s="25"/>
      <c r="I38" s="394" t="s">
        <v>31</v>
      </c>
      <c r="J38" s="395"/>
      <c r="K38" s="367">
        <v>0</v>
      </c>
      <c r="L38" s="368"/>
    </row>
    <row r="39" spans="1:12" ht="14.25" customHeight="1">
      <c r="A39" s="440" t="s">
        <v>70</v>
      </c>
      <c r="B39" s="356"/>
      <c r="C39" s="356"/>
      <c r="D39" s="356"/>
      <c r="E39" s="438"/>
      <c r="F39" s="396">
        <f>IF(I31&lt;=250000,0,IF(I31&gt;500000,0,IF(I31&lt;500000,(I31-250000)*5/100)))</f>
        <v>0</v>
      </c>
      <c r="G39" s="292"/>
      <c r="H39" s="29"/>
      <c r="I39" s="394" t="s">
        <v>32</v>
      </c>
      <c r="J39" s="395"/>
      <c r="K39" s="367">
        <v>0</v>
      </c>
      <c r="L39" s="368"/>
    </row>
    <row r="40" spans="1:12" ht="15.75" customHeight="1" thickBot="1">
      <c r="A40" s="441"/>
      <c r="B40" s="383"/>
      <c r="C40" s="383"/>
      <c r="D40" s="383"/>
      <c r="E40" s="384"/>
      <c r="F40" s="397"/>
      <c r="G40" s="398"/>
      <c r="H40" s="25"/>
      <c r="I40" s="394" t="s">
        <v>33</v>
      </c>
      <c r="J40" s="395"/>
      <c r="K40" s="367">
        <v>0</v>
      </c>
      <c r="L40" s="368"/>
    </row>
    <row r="41" spans="1:12" ht="18" customHeight="1" thickBot="1">
      <c r="A41" s="434" t="s">
        <v>71</v>
      </c>
      <c r="B41" s="288"/>
      <c r="C41" s="288"/>
      <c r="D41" s="288"/>
      <c r="E41" s="288"/>
      <c r="F41" s="399">
        <f>F38-F39</f>
        <v>0</v>
      </c>
      <c r="G41" s="400"/>
      <c r="H41" s="25"/>
      <c r="I41" s="394" t="s">
        <v>34</v>
      </c>
      <c r="J41" s="395"/>
      <c r="K41" s="367">
        <v>0</v>
      </c>
      <c r="L41" s="368"/>
    </row>
    <row r="42" spans="1:12" ht="16.5" customHeight="1" thickBot="1">
      <c r="A42" s="81" t="s">
        <v>111</v>
      </c>
      <c r="B42" s="82"/>
      <c r="C42" s="82"/>
      <c r="D42" s="82"/>
      <c r="E42" s="87"/>
      <c r="F42" s="392">
        <f>F41*4/100</f>
        <v>0</v>
      </c>
      <c r="G42" s="393"/>
      <c r="H42" s="25"/>
      <c r="I42" s="394" t="s">
        <v>35</v>
      </c>
      <c r="J42" s="395"/>
      <c r="K42" s="367">
        <v>0</v>
      </c>
      <c r="L42" s="368"/>
    </row>
    <row r="43" spans="1:12" ht="16.5" customHeight="1" thickBot="1">
      <c r="A43" s="429" t="s">
        <v>112</v>
      </c>
      <c r="B43" s="430"/>
      <c r="C43" s="430"/>
      <c r="D43" s="430"/>
      <c r="E43" s="431"/>
      <c r="F43" s="423">
        <f>F41+F42</f>
        <v>0</v>
      </c>
      <c r="G43" s="418"/>
      <c r="H43" s="25"/>
      <c r="I43" s="394" t="s">
        <v>36</v>
      </c>
      <c r="J43" s="395"/>
      <c r="K43" s="367">
        <v>0</v>
      </c>
      <c r="L43" s="368"/>
    </row>
    <row r="44" spans="1:12" ht="16.5" customHeight="1" thickBot="1">
      <c r="A44" s="432" t="s">
        <v>113</v>
      </c>
      <c r="B44" s="288"/>
      <c r="C44" s="288"/>
      <c r="D44" s="288"/>
      <c r="E44" s="433"/>
      <c r="F44" s="385">
        <v>0</v>
      </c>
      <c r="G44" s="391"/>
      <c r="H44" s="25"/>
      <c r="I44" s="426" t="s">
        <v>145</v>
      </c>
      <c r="J44" s="427"/>
      <c r="K44" s="367">
        <v>0</v>
      </c>
      <c r="L44" s="428"/>
    </row>
    <row r="45" spans="1:12" ht="16.5" customHeight="1" thickBot="1">
      <c r="A45" s="429" t="s">
        <v>114</v>
      </c>
      <c r="B45" s="430"/>
      <c r="C45" s="430"/>
      <c r="D45" s="430"/>
      <c r="E45" s="431"/>
      <c r="F45" s="388">
        <f>F43-F44</f>
        <v>0</v>
      </c>
      <c r="G45" s="275"/>
      <c r="H45" s="25"/>
      <c r="I45" s="426" t="s">
        <v>146</v>
      </c>
      <c r="J45" s="427"/>
      <c r="K45" s="367">
        <v>0</v>
      </c>
      <c r="L45" s="428"/>
    </row>
    <row r="46" spans="1:12" ht="17.25" customHeight="1" thickBot="1">
      <c r="A46" s="432" t="s">
        <v>115</v>
      </c>
      <c r="B46" s="288"/>
      <c r="C46" s="288"/>
      <c r="D46" s="288"/>
      <c r="E46" s="433"/>
      <c r="F46" s="396">
        <f>K48</f>
        <v>0</v>
      </c>
      <c r="G46" s="292"/>
      <c r="H46" s="25"/>
      <c r="I46" s="406" t="s">
        <v>72</v>
      </c>
      <c r="J46" s="407"/>
      <c r="K46" s="367">
        <v>0</v>
      </c>
      <c r="L46" s="368"/>
    </row>
    <row r="47" spans="1:12" ht="17.25" customHeight="1" thickBot="1">
      <c r="A47" s="93" t="s">
        <v>116</v>
      </c>
      <c r="B47" s="94"/>
      <c r="C47" s="94"/>
      <c r="D47" s="94"/>
      <c r="E47" s="89"/>
      <c r="F47" s="417">
        <f>F45-F46</f>
        <v>0</v>
      </c>
      <c r="G47" s="418"/>
      <c r="H47" s="25"/>
      <c r="I47" s="406" t="s">
        <v>73</v>
      </c>
      <c r="J47" s="407"/>
      <c r="K47" s="367">
        <v>0</v>
      </c>
      <c r="L47" s="368"/>
    </row>
    <row r="48" spans="1:12" ht="17" customHeight="1" thickBot="1">
      <c r="A48" s="90"/>
      <c r="B48" s="91"/>
      <c r="C48" s="91"/>
      <c r="D48" s="91"/>
      <c r="E48" s="92"/>
      <c r="F48" s="389"/>
      <c r="G48" s="390"/>
      <c r="H48" s="25"/>
      <c r="I48" s="419" t="s">
        <v>41</v>
      </c>
      <c r="J48" s="420"/>
      <c r="K48" s="421">
        <f>SUM(K34:K47)</f>
        <v>0</v>
      </c>
      <c r="L48" s="422"/>
    </row>
    <row r="49" spans="1:12" ht="24.75" customHeight="1">
      <c r="A49" s="31" t="s">
        <v>74</v>
      </c>
      <c r="B49" s="21"/>
      <c r="C49" s="21"/>
      <c r="D49" s="21"/>
      <c r="E49" s="30"/>
      <c r="F49" s="361"/>
      <c r="G49" s="307"/>
      <c r="H49" s="25"/>
      <c r="I49" s="32"/>
      <c r="J49" s="32"/>
      <c r="K49" s="25"/>
      <c r="L49" s="33"/>
    </row>
    <row r="50" spans="1:12" ht="17.25" customHeight="1">
      <c r="A50" s="31" t="s">
        <v>75</v>
      </c>
      <c r="E50" s="1"/>
      <c r="F50" s="1"/>
      <c r="G50" s="1"/>
      <c r="H50" s="25"/>
      <c r="I50" s="362" t="s">
        <v>76</v>
      </c>
      <c r="J50" s="362"/>
      <c r="K50" s="362"/>
      <c r="L50" s="363"/>
    </row>
    <row r="51" spans="1:12" ht="13.5" customHeight="1">
      <c r="A51" s="34"/>
      <c r="B51" s="424"/>
      <c r="C51" s="425"/>
      <c r="D51" s="425"/>
      <c r="E51" s="1"/>
      <c r="F51" s="1"/>
      <c r="G51" s="1"/>
      <c r="H51" s="35"/>
      <c r="L51" s="36"/>
    </row>
    <row r="52" spans="1:12" ht="19.5" customHeight="1" thickBot="1">
      <c r="A52" s="37"/>
      <c r="B52" s="38"/>
      <c r="C52" s="38"/>
      <c r="D52" s="38"/>
      <c r="E52" s="38"/>
      <c r="F52" s="38"/>
      <c r="G52" s="38"/>
      <c r="H52" s="39"/>
      <c r="I52" s="359" t="s">
        <v>77</v>
      </c>
      <c r="J52" s="359"/>
      <c r="K52" s="359"/>
      <c r="L52" s="360"/>
    </row>
    <row r="53" spans="1:12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ht="15.75" customHeight="1">
      <c r="A54" s="1"/>
      <c r="B54" s="1"/>
      <c r="C54" s="1"/>
      <c r="D54" s="1"/>
      <c r="E54" s="1"/>
      <c r="F54" s="1"/>
      <c r="G54" s="1"/>
      <c r="H54" s="1"/>
    </row>
    <row r="55" spans="1:12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1:12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1:12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1:12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1:12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1:1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2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1:12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  <row r="75" spans="1:12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1:12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</row>
    <row r="77" spans="1:12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</row>
    <row r="78" spans="1:12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 spans="1:12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</row>
    <row r="80" spans="1:12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</row>
    <row r="81" spans="1:12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</row>
    <row r="82" spans="1:1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</row>
    <row r="83" spans="1:12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</row>
    <row r="84" spans="1:12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</row>
    <row r="85" spans="1:12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</row>
    <row r="86" spans="1:12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</row>
    <row r="87" spans="1:12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</row>
    <row r="88" spans="1:12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</row>
    <row r="89" spans="1:12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</row>
    <row r="90" spans="1:12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</row>
    <row r="91" spans="1:12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</row>
    <row r="92" spans="1:1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</row>
    <row r="93" spans="1:12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</row>
    <row r="94" spans="1:12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</row>
    <row r="95" spans="1:12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</row>
    <row r="96" spans="1:12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</row>
    <row r="97" spans="1:12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</row>
    <row r="98" spans="1:12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</row>
    <row r="99" spans="1:12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</row>
    <row r="100" spans="1:12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</row>
    <row r="101" spans="1:12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</row>
    <row r="102" spans="1:1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  <row r="103" spans="1:12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</row>
    <row r="104" spans="1:12" ht="15" customHeight="1">
      <c r="I104" s="1"/>
      <c r="J104" s="1"/>
      <c r="K104" s="1"/>
      <c r="L104" s="1"/>
    </row>
    <row r="105" spans="1:12" ht="15" customHeight="1">
      <c r="I105" s="1"/>
      <c r="J105" s="1"/>
      <c r="K105" s="1"/>
      <c r="L105" s="1"/>
    </row>
  </sheetData>
  <sheetProtection algorithmName="SHA-512" hashValue="qMk6I9JQnVhpYlDCYgUj0V2c3SHaVjwTsj+wmHTzj7JdHI6RwfbSZm1aa0Z2wU5poTolKDQdeAvMnDvuJ3+AGQ==" saltValue="RMHG6DqLLwPCoXqU8ikd4g==" spinCount="100000" sheet="1" objects="1" scenarios="1"/>
  <mergeCells count="127">
    <mergeCell ref="A4:D4"/>
    <mergeCell ref="E4:F4"/>
    <mergeCell ref="A5:D5"/>
    <mergeCell ref="A22:E22"/>
    <mergeCell ref="A15:D15"/>
    <mergeCell ref="E15:F15"/>
    <mergeCell ref="A6:D6"/>
    <mergeCell ref="E6:F6"/>
    <mergeCell ref="A7:D7"/>
    <mergeCell ref="E7:F7"/>
    <mergeCell ref="A11:D11"/>
    <mergeCell ref="A12:D12"/>
    <mergeCell ref="E12:F12"/>
    <mergeCell ref="A8:D8"/>
    <mergeCell ref="E8:F8"/>
    <mergeCell ref="E9:F9"/>
    <mergeCell ref="E10:F10"/>
    <mergeCell ref="A9:D9"/>
    <mergeCell ref="A10:D10"/>
    <mergeCell ref="A41:E41"/>
    <mergeCell ref="A26:C26"/>
    <mergeCell ref="A23:E23"/>
    <mergeCell ref="A24:E24"/>
    <mergeCell ref="D26:E26"/>
    <mergeCell ref="A25:E25"/>
    <mergeCell ref="A39:E40"/>
    <mergeCell ref="A37:E37"/>
    <mergeCell ref="A38:E38"/>
    <mergeCell ref="A35:E35"/>
    <mergeCell ref="A36:E36"/>
    <mergeCell ref="A32:E32"/>
    <mergeCell ref="A34:D34"/>
    <mergeCell ref="A33:D33"/>
    <mergeCell ref="A29:E29"/>
    <mergeCell ref="A30:E30"/>
    <mergeCell ref="A31:E31"/>
    <mergeCell ref="A27:C27"/>
    <mergeCell ref="D27:E28"/>
    <mergeCell ref="F47:G47"/>
    <mergeCell ref="F46:G46"/>
    <mergeCell ref="I48:J48"/>
    <mergeCell ref="K48:L48"/>
    <mergeCell ref="F43:G43"/>
    <mergeCell ref="I43:J43"/>
    <mergeCell ref="I46:J46"/>
    <mergeCell ref="K46:L46"/>
    <mergeCell ref="B51:D51"/>
    <mergeCell ref="I44:J44"/>
    <mergeCell ref="I45:J45"/>
    <mergeCell ref="K44:L44"/>
    <mergeCell ref="K45:L45"/>
    <mergeCell ref="A45:E45"/>
    <mergeCell ref="A46:E46"/>
    <mergeCell ref="A43:E43"/>
    <mergeCell ref="A44:E44"/>
    <mergeCell ref="I41:J41"/>
    <mergeCell ref="I36:J36"/>
    <mergeCell ref="K36:L36"/>
    <mergeCell ref="I32:L32"/>
    <mergeCell ref="K33:L33"/>
    <mergeCell ref="F34:G34"/>
    <mergeCell ref="F45:G45"/>
    <mergeCell ref="I47:J47"/>
    <mergeCell ref="I39:J39"/>
    <mergeCell ref="I40:J40"/>
    <mergeCell ref="K39:L39"/>
    <mergeCell ref="K40:L40"/>
    <mergeCell ref="F37:G37"/>
    <mergeCell ref="I37:J37"/>
    <mergeCell ref="K37:L37"/>
    <mergeCell ref="F38:G38"/>
    <mergeCell ref="I38:J38"/>
    <mergeCell ref="K38:L38"/>
    <mergeCell ref="K35:L35"/>
    <mergeCell ref="F36:G36"/>
    <mergeCell ref="F35:G35"/>
    <mergeCell ref="I35:J35"/>
    <mergeCell ref="I33:J33"/>
    <mergeCell ref="I34:J34"/>
    <mergeCell ref="I52:L52"/>
    <mergeCell ref="F49:G49"/>
    <mergeCell ref="I50:L50"/>
    <mergeCell ref="I26:L26"/>
    <mergeCell ref="K47:L47"/>
    <mergeCell ref="K43:L43"/>
    <mergeCell ref="K34:L34"/>
    <mergeCell ref="I27:L28"/>
    <mergeCell ref="F20:G21"/>
    <mergeCell ref="F22:G22"/>
    <mergeCell ref="F29:G29"/>
    <mergeCell ref="F27:G28"/>
    <mergeCell ref="F23:G23"/>
    <mergeCell ref="F24:G24"/>
    <mergeCell ref="F26:G26"/>
    <mergeCell ref="F25:G25"/>
    <mergeCell ref="F48:G48"/>
    <mergeCell ref="F44:G44"/>
    <mergeCell ref="K41:L41"/>
    <mergeCell ref="F42:G42"/>
    <mergeCell ref="I42:J42"/>
    <mergeCell ref="K42:L42"/>
    <mergeCell ref="F39:G40"/>
    <mergeCell ref="F41:G41"/>
    <mergeCell ref="I30:L30"/>
    <mergeCell ref="I31:L31"/>
    <mergeCell ref="I16:L16"/>
    <mergeCell ref="I17:L22"/>
    <mergeCell ref="I14:L14"/>
    <mergeCell ref="I15:L15"/>
    <mergeCell ref="I1:L1"/>
    <mergeCell ref="G3:L13"/>
    <mergeCell ref="F18:G18"/>
    <mergeCell ref="F19:G19"/>
    <mergeCell ref="E11:F11"/>
    <mergeCell ref="A1:E1"/>
    <mergeCell ref="A2:E2"/>
    <mergeCell ref="A3:D3"/>
    <mergeCell ref="E3:F3"/>
    <mergeCell ref="E5:F5"/>
    <mergeCell ref="A28:C28"/>
    <mergeCell ref="A17:E17"/>
    <mergeCell ref="A16:E16"/>
    <mergeCell ref="A13:D13"/>
    <mergeCell ref="E13:F13"/>
    <mergeCell ref="A19:D19"/>
    <mergeCell ref="A14:D14"/>
    <mergeCell ref="E14:F14"/>
  </mergeCells>
  <pageMargins left="0.7" right="0.47" top="0.36" bottom="0.24" header="0" footer="0"/>
  <pageSetup paperSize="9" scale="8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30A0"/>
  </sheetPr>
  <dimension ref="A2:O95"/>
  <sheetViews>
    <sheetView topLeftCell="A15" workbookViewId="0">
      <selection activeCell="F19" sqref="F19:J19"/>
    </sheetView>
  </sheetViews>
  <sheetFormatPr defaultColWidth="14.36328125" defaultRowHeight="15" customHeight="1"/>
  <cols>
    <col min="1" max="1" width="29.26953125" customWidth="1"/>
    <col min="2" max="3" width="3.6328125" customWidth="1"/>
    <col min="4" max="4" width="4" customWidth="1"/>
    <col min="5" max="5" width="2.6328125" customWidth="1"/>
    <col min="6" max="8" width="3.6328125" customWidth="1"/>
    <col min="9" max="10" width="4" customWidth="1"/>
    <col min="11" max="11" width="5.26953125" customWidth="1"/>
    <col min="12" max="12" width="14.6328125" customWidth="1"/>
    <col min="13" max="13" width="7.90625" customWidth="1"/>
    <col min="14" max="14" width="6.90625" customWidth="1"/>
    <col min="15" max="15" width="9.81640625" customWidth="1"/>
  </cols>
  <sheetData>
    <row r="2" spans="1:15" ht="15" customHeight="1" thickBot="1"/>
    <row r="3" spans="1:15" ht="16.5" customHeight="1" thickBot="1">
      <c r="A3" s="534" t="s">
        <v>163</v>
      </c>
      <c r="B3" s="535"/>
      <c r="C3" s="535"/>
      <c r="D3" s="535"/>
      <c r="E3" s="535"/>
      <c r="F3" s="535"/>
      <c r="G3" s="535"/>
      <c r="H3" s="535"/>
      <c r="I3" s="535"/>
      <c r="J3" s="535"/>
      <c r="K3" s="535"/>
      <c r="L3" s="535"/>
      <c r="M3" s="535"/>
      <c r="N3" s="535"/>
      <c r="O3" s="536"/>
    </row>
    <row r="4" spans="1:15" ht="21.75" customHeight="1">
      <c r="A4" s="537" t="s">
        <v>78</v>
      </c>
      <c r="B4" s="535"/>
      <c r="C4" s="535"/>
      <c r="D4" s="535"/>
      <c r="E4" s="535"/>
      <c r="F4" s="535"/>
      <c r="G4" s="535"/>
      <c r="H4" s="535"/>
      <c r="I4" s="535"/>
      <c r="J4" s="535"/>
      <c r="K4" s="535"/>
      <c r="L4" s="535"/>
      <c r="M4" s="535"/>
      <c r="N4" s="535"/>
      <c r="O4" s="536"/>
    </row>
    <row r="5" spans="1:15" ht="22.5" customHeight="1">
      <c r="A5" s="95" t="s">
        <v>1</v>
      </c>
      <c r="B5" s="538" t="s">
        <v>2</v>
      </c>
      <c r="C5" s="535"/>
      <c r="D5" s="535"/>
      <c r="E5" s="535"/>
      <c r="F5" s="535"/>
      <c r="G5" s="535"/>
      <c r="H5" s="535"/>
      <c r="I5" s="535"/>
      <c r="J5" s="535"/>
      <c r="K5" s="536"/>
      <c r="L5" s="537" t="s">
        <v>3</v>
      </c>
      <c r="M5" s="536"/>
      <c r="N5" s="537" t="s">
        <v>4</v>
      </c>
      <c r="O5" s="536"/>
    </row>
    <row r="6" spans="1:15" ht="17.25" customHeight="1">
      <c r="A6" s="96" t="s">
        <v>5</v>
      </c>
      <c r="B6" s="501">
        <f>'OLD Regime Page 1 '!B4:K4</f>
        <v>0</v>
      </c>
      <c r="C6" s="502"/>
      <c r="D6" s="502"/>
      <c r="E6" s="502"/>
      <c r="F6" s="502"/>
      <c r="G6" s="502"/>
      <c r="H6" s="502"/>
      <c r="I6" s="502"/>
      <c r="J6" s="502"/>
      <c r="K6" s="502"/>
      <c r="L6" s="496" t="s">
        <v>6</v>
      </c>
      <c r="M6" s="497"/>
      <c r="N6" s="539">
        <f>'OLD Regime Page 1 '!N4:O4</f>
        <v>0</v>
      </c>
      <c r="O6" s="497"/>
    </row>
    <row r="7" spans="1:15" ht="17.25" customHeight="1">
      <c r="A7" s="96" t="s">
        <v>7</v>
      </c>
      <c r="B7" s="501">
        <f>'OLD Regime Page 1 '!B5:K5</f>
        <v>0</v>
      </c>
      <c r="C7" s="502"/>
      <c r="D7" s="502"/>
      <c r="E7" s="502"/>
      <c r="F7" s="502"/>
      <c r="G7" s="502"/>
      <c r="H7" s="502"/>
      <c r="I7" s="502"/>
      <c r="J7" s="502"/>
      <c r="K7" s="502"/>
      <c r="L7" s="228" t="s">
        <v>8</v>
      </c>
      <c r="M7" s="229"/>
      <c r="N7" s="541">
        <f>'OLD Regime Page 1 '!N5:O5</f>
        <v>0</v>
      </c>
      <c r="O7" s="229"/>
    </row>
    <row r="8" spans="1:15" ht="22.5" customHeight="1" thickBot="1">
      <c r="A8" s="96" t="s">
        <v>9</v>
      </c>
      <c r="B8" s="501">
        <f>'OLD Regime Page 1 '!B6:K6</f>
        <v>0</v>
      </c>
      <c r="C8" s="502"/>
      <c r="D8" s="502"/>
      <c r="E8" s="502"/>
      <c r="F8" s="502"/>
      <c r="G8" s="502"/>
      <c r="H8" s="502"/>
      <c r="I8" s="502"/>
      <c r="J8" s="502"/>
      <c r="K8" s="502"/>
      <c r="L8" s="228" t="s">
        <v>10</v>
      </c>
      <c r="M8" s="229"/>
      <c r="N8" s="540">
        <f>'OLD Regime Page 1 '!N6:O6</f>
        <v>0</v>
      </c>
      <c r="O8" s="229"/>
    </row>
    <row r="9" spans="1:15" ht="27" customHeight="1" thickBot="1">
      <c r="A9" s="542" t="s">
        <v>11</v>
      </c>
      <c r="B9" s="544">
        <f>'OLD Regime Page 1 '!B7:K7</f>
        <v>0</v>
      </c>
      <c r="C9" s="545"/>
      <c r="D9" s="545"/>
      <c r="E9" s="545"/>
      <c r="F9" s="545"/>
      <c r="G9" s="545"/>
      <c r="H9" s="545"/>
      <c r="I9" s="545"/>
      <c r="J9" s="545"/>
      <c r="K9" s="215"/>
      <c r="L9" s="214" t="s">
        <v>12</v>
      </c>
      <c r="M9" s="215"/>
      <c r="N9" s="540">
        <f>'OLD Regime Page 1 '!N7:O7</f>
        <v>0</v>
      </c>
      <c r="O9" s="229"/>
    </row>
    <row r="10" spans="1:15" ht="27" customHeight="1" thickBot="1">
      <c r="A10" s="543"/>
      <c r="B10" s="499"/>
      <c r="C10" s="499"/>
      <c r="D10" s="499"/>
      <c r="E10" s="499"/>
      <c r="F10" s="499"/>
      <c r="G10" s="499"/>
      <c r="H10" s="499"/>
      <c r="I10" s="499"/>
      <c r="J10" s="499"/>
      <c r="K10" s="500"/>
      <c r="L10" s="96" t="s">
        <v>13</v>
      </c>
      <c r="M10" s="504">
        <f>'OLD Regime Page 1 '!M8:O8</f>
        <v>0</v>
      </c>
      <c r="N10" s="487"/>
      <c r="O10" s="488"/>
    </row>
    <row r="11" spans="1:15" ht="32.25" customHeight="1" thickBot="1">
      <c r="A11" s="97" t="s">
        <v>96</v>
      </c>
      <c r="B11" s="508">
        <f>'OLD Regime Page 1 '!B9</f>
        <v>0</v>
      </c>
      <c r="C11" s="509"/>
      <c r="D11" s="509"/>
      <c r="E11" s="509"/>
      <c r="F11" s="509"/>
      <c r="G11" s="509"/>
      <c r="H11" s="509"/>
      <c r="I11" s="509"/>
      <c r="J11" s="509"/>
      <c r="K11" s="510"/>
      <c r="L11" s="98" t="s">
        <v>14</v>
      </c>
      <c r="M11" s="508">
        <f>'OLD Regime Page 1 '!M9</f>
        <v>0</v>
      </c>
      <c r="N11" s="509"/>
      <c r="O11" s="510"/>
    </row>
    <row r="12" spans="1:15" ht="22.5" customHeight="1" thickBot="1">
      <c r="A12" s="4" t="s">
        <v>15</v>
      </c>
      <c r="B12" s="503">
        <f>'OLD Regime Page 1 '!B10:K10</f>
        <v>0</v>
      </c>
      <c r="C12" s="487"/>
      <c r="D12" s="487"/>
      <c r="E12" s="487"/>
      <c r="F12" s="487"/>
      <c r="G12" s="487"/>
      <c r="H12" s="487"/>
      <c r="I12" s="487"/>
      <c r="J12" s="487"/>
      <c r="K12" s="488"/>
      <c r="L12" s="99" t="s">
        <v>16</v>
      </c>
      <c r="M12" s="505">
        <f>'OLD Regime Page 1 '!M10:O10</f>
        <v>0</v>
      </c>
      <c r="N12" s="506"/>
      <c r="O12" s="507"/>
    </row>
    <row r="13" spans="1:15" ht="21" customHeight="1" thickBot="1">
      <c r="A13" s="100" t="s">
        <v>17</v>
      </c>
      <c r="B13" s="498">
        <f>'OLD Regime Page 1 '!B11:K11</f>
        <v>0</v>
      </c>
      <c r="C13" s="499"/>
      <c r="D13" s="499"/>
      <c r="E13" s="499"/>
      <c r="F13" s="499"/>
      <c r="G13" s="499"/>
      <c r="H13" s="499"/>
      <c r="I13" s="499"/>
      <c r="J13" s="499"/>
      <c r="K13" s="500"/>
      <c r="L13" s="5" t="s">
        <v>18</v>
      </c>
      <c r="M13" s="505">
        <f>'OLD Regime Page 1 '!M11:O11</f>
        <v>0</v>
      </c>
      <c r="N13" s="506"/>
      <c r="O13" s="507"/>
    </row>
    <row r="14" spans="1:15" ht="12.75" customHeight="1">
      <c r="A14" s="529" t="s">
        <v>164</v>
      </c>
      <c r="B14" s="523" t="s">
        <v>19</v>
      </c>
      <c r="C14" s="524"/>
      <c r="D14" s="524"/>
      <c r="E14" s="525"/>
      <c r="F14" s="531" t="s">
        <v>79</v>
      </c>
      <c r="G14" s="532"/>
      <c r="H14" s="532"/>
      <c r="I14" s="532"/>
      <c r="J14" s="533"/>
      <c r="K14" s="511"/>
      <c r="L14" s="512"/>
      <c r="M14" s="512"/>
      <c r="N14" s="512"/>
      <c r="O14" s="513"/>
    </row>
    <row r="15" spans="1:15" ht="16.5" customHeight="1" thickBot="1">
      <c r="A15" s="530"/>
      <c r="B15" s="526"/>
      <c r="C15" s="527"/>
      <c r="D15" s="527"/>
      <c r="E15" s="528"/>
      <c r="F15" s="526"/>
      <c r="G15" s="527"/>
      <c r="H15" s="527"/>
      <c r="I15" s="527"/>
      <c r="J15" s="528"/>
      <c r="K15" s="514"/>
      <c r="L15" s="515"/>
      <c r="M15" s="515"/>
      <c r="N15" s="515"/>
      <c r="O15" s="516"/>
    </row>
    <row r="16" spans="1:15" ht="22" customHeight="1" thickBot="1">
      <c r="A16" s="101" t="s">
        <v>165</v>
      </c>
      <c r="B16" s="491">
        <f>SUM('OLD Regime Page 1 '!B14:E14)</f>
        <v>0</v>
      </c>
      <c r="C16" s="492"/>
      <c r="D16" s="492"/>
      <c r="E16" s="493"/>
      <c r="F16" s="471">
        <f>SUM('OLD Regime Page 1 '!I14:J14)</f>
        <v>0</v>
      </c>
      <c r="G16" s="472"/>
      <c r="H16" s="472"/>
      <c r="I16" s="472"/>
      <c r="J16" s="473"/>
      <c r="K16" s="514"/>
      <c r="L16" s="515"/>
      <c r="M16" s="515"/>
      <c r="N16" s="515"/>
      <c r="O16" s="516"/>
    </row>
    <row r="17" spans="1:15" ht="22" customHeight="1" thickBot="1">
      <c r="A17" s="101" t="s">
        <v>166</v>
      </c>
      <c r="B17" s="491">
        <f>SUM('OLD Regime Page 1 '!B15:E15)</f>
        <v>0</v>
      </c>
      <c r="C17" s="492"/>
      <c r="D17" s="492"/>
      <c r="E17" s="493"/>
      <c r="F17" s="471">
        <f>SUM('OLD Regime Page 1 '!I15:J15)</f>
        <v>0</v>
      </c>
      <c r="G17" s="472"/>
      <c r="H17" s="472"/>
      <c r="I17" s="472"/>
      <c r="J17" s="473"/>
      <c r="K17" s="514"/>
      <c r="L17" s="515"/>
      <c r="M17" s="515"/>
      <c r="N17" s="515"/>
      <c r="O17" s="516"/>
    </row>
    <row r="18" spans="1:15" ht="22" customHeight="1" thickBot="1">
      <c r="A18" s="101" t="s">
        <v>167</v>
      </c>
      <c r="B18" s="491">
        <f>SUM('OLD Regime Page 1 '!B16:E16)</f>
        <v>0</v>
      </c>
      <c r="C18" s="492"/>
      <c r="D18" s="492"/>
      <c r="E18" s="493"/>
      <c r="F18" s="471">
        <f>SUM('OLD Regime Page 1 '!I16:J16)</f>
        <v>0</v>
      </c>
      <c r="G18" s="472"/>
      <c r="H18" s="472"/>
      <c r="I18" s="472"/>
      <c r="J18" s="473"/>
      <c r="K18" s="514"/>
      <c r="L18" s="515"/>
      <c r="M18" s="515"/>
      <c r="N18" s="515"/>
      <c r="O18" s="516"/>
    </row>
    <row r="19" spans="1:15" ht="22" customHeight="1" thickBot="1">
      <c r="A19" s="101" t="s">
        <v>168</v>
      </c>
      <c r="B19" s="491">
        <f>SUM('OLD Regime Page 1 '!B17:E17)</f>
        <v>0</v>
      </c>
      <c r="C19" s="492"/>
      <c r="D19" s="492"/>
      <c r="E19" s="493"/>
      <c r="F19" s="471">
        <f>SUM('OLD Regime Page 1 '!I17:J17)</f>
        <v>0</v>
      </c>
      <c r="G19" s="472"/>
      <c r="H19" s="472"/>
      <c r="I19" s="472"/>
      <c r="J19" s="473"/>
      <c r="K19" s="514"/>
      <c r="L19" s="515"/>
      <c r="M19" s="515"/>
      <c r="N19" s="515"/>
      <c r="O19" s="516"/>
    </row>
    <row r="20" spans="1:15" ht="22" customHeight="1" thickBot="1">
      <c r="A20" s="101" t="s">
        <v>169</v>
      </c>
      <c r="B20" s="491">
        <f>SUM('OLD Regime Page 1 '!B18:E18)</f>
        <v>0</v>
      </c>
      <c r="C20" s="492"/>
      <c r="D20" s="492"/>
      <c r="E20" s="493"/>
      <c r="F20" s="471">
        <f>SUM('OLD Regime Page 1 '!I18:J18)</f>
        <v>0</v>
      </c>
      <c r="G20" s="472"/>
      <c r="H20" s="472"/>
      <c r="I20" s="472"/>
      <c r="J20" s="473"/>
      <c r="K20" s="514"/>
      <c r="L20" s="515"/>
      <c r="M20" s="515"/>
      <c r="N20" s="515"/>
      <c r="O20" s="516"/>
    </row>
    <row r="21" spans="1:15" ht="22" customHeight="1" thickBot="1">
      <c r="A21" s="101" t="s">
        <v>170</v>
      </c>
      <c r="B21" s="491">
        <f>SUM('OLD Regime Page 1 '!B19:E19)</f>
        <v>0</v>
      </c>
      <c r="C21" s="492"/>
      <c r="D21" s="492"/>
      <c r="E21" s="493"/>
      <c r="F21" s="471">
        <f>SUM('OLD Regime Page 1 '!I19:J19)</f>
        <v>0</v>
      </c>
      <c r="G21" s="472"/>
      <c r="H21" s="472"/>
      <c r="I21" s="472"/>
      <c r="J21" s="473"/>
      <c r="K21" s="514"/>
      <c r="L21" s="515"/>
      <c r="M21" s="515"/>
      <c r="N21" s="515"/>
      <c r="O21" s="516"/>
    </row>
    <row r="22" spans="1:15" ht="22" customHeight="1" thickBot="1">
      <c r="A22" s="101" t="s">
        <v>171</v>
      </c>
      <c r="B22" s="491">
        <f>SUM('OLD Regime Page 1 '!B20:E20)</f>
        <v>0</v>
      </c>
      <c r="C22" s="492"/>
      <c r="D22" s="492"/>
      <c r="E22" s="493"/>
      <c r="F22" s="471">
        <f>SUM('OLD Regime Page 1 '!I20:J20)</f>
        <v>0</v>
      </c>
      <c r="G22" s="472"/>
      <c r="H22" s="472"/>
      <c r="I22" s="472"/>
      <c r="J22" s="473"/>
      <c r="K22" s="514"/>
      <c r="L22" s="515"/>
      <c r="M22" s="515"/>
      <c r="N22" s="515"/>
      <c r="O22" s="516"/>
    </row>
    <row r="23" spans="1:15" ht="22" customHeight="1" thickBot="1">
      <c r="A23" s="101" t="s">
        <v>172</v>
      </c>
      <c r="B23" s="491">
        <f>SUM('OLD Regime Page 1 '!B21:E21)</f>
        <v>0</v>
      </c>
      <c r="C23" s="492"/>
      <c r="D23" s="492"/>
      <c r="E23" s="493"/>
      <c r="F23" s="471">
        <f>SUM('OLD Regime Page 1 '!I21:J21)</f>
        <v>0</v>
      </c>
      <c r="G23" s="472"/>
      <c r="H23" s="472"/>
      <c r="I23" s="472"/>
      <c r="J23" s="473"/>
      <c r="K23" s="514"/>
      <c r="L23" s="515"/>
      <c r="M23" s="515"/>
      <c r="N23" s="515"/>
      <c r="O23" s="516"/>
    </row>
    <row r="24" spans="1:15" ht="22" customHeight="1" thickBot="1">
      <c r="A24" s="101" t="s">
        <v>173</v>
      </c>
      <c r="B24" s="491">
        <f>SUM('OLD Regime Page 1 '!B22:E22)</f>
        <v>0</v>
      </c>
      <c r="C24" s="492"/>
      <c r="D24" s="492"/>
      <c r="E24" s="493"/>
      <c r="F24" s="471">
        <f>SUM('OLD Regime Page 1 '!I22:J22)</f>
        <v>0</v>
      </c>
      <c r="G24" s="472"/>
      <c r="H24" s="472"/>
      <c r="I24" s="472"/>
      <c r="J24" s="473"/>
      <c r="K24" s="514"/>
      <c r="L24" s="515"/>
      <c r="M24" s="515"/>
      <c r="N24" s="515"/>
      <c r="O24" s="516"/>
    </row>
    <row r="25" spans="1:15" ht="22" customHeight="1" thickBot="1">
      <c r="A25" s="101" t="s">
        <v>174</v>
      </c>
      <c r="B25" s="491">
        <f>SUM('OLD Regime Page 1 '!B23:E23)</f>
        <v>0</v>
      </c>
      <c r="C25" s="492"/>
      <c r="D25" s="492"/>
      <c r="E25" s="493"/>
      <c r="F25" s="471">
        <f>SUM('OLD Regime Page 1 '!I23:J23)</f>
        <v>0</v>
      </c>
      <c r="G25" s="472"/>
      <c r="H25" s="472"/>
      <c r="I25" s="472"/>
      <c r="J25" s="473"/>
      <c r="K25" s="514"/>
      <c r="L25" s="515"/>
      <c r="M25" s="515"/>
      <c r="N25" s="515"/>
      <c r="O25" s="516"/>
    </row>
    <row r="26" spans="1:15" ht="22" customHeight="1" thickBot="1">
      <c r="A26" s="101" t="s">
        <v>175</v>
      </c>
      <c r="B26" s="491">
        <f>SUM('OLD Regime Page 1 '!B24:E24)</f>
        <v>0</v>
      </c>
      <c r="C26" s="492"/>
      <c r="D26" s="492"/>
      <c r="E26" s="493"/>
      <c r="F26" s="471">
        <f>SUM('OLD Regime Page 1 '!I24:J24)</f>
        <v>0</v>
      </c>
      <c r="G26" s="472"/>
      <c r="H26" s="472"/>
      <c r="I26" s="472"/>
      <c r="J26" s="473"/>
      <c r="K26" s="514"/>
      <c r="L26" s="515"/>
      <c r="M26" s="515"/>
      <c r="N26" s="515"/>
      <c r="O26" s="516"/>
    </row>
    <row r="27" spans="1:15" ht="22" customHeight="1" thickBot="1">
      <c r="A27" s="101" t="s">
        <v>176</v>
      </c>
      <c r="B27" s="491">
        <f>SUM('OLD Regime Page 1 '!B25:E25)</f>
        <v>0</v>
      </c>
      <c r="C27" s="492"/>
      <c r="D27" s="492"/>
      <c r="E27" s="493"/>
      <c r="F27" s="471">
        <f>SUM('OLD Regime Page 1 '!I25:J25)</f>
        <v>0</v>
      </c>
      <c r="G27" s="472"/>
      <c r="H27" s="472"/>
      <c r="I27" s="472"/>
      <c r="J27" s="473"/>
      <c r="K27" s="514"/>
      <c r="L27" s="515"/>
      <c r="M27" s="515"/>
      <c r="N27" s="515"/>
      <c r="O27" s="516"/>
    </row>
    <row r="28" spans="1:15" ht="22" customHeight="1" thickBot="1">
      <c r="A28" s="102" t="s">
        <v>39</v>
      </c>
      <c r="B28" s="494"/>
      <c r="C28" s="241"/>
      <c r="D28" s="241"/>
      <c r="E28" s="495"/>
      <c r="F28" s="471"/>
      <c r="G28" s="472"/>
      <c r="H28" s="472"/>
      <c r="I28" s="472"/>
      <c r="J28" s="473"/>
      <c r="K28" s="514"/>
      <c r="L28" s="515"/>
      <c r="M28" s="515"/>
      <c r="N28" s="515"/>
      <c r="O28" s="516"/>
    </row>
    <row r="29" spans="1:15" ht="22" customHeight="1">
      <c r="A29" s="101" t="s">
        <v>94</v>
      </c>
      <c r="B29" s="494">
        <f>SUM('OLD Regime Page 1 '!B27:E27)</f>
        <v>0</v>
      </c>
      <c r="C29" s="241"/>
      <c r="D29" s="241"/>
      <c r="E29" s="495"/>
      <c r="F29" s="474"/>
      <c r="G29" s="475"/>
      <c r="H29" s="475"/>
      <c r="I29" s="475"/>
      <c r="J29" s="476"/>
      <c r="K29" s="514"/>
      <c r="L29" s="515"/>
      <c r="M29" s="515"/>
      <c r="N29" s="515"/>
      <c r="O29" s="516"/>
    </row>
    <row r="30" spans="1:15" ht="22" customHeight="1">
      <c r="A30" s="101" t="s">
        <v>95</v>
      </c>
      <c r="B30" s="494">
        <f>SUM('OLD Regime Page 1 '!B28:E28)</f>
        <v>0</v>
      </c>
      <c r="C30" s="241"/>
      <c r="D30" s="241"/>
      <c r="E30" s="495"/>
      <c r="F30" s="477"/>
      <c r="G30" s="253"/>
      <c r="H30" s="253"/>
      <c r="I30" s="253"/>
      <c r="J30" s="478"/>
      <c r="K30" s="514"/>
      <c r="L30" s="515"/>
      <c r="M30" s="515"/>
      <c r="N30" s="515"/>
      <c r="O30" s="516"/>
    </row>
    <row r="31" spans="1:15" ht="22" customHeight="1">
      <c r="A31" s="101" t="s">
        <v>93</v>
      </c>
      <c r="B31" s="494">
        <f>SUM('OLD Regime Page 1 '!B29:E29)</f>
        <v>0</v>
      </c>
      <c r="C31" s="241"/>
      <c r="D31" s="241"/>
      <c r="E31" s="495"/>
      <c r="F31" s="477"/>
      <c r="G31" s="253"/>
      <c r="H31" s="253"/>
      <c r="I31" s="253"/>
      <c r="J31" s="478"/>
      <c r="K31" s="514"/>
      <c r="L31" s="515"/>
      <c r="M31" s="515"/>
      <c r="N31" s="515"/>
      <c r="O31" s="516"/>
    </row>
    <row r="32" spans="1:15" ht="22" customHeight="1">
      <c r="A32" s="103" t="s">
        <v>40</v>
      </c>
      <c r="B32" s="494">
        <f>SUM('OLD Regime Page 1 '!B30:E30)</f>
        <v>0</v>
      </c>
      <c r="C32" s="241"/>
      <c r="D32" s="241"/>
      <c r="E32" s="495"/>
      <c r="F32" s="477"/>
      <c r="G32" s="253"/>
      <c r="H32" s="253"/>
      <c r="I32" s="253"/>
      <c r="J32" s="478"/>
      <c r="K32" s="514"/>
      <c r="L32" s="515"/>
      <c r="M32" s="515"/>
      <c r="N32" s="515"/>
      <c r="O32" s="516"/>
    </row>
    <row r="33" spans="1:15" ht="22" customHeight="1">
      <c r="A33" s="101" t="s">
        <v>80</v>
      </c>
      <c r="B33" s="494">
        <f>SUM('OLD Regime Page 1 '!B31:E31)</f>
        <v>0</v>
      </c>
      <c r="C33" s="241"/>
      <c r="D33" s="241"/>
      <c r="E33" s="495"/>
      <c r="F33" s="477"/>
      <c r="G33" s="253"/>
      <c r="H33" s="253"/>
      <c r="I33" s="253"/>
      <c r="J33" s="478"/>
      <c r="K33" s="514"/>
      <c r="L33" s="515"/>
      <c r="M33" s="515"/>
      <c r="N33" s="515"/>
      <c r="O33" s="516"/>
    </row>
    <row r="34" spans="1:15" ht="22" customHeight="1" thickBot="1">
      <c r="A34" s="104"/>
      <c r="B34" s="520"/>
      <c r="C34" s="521"/>
      <c r="D34" s="521"/>
      <c r="E34" s="522"/>
      <c r="F34" s="479"/>
      <c r="G34" s="480"/>
      <c r="H34" s="480"/>
      <c r="I34" s="480"/>
      <c r="J34" s="481"/>
      <c r="K34" s="514"/>
      <c r="L34" s="515"/>
      <c r="M34" s="515"/>
      <c r="N34" s="515"/>
      <c r="O34" s="516"/>
    </row>
    <row r="35" spans="1:15" ht="22" customHeight="1" thickBot="1">
      <c r="A35" s="105" t="s">
        <v>41</v>
      </c>
      <c r="B35" s="470">
        <f>SUM(B16:E34)</f>
        <v>0</v>
      </c>
      <c r="C35" s="309"/>
      <c r="D35" s="309"/>
      <c r="E35" s="469"/>
      <c r="F35" s="470">
        <f>SUM(F16:F27)</f>
        <v>0</v>
      </c>
      <c r="G35" s="309"/>
      <c r="H35" s="309"/>
      <c r="I35" s="309"/>
      <c r="J35" s="469"/>
      <c r="K35" s="517"/>
      <c r="L35" s="518"/>
      <c r="M35" s="518"/>
      <c r="N35" s="518"/>
      <c r="O35" s="519"/>
    </row>
    <row r="36" spans="1:15" ht="23.25" customHeight="1" thickBot="1">
      <c r="A36" s="486" t="s">
        <v>42</v>
      </c>
      <c r="B36" s="487"/>
      <c r="C36" s="487"/>
      <c r="D36" s="487"/>
      <c r="E36" s="487"/>
      <c r="F36" s="487"/>
      <c r="G36" s="487"/>
      <c r="H36" s="487"/>
      <c r="I36" s="487"/>
      <c r="J36" s="487"/>
      <c r="K36" s="487"/>
      <c r="L36" s="488"/>
      <c r="M36" s="482">
        <f>B35</f>
        <v>0</v>
      </c>
      <c r="N36" s="309"/>
      <c r="O36" s="469"/>
    </row>
    <row r="37" spans="1:15" ht="23.25" customHeight="1" thickBot="1">
      <c r="A37" s="486" t="s">
        <v>81</v>
      </c>
      <c r="B37" s="489"/>
      <c r="C37" s="489"/>
      <c r="D37" s="489"/>
      <c r="E37" s="489"/>
      <c r="F37" s="489"/>
      <c r="G37" s="489"/>
      <c r="H37" s="489"/>
      <c r="I37" s="489"/>
      <c r="J37" s="489"/>
      <c r="K37" s="489"/>
      <c r="L37" s="490"/>
      <c r="M37" s="106"/>
      <c r="N37" s="106"/>
      <c r="O37" s="107"/>
    </row>
    <row r="38" spans="1:15" ht="23.25" customHeight="1" thickBot="1">
      <c r="A38" s="483" t="s">
        <v>154</v>
      </c>
      <c r="B38" s="484"/>
      <c r="C38" s="484"/>
      <c r="D38" s="484"/>
      <c r="E38" s="484"/>
      <c r="F38" s="484"/>
      <c r="G38" s="484"/>
      <c r="H38" s="484"/>
      <c r="I38" s="484"/>
      <c r="J38" s="485"/>
      <c r="K38" s="466">
        <v>75000</v>
      </c>
      <c r="L38" s="467"/>
      <c r="M38" s="468">
        <f>M36-K38</f>
        <v>-75000</v>
      </c>
      <c r="N38" s="309"/>
      <c r="O38" s="469"/>
    </row>
    <row r="39" spans="1:15" ht="16.5" customHeight="1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</row>
    <row r="40" spans="1:15" ht="15.75" customHeight="1">
      <c r="A40" s="19"/>
      <c r="B40" s="19"/>
      <c r="C40" s="19"/>
      <c r="D40" s="19"/>
      <c r="E40" s="19"/>
      <c r="F40" s="19"/>
      <c r="G40" s="19"/>
      <c r="H40" s="19"/>
      <c r="I40" s="20"/>
      <c r="J40" s="20"/>
      <c r="K40" s="20"/>
      <c r="L40" s="20"/>
      <c r="M40" s="20"/>
      <c r="N40" s="20"/>
      <c r="O40" s="20"/>
    </row>
    <row r="41" spans="1:15" ht="15.75" customHeight="1">
      <c r="A41" s="19"/>
      <c r="B41" s="19"/>
      <c r="C41" s="19"/>
      <c r="D41" s="19"/>
      <c r="E41" s="19"/>
      <c r="F41" s="19"/>
      <c r="G41" s="19"/>
      <c r="H41" s="19"/>
      <c r="I41" s="20"/>
      <c r="J41" s="20"/>
      <c r="K41" s="20"/>
      <c r="L41" s="20"/>
      <c r="M41" s="20"/>
      <c r="N41" s="20"/>
      <c r="O41" s="20"/>
    </row>
    <row r="42" spans="1:15" ht="15.75" customHeight="1">
      <c r="A42" s="19"/>
      <c r="B42" s="19"/>
      <c r="C42" s="19"/>
      <c r="D42" s="19"/>
      <c r="E42" s="19"/>
      <c r="F42" s="19"/>
      <c r="G42" s="19"/>
      <c r="H42" s="19"/>
      <c r="I42" s="20"/>
      <c r="J42" s="20"/>
      <c r="K42" s="20"/>
      <c r="L42" s="20"/>
      <c r="M42" s="20"/>
      <c r="N42" s="20"/>
      <c r="O42" s="20"/>
    </row>
    <row r="43" spans="1:15" ht="15.75" customHeight="1">
      <c r="A43" s="19"/>
      <c r="B43" s="19"/>
      <c r="C43" s="19"/>
      <c r="D43" s="19"/>
      <c r="E43" s="19"/>
      <c r="F43" s="19"/>
      <c r="G43" s="19"/>
      <c r="H43" s="19"/>
      <c r="I43" s="20"/>
      <c r="J43" s="20"/>
      <c r="K43" s="20"/>
      <c r="L43" s="20"/>
      <c r="M43" s="20"/>
      <c r="N43" s="20"/>
      <c r="O43" s="20"/>
    </row>
    <row r="44" spans="1:15" ht="15.75" customHeight="1">
      <c r="A44" s="19"/>
      <c r="B44" s="19"/>
      <c r="C44" s="19"/>
      <c r="D44" s="19"/>
      <c r="E44" s="19"/>
      <c r="F44" s="19"/>
      <c r="G44" s="19"/>
      <c r="H44" s="19"/>
      <c r="I44" s="20"/>
      <c r="J44" s="20"/>
      <c r="K44" s="20"/>
      <c r="L44" s="20"/>
      <c r="M44" s="20"/>
      <c r="N44" s="20"/>
      <c r="O44" s="20"/>
    </row>
    <row r="45" spans="1:15" ht="15.75" customHeight="1">
      <c r="A45" s="19"/>
      <c r="B45" s="19"/>
      <c r="C45" s="19"/>
      <c r="D45" s="19"/>
      <c r="E45" s="19"/>
      <c r="F45" s="19"/>
      <c r="G45" s="19"/>
      <c r="H45" s="19"/>
      <c r="I45" s="20"/>
      <c r="J45" s="20"/>
      <c r="K45" s="20"/>
      <c r="L45" s="20"/>
      <c r="M45" s="20"/>
      <c r="N45" s="20"/>
      <c r="O45" s="20"/>
    </row>
    <row r="46" spans="1:15" ht="15.75" customHeight="1">
      <c r="A46" s="19"/>
      <c r="B46" s="19"/>
      <c r="C46" s="19"/>
      <c r="D46" s="19"/>
      <c r="E46" s="19"/>
      <c r="F46" s="19"/>
      <c r="G46" s="19"/>
      <c r="H46" s="19"/>
      <c r="I46" s="20"/>
      <c r="J46" s="20"/>
      <c r="K46" s="20"/>
      <c r="L46" s="20"/>
      <c r="M46" s="20"/>
      <c r="N46" s="20"/>
      <c r="O46" s="20"/>
    </row>
    <row r="47" spans="1:15" ht="15.75" customHeight="1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</row>
    <row r="48" spans="1:15" ht="15.75" customHeight="1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</row>
    <row r="49" spans="1:15" ht="15.75" customHeight="1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</row>
    <row r="50" spans="1:15" ht="15.75" customHeight="1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</row>
    <row r="51" spans="1:15" ht="15.75" customHeight="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</row>
    <row r="52" spans="1:15" ht="15.7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</row>
    <row r="53" spans="1:15" ht="15.75" customHeight="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</row>
    <row r="54" spans="1:15" ht="15.75" customHeight="1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</row>
    <row r="55" spans="1:15" ht="15.75" customHeight="1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</row>
    <row r="56" spans="1:15" ht="15.75" customHeight="1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</row>
    <row r="57" spans="1:15" ht="15.75" customHeight="1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</row>
    <row r="58" spans="1:15" ht="15.7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</row>
    <row r="59" spans="1:15" ht="15.75" customHeight="1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</row>
    <row r="60" spans="1:15" ht="15.75" customHeight="1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</row>
    <row r="61" spans="1:15" ht="15.75" customHeight="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</row>
    <row r="62" spans="1:15" ht="15.75" customHeight="1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</row>
    <row r="63" spans="1:15" ht="15.75" customHeight="1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</row>
    <row r="64" spans="1:15" ht="15.7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</row>
    <row r="65" spans="1:15" ht="15.75" customHeight="1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</row>
    <row r="66" spans="1:15" ht="15.75" customHeight="1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</row>
    <row r="67" spans="1:15" ht="15.75" customHeight="1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</row>
    <row r="68" spans="1:15" ht="15.75" customHeight="1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</row>
    <row r="69" spans="1:15" ht="15.75" customHeight="1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</row>
    <row r="70" spans="1:15" ht="15.7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</row>
    <row r="71" spans="1:15" ht="15.75" customHeight="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</row>
    <row r="72" spans="1:15" ht="15.75" customHeight="1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</row>
    <row r="73" spans="1:15" ht="15.75" customHeight="1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</row>
    <row r="74" spans="1:15" ht="15.75" customHeight="1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</row>
    <row r="75" spans="1:15" ht="15.75" customHeight="1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</row>
    <row r="76" spans="1:15" ht="15.7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</row>
    <row r="77" spans="1:15" ht="15.75" customHeight="1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</row>
    <row r="78" spans="1:15" ht="15.75" customHeight="1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</row>
    <row r="79" spans="1:15" ht="15.75" customHeight="1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</row>
    <row r="80" spans="1:15" ht="15.75" customHeight="1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</row>
    <row r="81" spans="1:15" ht="15.75" customHeight="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</row>
    <row r="82" spans="1:15" ht="15.7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</row>
    <row r="83" spans="1:15" ht="15.75" customHeight="1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</row>
    <row r="84" spans="1:15" ht="15.75" customHeight="1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</row>
    <row r="85" spans="1:15" ht="15.75" customHeight="1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</row>
    <row r="86" spans="1:15" ht="15.75" customHeight="1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</row>
    <row r="87" spans="1:15" ht="15.75" customHeight="1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</row>
    <row r="88" spans="1:15" ht="15.7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</row>
    <row r="89" spans="1:15" ht="15.75" customHeight="1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</row>
    <row r="90" spans="1:15" ht="15.75" customHeight="1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</row>
    <row r="91" spans="1:15" ht="15.75" customHeight="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</row>
    <row r="92" spans="1:15" ht="15.75" customHeight="1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</row>
    <row r="93" spans="1:15" ht="15.75" customHeight="1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</row>
    <row r="94" spans="1:15" ht="15.7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</row>
    <row r="95" spans="1:15" ht="15.75" customHeight="1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</row>
  </sheetData>
  <sheetProtection algorithmName="SHA-512" hashValue="aLP7EcHsru0DnpEVt2BbFexWhROY6COMNoUqhDYsktyblPwql10vXjr1cdxdMpPb/vAMZcZJFIJL/D9S5bYO1w==" saltValue="YyWwEXXK0lHG/AdqxqgRiw==" spinCount="100000" sheet="1" objects="1" scenarios="1"/>
  <mergeCells count="70">
    <mergeCell ref="A3:O3"/>
    <mergeCell ref="A4:O4"/>
    <mergeCell ref="N5:O5"/>
    <mergeCell ref="L5:M5"/>
    <mergeCell ref="B20:E20"/>
    <mergeCell ref="B5:K5"/>
    <mergeCell ref="B6:K6"/>
    <mergeCell ref="N6:O6"/>
    <mergeCell ref="M13:O13"/>
    <mergeCell ref="N9:O9"/>
    <mergeCell ref="N7:O7"/>
    <mergeCell ref="N8:O8"/>
    <mergeCell ref="A9:A10"/>
    <mergeCell ref="B9:K10"/>
    <mergeCell ref="F20:J20"/>
    <mergeCell ref="F17:J17"/>
    <mergeCell ref="A14:A15"/>
    <mergeCell ref="B26:E26"/>
    <mergeCell ref="B24:E24"/>
    <mergeCell ref="B25:E25"/>
    <mergeCell ref="F22:J22"/>
    <mergeCell ref="F23:J23"/>
    <mergeCell ref="B22:E22"/>
    <mergeCell ref="B23:E23"/>
    <mergeCell ref="F21:J21"/>
    <mergeCell ref="F26:J26"/>
    <mergeCell ref="F14:J15"/>
    <mergeCell ref="F16:J16"/>
    <mergeCell ref="K14:O35"/>
    <mergeCell ref="B28:E28"/>
    <mergeCell ref="B34:E34"/>
    <mergeCell ref="B31:E31"/>
    <mergeCell ref="F24:J24"/>
    <mergeCell ref="F25:J25"/>
    <mergeCell ref="B21:E21"/>
    <mergeCell ref="B16:E16"/>
    <mergeCell ref="B14:E15"/>
    <mergeCell ref="F18:J18"/>
    <mergeCell ref="F19:J19"/>
    <mergeCell ref="B18:E18"/>
    <mergeCell ref="B17:E17"/>
    <mergeCell ref="B19:E19"/>
    <mergeCell ref="L6:M6"/>
    <mergeCell ref="L7:M7"/>
    <mergeCell ref="B13:K13"/>
    <mergeCell ref="B8:K8"/>
    <mergeCell ref="B12:K12"/>
    <mergeCell ref="M10:O10"/>
    <mergeCell ref="M12:O12"/>
    <mergeCell ref="B7:K7"/>
    <mergeCell ref="L8:M8"/>
    <mergeCell ref="L9:M9"/>
    <mergeCell ref="B11:K11"/>
    <mergeCell ref="M11:O11"/>
    <mergeCell ref="K38:L38"/>
    <mergeCell ref="M38:O38"/>
    <mergeCell ref="F35:J35"/>
    <mergeCell ref="F27:J27"/>
    <mergeCell ref="F28:J28"/>
    <mergeCell ref="F29:J34"/>
    <mergeCell ref="M36:O36"/>
    <mergeCell ref="A38:J38"/>
    <mergeCell ref="A36:L36"/>
    <mergeCell ref="A37:L37"/>
    <mergeCell ref="B27:E27"/>
    <mergeCell ref="B30:E30"/>
    <mergeCell ref="B35:E35"/>
    <mergeCell ref="B29:E29"/>
    <mergeCell ref="B33:E33"/>
    <mergeCell ref="B32:E32"/>
  </mergeCells>
  <pageMargins left="0.7" right="0.25" top="0.2" bottom="0.75" header="0" footer="0"/>
  <pageSetup paperSize="9" scale="85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030A0"/>
  </sheetPr>
  <dimension ref="A1:L100"/>
  <sheetViews>
    <sheetView workbookViewId="0">
      <selection activeCell="K8" sqref="K8:L8"/>
    </sheetView>
  </sheetViews>
  <sheetFormatPr defaultColWidth="14.36328125" defaultRowHeight="15" customHeight="1"/>
  <cols>
    <col min="1" max="1" width="9.6328125" customWidth="1"/>
    <col min="2" max="4" width="7.90625" customWidth="1"/>
    <col min="5" max="5" width="13.08984375" customWidth="1"/>
    <col min="6" max="6" width="4.54296875" customWidth="1"/>
    <col min="7" max="7" width="8.6328125" customWidth="1"/>
    <col min="8" max="8" width="1.453125" customWidth="1"/>
    <col min="9" max="9" width="10.1796875" customWidth="1"/>
    <col min="10" max="10" width="9.54296875" customWidth="1"/>
    <col min="11" max="11" width="8.36328125" customWidth="1"/>
    <col min="12" max="12" width="9.54296875" customWidth="1"/>
  </cols>
  <sheetData>
    <row r="1" spans="1:12" ht="30" customHeight="1" thickBot="1">
      <c r="A1" s="577" t="s">
        <v>104</v>
      </c>
      <c r="B1" s="578"/>
      <c r="C1" s="578"/>
      <c r="D1" s="578"/>
      <c r="E1" s="578"/>
      <c r="F1" s="116"/>
      <c r="G1" s="116"/>
      <c r="H1" s="116"/>
      <c r="I1" s="594">
        <f>SUM('New Regime Page 1'!M38:O38)</f>
        <v>-75000</v>
      </c>
      <c r="J1" s="595"/>
      <c r="K1" s="595"/>
      <c r="L1" s="596"/>
    </row>
    <row r="2" spans="1:12" ht="30" customHeight="1" thickBot="1">
      <c r="A2" s="579" t="s">
        <v>117</v>
      </c>
      <c r="B2" s="580"/>
      <c r="C2" s="580"/>
      <c r="D2" s="580"/>
      <c r="E2" s="581"/>
      <c r="F2" s="618">
        <f>'New Regime Page 1'!F35:J35</f>
        <v>0</v>
      </c>
      <c r="G2" s="619"/>
      <c r="H2" s="117"/>
      <c r="I2" s="623"/>
      <c r="J2" s="624"/>
      <c r="K2" s="624"/>
      <c r="L2" s="625"/>
    </row>
    <row r="3" spans="1:12" ht="30" customHeight="1" thickBot="1">
      <c r="A3" s="582" t="s">
        <v>92</v>
      </c>
      <c r="B3" s="583"/>
      <c r="C3" s="583"/>
      <c r="D3" s="583"/>
      <c r="E3" s="584"/>
      <c r="F3" s="620"/>
      <c r="G3" s="621"/>
      <c r="H3" s="117"/>
      <c r="I3" s="629">
        <f>F2</f>
        <v>0</v>
      </c>
      <c r="J3" s="630"/>
      <c r="K3" s="630"/>
      <c r="L3" s="631"/>
    </row>
    <row r="4" spans="1:12" ht="20.25" customHeight="1" thickBot="1">
      <c r="A4" s="432" t="s">
        <v>118</v>
      </c>
      <c r="B4" s="288"/>
      <c r="C4" s="288"/>
      <c r="D4" s="288"/>
      <c r="E4" s="288"/>
      <c r="F4" s="117"/>
      <c r="G4" s="118"/>
      <c r="H4" s="117"/>
      <c r="I4" s="628">
        <f>I1-I3</f>
        <v>-75000</v>
      </c>
      <c r="J4" s="600"/>
      <c r="K4" s="600"/>
      <c r="L4" s="601"/>
    </row>
    <row r="5" spans="1:12" ht="31.5" customHeight="1" thickBot="1">
      <c r="A5" s="341" t="s">
        <v>61</v>
      </c>
      <c r="B5" s="557"/>
      <c r="C5" s="557"/>
      <c r="D5" s="557"/>
      <c r="E5" s="557"/>
      <c r="F5" s="117"/>
      <c r="G5" s="117"/>
      <c r="H5" s="117"/>
      <c r="I5" s="599">
        <f>ROUND(I4,0)</f>
        <v>-75000</v>
      </c>
      <c r="J5" s="600"/>
      <c r="K5" s="600"/>
      <c r="L5" s="601"/>
    </row>
    <row r="6" spans="1:12" ht="25.5" customHeight="1" thickBot="1">
      <c r="A6" s="434" t="s">
        <v>119</v>
      </c>
      <c r="B6" s="288"/>
      <c r="C6" s="288"/>
      <c r="D6" s="288"/>
      <c r="E6" s="288"/>
      <c r="F6" s="117"/>
      <c r="G6" s="117"/>
      <c r="H6" s="117"/>
      <c r="I6" s="597"/>
      <c r="J6" s="425"/>
      <c r="K6" s="425"/>
      <c r="L6" s="598"/>
    </row>
    <row r="7" spans="1:12" ht="23.25" customHeight="1" thickBot="1">
      <c r="A7" s="434" t="s">
        <v>62</v>
      </c>
      <c r="B7" s="288"/>
      <c r="C7" s="288"/>
      <c r="D7" s="288"/>
      <c r="E7" s="30"/>
      <c r="F7" s="117"/>
      <c r="G7" s="117"/>
      <c r="H7" s="117"/>
      <c r="I7" s="606" t="s">
        <v>63</v>
      </c>
      <c r="J7" s="607"/>
      <c r="K7" s="606" t="s">
        <v>64</v>
      </c>
      <c r="L7" s="608"/>
    </row>
    <row r="8" spans="1:12" ht="24.75" customHeight="1" thickBot="1">
      <c r="A8" s="551" t="s">
        <v>82</v>
      </c>
      <c r="B8" s="484"/>
      <c r="C8" s="484"/>
      <c r="D8" s="484"/>
      <c r="E8" s="119"/>
      <c r="F8" s="604" t="s">
        <v>66</v>
      </c>
      <c r="G8" s="605"/>
      <c r="H8" s="118"/>
      <c r="I8" s="552" t="s">
        <v>27</v>
      </c>
      <c r="J8" s="553"/>
      <c r="K8" s="609">
        <f>'OLD Regime Page 2 '!K34:L34</f>
        <v>0</v>
      </c>
      <c r="L8" s="547"/>
    </row>
    <row r="9" spans="1:12" ht="24.75" customHeight="1" thickBot="1">
      <c r="A9" s="551" t="s">
        <v>83</v>
      </c>
      <c r="B9" s="484"/>
      <c r="C9" s="484"/>
      <c r="D9" s="484"/>
      <c r="E9" s="485"/>
      <c r="F9" s="558">
        <f>IF(I5&lt;=300000,0,IF(I5&gt;=700000,(700000-300000)*5/100,IF(I5&lt;700000,(I5-300000)*5/100, )))</f>
        <v>0</v>
      </c>
      <c r="G9" s="559"/>
      <c r="H9" s="118"/>
      <c r="I9" s="552" t="s">
        <v>28</v>
      </c>
      <c r="J9" s="553"/>
      <c r="K9" s="554">
        <f>'OLD Regime Page 2 '!K35:L35</f>
        <v>0</v>
      </c>
      <c r="L9" s="547"/>
    </row>
    <row r="10" spans="1:12" ht="24.75" customHeight="1" thickBot="1">
      <c r="A10" s="551" t="s">
        <v>84</v>
      </c>
      <c r="B10" s="484"/>
      <c r="C10" s="484"/>
      <c r="D10" s="484"/>
      <c r="E10" s="485"/>
      <c r="F10" s="626">
        <f>IF(I5&gt;=1000000,30000,IF(I5&gt;700000,(I5-700000)*10/100,IF(I5&lt;700000,0)))</f>
        <v>0</v>
      </c>
      <c r="G10" s="627"/>
      <c r="H10" s="118"/>
      <c r="I10" s="552" t="s">
        <v>29</v>
      </c>
      <c r="J10" s="553"/>
      <c r="K10" s="554">
        <f>'OLD Regime Page 2 '!K36:L36</f>
        <v>0</v>
      </c>
      <c r="L10" s="547"/>
    </row>
    <row r="11" spans="1:12" ht="24.75" customHeight="1" thickBot="1">
      <c r="A11" s="551" t="s">
        <v>85</v>
      </c>
      <c r="B11" s="484"/>
      <c r="C11" s="484"/>
      <c r="D11" s="484"/>
      <c r="E11" s="485"/>
      <c r="F11" s="585">
        <f>IF(I5&gt;=1200000,30000,IF(I5&gt;1000000,(I5-1000000)*15/100,IF(I5&lt;1000000,0)))</f>
        <v>0</v>
      </c>
      <c r="G11" s="574"/>
      <c r="H11" s="118"/>
      <c r="I11" s="552" t="s">
        <v>30</v>
      </c>
      <c r="J11" s="553"/>
      <c r="K11" s="554">
        <f>'OLD Regime Page 2 '!K37:L37</f>
        <v>0</v>
      </c>
      <c r="L11" s="547"/>
    </row>
    <row r="12" spans="1:12" ht="24.75" customHeight="1" thickBot="1">
      <c r="A12" s="551" t="s">
        <v>86</v>
      </c>
      <c r="B12" s="484"/>
      <c r="C12" s="484"/>
      <c r="D12" s="484"/>
      <c r="E12" s="485"/>
      <c r="F12" s="585">
        <f>IF(I5&gt;=1500000,60000,IF(I5&gt;1200000,(I5-1200000)*20/100,IF(I5&lt;1200000,0)))</f>
        <v>0</v>
      </c>
      <c r="G12" s="574"/>
      <c r="H12" s="118"/>
      <c r="I12" s="552" t="s">
        <v>31</v>
      </c>
      <c r="J12" s="553"/>
      <c r="K12" s="554">
        <f>'OLD Regime Page 2 '!K38:L38</f>
        <v>0</v>
      </c>
      <c r="L12" s="547"/>
    </row>
    <row r="13" spans="1:12" ht="24.75" customHeight="1" thickBot="1">
      <c r="A13" s="551" t="s">
        <v>87</v>
      </c>
      <c r="B13" s="484"/>
      <c r="C13" s="484"/>
      <c r="D13" s="484"/>
      <c r="E13" s="485"/>
      <c r="F13" s="586">
        <f>IF(I5&gt;1500000,(I5-1500000)*30/100,IF(I31&lt;1500000,0))</f>
        <v>0</v>
      </c>
      <c r="G13" s="587"/>
      <c r="H13" s="118"/>
      <c r="I13" s="552" t="s">
        <v>32</v>
      </c>
      <c r="J13" s="553"/>
      <c r="K13" s="554">
        <f>'OLD Regime Page 2 '!K39:L39</f>
        <v>0</v>
      </c>
      <c r="L13" s="547"/>
    </row>
    <row r="14" spans="1:12" ht="24.75" customHeight="1" thickBot="1">
      <c r="A14" s="588" t="s">
        <v>120</v>
      </c>
      <c r="B14" s="589"/>
      <c r="C14" s="589"/>
      <c r="D14" s="589"/>
      <c r="E14" s="590"/>
      <c r="F14" s="614">
        <f>SUM(F9:G13)</f>
        <v>0</v>
      </c>
      <c r="G14" s="615"/>
      <c r="H14" s="118"/>
      <c r="I14" s="552" t="s">
        <v>33</v>
      </c>
      <c r="J14" s="553"/>
      <c r="K14" s="554">
        <f>'OLD Regime Page 2 '!K40:L40</f>
        <v>0</v>
      </c>
      <c r="L14" s="547"/>
    </row>
    <row r="15" spans="1:12" ht="24.75" customHeight="1" thickBot="1">
      <c r="A15" s="591" t="s">
        <v>151</v>
      </c>
      <c r="B15" s="589"/>
      <c r="C15" s="589"/>
      <c r="D15" s="589"/>
      <c r="E15" s="589"/>
      <c r="F15" s="610">
        <f>IF(I5&gt;700000,0,IF(I5=700000,20000,IF(I5&lt;7000000,F14)))</f>
        <v>0</v>
      </c>
      <c r="G15" s="611"/>
      <c r="H15" s="120"/>
      <c r="I15" s="552" t="s">
        <v>34</v>
      </c>
      <c r="J15" s="553"/>
      <c r="K15" s="554">
        <f>'OLD Regime Page 2 '!K41:L41</f>
        <v>0</v>
      </c>
      <c r="L15" s="547"/>
    </row>
    <row r="16" spans="1:12" ht="24.75" customHeight="1" thickBot="1">
      <c r="A16" s="592"/>
      <c r="B16" s="593"/>
      <c r="C16" s="593"/>
      <c r="D16" s="593"/>
      <c r="E16" s="593"/>
      <c r="F16" s="612"/>
      <c r="G16" s="613"/>
      <c r="H16" s="118"/>
      <c r="I16" s="552" t="s">
        <v>35</v>
      </c>
      <c r="J16" s="553"/>
      <c r="K16" s="554">
        <f>'OLD Regime Page 2 '!K42:L42</f>
        <v>0</v>
      </c>
      <c r="L16" s="547"/>
    </row>
    <row r="17" spans="1:12" ht="30.75" customHeight="1" thickBot="1">
      <c r="A17" s="434" t="s">
        <v>71</v>
      </c>
      <c r="B17" s="288"/>
      <c r="C17" s="288"/>
      <c r="D17" s="288"/>
      <c r="E17" s="288"/>
      <c r="F17" s="558">
        <f>F14-F15</f>
        <v>0</v>
      </c>
      <c r="G17" s="559"/>
      <c r="H17" s="118"/>
      <c r="I17" s="616" t="s">
        <v>36</v>
      </c>
      <c r="J17" s="617"/>
      <c r="K17" s="554">
        <f>'OLD Regime Page 2 '!K43:L43</f>
        <v>0</v>
      </c>
      <c r="L17" s="547"/>
    </row>
    <row r="18" spans="1:12" ht="24.75" customHeight="1" thickBot="1">
      <c r="A18" s="432" t="s">
        <v>152</v>
      </c>
      <c r="B18" s="564"/>
      <c r="C18" s="564"/>
      <c r="D18" s="564"/>
      <c r="E18" s="565"/>
      <c r="F18" s="569">
        <f>IF(F15&lt;0,0,IF(F14&gt;I5-700000,(I5-700000)-F14,0))</f>
        <v>-775000</v>
      </c>
      <c r="G18" s="570"/>
      <c r="H18" s="118"/>
      <c r="I18" s="343" t="s">
        <v>145</v>
      </c>
      <c r="J18" s="622"/>
      <c r="K18" s="546">
        <f>'OLD Regime Page 2 '!K44:L44</f>
        <v>0</v>
      </c>
      <c r="L18" s="547"/>
    </row>
    <row r="19" spans="1:12" ht="24.75" customHeight="1" thickBot="1">
      <c r="A19" s="566" t="s">
        <v>153</v>
      </c>
      <c r="B19" s="567"/>
      <c r="C19" s="567"/>
      <c r="D19" s="567"/>
      <c r="E19" s="568"/>
      <c r="F19" s="560">
        <f>+F17+F18</f>
        <v>-775000</v>
      </c>
      <c r="G19" s="570"/>
      <c r="H19" s="118"/>
      <c r="I19" s="353" t="s">
        <v>146</v>
      </c>
      <c r="J19" s="548"/>
      <c r="K19" s="546">
        <f>'OLD Regime Page 2 '!K45:L45</f>
        <v>0</v>
      </c>
      <c r="L19" s="547"/>
    </row>
    <row r="20" spans="1:12" ht="24.75" customHeight="1" thickBot="1">
      <c r="A20" s="551" t="s">
        <v>121</v>
      </c>
      <c r="B20" s="484"/>
      <c r="C20" s="484"/>
      <c r="D20" s="484"/>
      <c r="E20" s="484"/>
      <c r="F20" s="558">
        <f>+F19*0.04</f>
        <v>-31000</v>
      </c>
      <c r="G20" s="559"/>
      <c r="H20" s="118"/>
      <c r="I20" s="555" t="s">
        <v>88</v>
      </c>
      <c r="J20" s="556"/>
      <c r="K20" s="546">
        <f>'OLD Regime Page 2 '!K46:L46</f>
        <v>0</v>
      </c>
      <c r="L20" s="547"/>
    </row>
    <row r="21" spans="1:12" ht="24.75" customHeight="1" thickBot="1">
      <c r="A21" s="551" t="s">
        <v>122</v>
      </c>
      <c r="B21" s="484"/>
      <c r="C21" s="484"/>
      <c r="D21" s="484"/>
      <c r="E21" s="484"/>
      <c r="F21" s="558">
        <f>+F19+F20</f>
        <v>-806000</v>
      </c>
      <c r="G21" s="559"/>
      <c r="H21" s="118"/>
      <c r="I21" s="121" t="s">
        <v>73</v>
      </c>
      <c r="J21" s="122"/>
      <c r="K21" s="546">
        <f>'OLD Regime Page 2 '!K47:L47</f>
        <v>0</v>
      </c>
      <c r="L21" s="547"/>
    </row>
    <row r="22" spans="1:12" ht="24.75" customHeight="1" thickBot="1">
      <c r="A22" s="551" t="s">
        <v>123</v>
      </c>
      <c r="B22" s="484"/>
      <c r="C22" s="484"/>
      <c r="D22" s="484"/>
      <c r="E22" s="484"/>
      <c r="F22" s="602">
        <v>0</v>
      </c>
      <c r="G22" s="603"/>
      <c r="H22" s="118"/>
      <c r="I22" s="123" t="s">
        <v>41</v>
      </c>
      <c r="J22" s="124"/>
      <c r="K22" s="549">
        <f>SUM(K8:L21)</f>
        <v>0</v>
      </c>
      <c r="L22" s="550"/>
    </row>
    <row r="23" spans="1:12" ht="24.75" customHeight="1" thickBot="1">
      <c r="A23" s="551" t="s">
        <v>124</v>
      </c>
      <c r="B23" s="484"/>
      <c r="C23" s="484"/>
      <c r="D23" s="484"/>
      <c r="E23" s="484"/>
      <c r="F23" s="560">
        <f>F21-F22</f>
        <v>-806000</v>
      </c>
      <c r="G23" s="561"/>
      <c r="H23" s="118"/>
      <c r="J23" s="115"/>
      <c r="K23" s="115"/>
      <c r="L23" s="125"/>
    </row>
    <row r="24" spans="1:12" ht="15" customHeight="1" thickBot="1">
      <c r="A24" s="551" t="s">
        <v>125</v>
      </c>
      <c r="B24" s="484"/>
      <c r="C24" s="484"/>
      <c r="D24" s="484"/>
      <c r="E24" s="484"/>
      <c r="F24" s="575">
        <f>SUM(K22)</f>
        <v>0</v>
      </c>
      <c r="G24" s="576"/>
      <c r="L24" s="36"/>
    </row>
    <row r="25" spans="1:12" ht="15" customHeight="1" thickBot="1">
      <c r="A25" s="551" t="s">
        <v>126</v>
      </c>
      <c r="B25" s="484"/>
      <c r="C25" s="484"/>
      <c r="D25" s="484"/>
      <c r="E25" s="484"/>
      <c r="F25" s="573">
        <f>F23-F24</f>
        <v>-806000</v>
      </c>
      <c r="G25" s="574"/>
      <c r="L25" s="36"/>
    </row>
    <row r="26" spans="1:12" ht="24.75" customHeight="1">
      <c r="A26" s="562"/>
      <c r="B26" s="563"/>
      <c r="C26" s="563"/>
      <c r="D26" s="563"/>
      <c r="E26" s="563"/>
      <c r="F26" s="563"/>
      <c r="G26" s="563"/>
      <c r="I26" s="126" t="s">
        <v>147</v>
      </c>
      <c r="L26" s="36"/>
    </row>
    <row r="27" spans="1:12" ht="24.75" customHeight="1">
      <c r="A27" s="114" t="s">
        <v>89</v>
      </c>
      <c r="B27" s="571"/>
      <c r="C27" s="425"/>
      <c r="D27" s="425"/>
      <c r="E27" s="127"/>
      <c r="F27" s="572"/>
      <c r="G27" s="307"/>
      <c r="H27" s="128"/>
      <c r="I27" s="126"/>
      <c r="L27" s="36"/>
    </row>
    <row r="28" spans="1:12" ht="15.75" customHeight="1" thickBot="1">
      <c r="A28" s="129" t="s">
        <v>90</v>
      </c>
      <c r="B28" s="130"/>
      <c r="C28" s="131"/>
      <c r="D28" s="131"/>
      <c r="E28" s="132"/>
      <c r="F28" s="133"/>
      <c r="G28" s="131"/>
      <c r="H28" s="134"/>
      <c r="I28" s="135" t="s">
        <v>148</v>
      </c>
      <c r="J28" s="136"/>
      <c r="K28" s="136"/>
      <c r="L28" s="137"/>
    </row>
    <row r="29" spans="1:12" ht="15.75" customHeight="1"/>
    <row r="30" spans="1:12" ht="15.75" customHeight="1"/>
    <row r="31" spans="1:12" ht="15.75" customHeight="1"/>
    <row r="32" spans="1:12" ht="15.75" customHeight="1"/>
    <row r="33" customFormat="1" ht="15.75" customHeight="1"/>
    <row r="34" customFormat="1" ht="15.75" customHeight="1"/>
    <row r="35" customFormat="1" ht="15.75" customHeight="1"/>
    <row r="36" customFormat="1" ht="15.75" customHeight="1"/>
    <row r="37" customFormat="1" ht="15.75" customHeight="1"/>
    <row r="38" customFormat="1" ht="15.75" customHeight="1"/>
    <row r="39" customFormat="1" ht="15.75" customHeight="1"/>
    <row r="40" customFormat="1" ht="15.75" customHeight="1"/>
    <row r="41" customFormat="1" ht="15.75" customHeight="1"/>
    <row r="42" customFormat="1" ht="15.75" customHeight="1"/>
    <row r="43" customFormat="1" ht="15.75" customHeight="1"/>
    <row r="44" customFormat="1" ht="15.75" customHeight="1"/>
    <row r="45" customFormat="1" ht="15.75" customHeight="1"/>
    <row r="46" customFormat="1" ht="15.75" customHeight="1"/>
    <row r="47" customFormat="1" ht="15.75" customHeight="1"/>
    <row r="48" customFormat="1" ht="15.75" customHeight="1"/>
    <row r="49" customFormat="1" ht="15.75" customHeight="1"/>
    <row r="50" customFormat="1" ht="15.75" customHeight="1"/>
    <row r="51" customFormat="1" ht="15.75" customHeight="1"/>
    <row r="52" customFormat="1" ht="15.75" customHeight="1"/>
    <row r="53" customFormat="1" ht="15.75" customHeight="1"/>
    <row r="54" customFormat="1" ht="15.75" customHeight="1"/>
    <row r="55" customFormat="1" ht="15.75" customHeight="1"/>
    <row r="56" customFormat="1" ht="15.75" customHeight="1"/>
    <row r="57" customFormat="1" ht="15.75" customHeight="1"/>
    <row r="58" customFormat="1" ht="15.75" customHeight="1"/>
    <row r="59" customFormat="1" ht="15.75" customHeight="1"/>
    <row r="60" customFormat="1" ht="15.75" customHeight="1"/>
    <row r="61" customFormat="1" ht="15.75" customHeight="1"/>
    <row r="62" customFormat="1" ht="15.75" customHeight="1"/>
    <row r="63" customFormat="1" ht="15.75" customHeight="1"/>
    <row r="64" customFormat="1" ht="15.75" customHeight="1"/>
    <row r="65" customFormat="1" ht="15.75" customHeight="1"/>
    <row r="66" customFormat="1" ht="15.75" customHeight="1"/>
    <row r="67" customFormat="1" ht="15.75" customHeight="1"/>
    <row r="68" customFormat="1" ht="15.75" customHeight="1"/>
    <row r="69" customFormat="1" ht="15.75" customHeight="1"/>
    <row r="70" customFormat="1" ht="15.75" customHeight="1"/>
    <row r="71" customFormat="1" ht="15.75" customHeight="1"/>
    <row r="72" customFormat="1" ht="15.75" customHeight="1"/>
    <row r="73" customFormat="1" ht="15.75" customHeight="1"/>
    <row r="74" customFormat="1" ht="15.75" customHeight="1"/>
    <row r="75" customFormat="1" ht="15.75" customHeight="1"/>
    <row r="76" customFormat="1" ht="15.75" customHeight="1"/>
    <row r="77" customFormat="1" ht="15.75" customHeight="1"/>
    <row r="78" customFormat="1" ht="15.75" customHeight="1"/>
    <row r="79" customFormat="1" ht="15.75" customHeight="1"/>
    <row r="80" customFormat="1" ht="15.75" customHeight="1"/>
    <row r="81" customFormat="1" ht="15.75" customHeight="1"/>
    <row r="82" customFormat="1" ht="15.75" customHeight="1"/>
    <row r="83" customFormat="1" ht="15.75" customHeight="1"/>
    <row r="84" customFormat="1" ht="15.75" customHeight="1"/>
    <row r="85" customFormat="1" ht="15.75" customHeight="1"/>
    <row r="86" customFormat="1" ht="15.75" customHeight="1"/>
    <row r="87" customFormat="1" ht="15.75" customHeight="1"/>
    <row r="88" customFormat="1" ht="15.75" customHeight="1"/>
    <row r="89" customFormat="1" ht="15.75" customHeight="1"/>
    <row r="90" customFormat="1" ht="15.75" customHeight="1"/>
    <row r="91" customFormat="1" ht="15.75" customHeight="1"/>
    <row r="92" customFormat="1" ht="15.75" customHeight="1"/>
    <row r="93" customFormat="1" ht="15.75" customHeight="1"/>
    <row r="94" customFormat="1" ht="15.75" customHeight="1"/>
    <row r="95" customFormat="1" ht="15.75" customHeight="1"/>
    <row r="96" customFormat="1" ht="15.75" customHeight="1"/>
    <row r="97" customFormat="1" ht="15.75" customHeight="1"/>
    <row r="98" customFormat="1" ht="15.75" customHeight="1"/>
    <row r="99" customFormat="1" ht="15.75" customHeight="1"/>
    <row r="100" customFormat="1" ht="15.75" customHeight="1"/>
  </sheetData>
  <sheetProtection algorithmName="SHA-512" hashValue="KeZ2G75pExxipgTpzqzTaEHvmLerQVAOD5wnepOrzPCagQCCzGwKURfo1LR/QFDicU+YixfreBZ8zDf5ZCPOIQ==" saltValue="S8rtpdMKSrv7xO2QXde6Zg==" spinCount="100000" sheet="1" objects="1" scenarios="1"/>
  <mergeCells count="82">
    <mergeCell ref="I18:J18"/>
    <mergeCell ref="I2:L2"/>
    <mergeCell ref="F10:G10"/>
    <mergeCell ref="F9:G9"/>
    <mergeCell ref="I12:J12"/>
    <mergeCell ref="I10:J10"/>
    <mergeCell ref="I9:J9"/>
    <mergeCell ref="I11:J11"/>
    <mergeCell ref="K10:L10"/>
    <mergeCell ref="K11:L11"/>
    <mergeCell ref="K12:L12"/>
    <mergeCell ref="I4:L4"/>
    <mergeCell ref="I3:L3"/>
    <mergeCell ref="I1:L1"/>
    <mergeCell ref="I6:L6"/>
    <mergeCell ref="I5:L5"/>
    <mergeCell ref="F22:G22"/>
    <mergeCell ref="F8:G8"/>
    <mergeCell ref="I7:J7"/>
    <mergeCell ref="K9:L9"/>
    <mergeCell ref="K7:L7"/>
    <mergeCell ref="K8:L8"/>
    <mergeCell ref="I8:J8"/>
    <mergeCell ref="F15:G16"/>
    <mergeCell ref="F14:G14"/>
    <mergeCell ref="I16:J16"/>
    <mergeCell ref="I17:J17"/>
    <mergeCell ref="K17:L17"/>
    <mergeCell ref="F2:G3"/>
    <mergeCell ref="A1:E1"/>
    <mergeCell ref="A2:E2"/>
    <mergeCell ref="A3:E3"/>
    <mergeCell ref="F21:G21"/>
    <mergeCell ref="F11:G11"/>
    <mergeCell ref="F17:G17"/>
    <mergeCell ref="F13:G13"/>
    <mergeCell ref="F12:G12"/>
    <mergeCell ref="A9:E9"/>
    <mergeCell ref="A12:E12"/>
    <mergeCell ref="A13:E13"/>
    <mergeCell ref="A10:E10"/>
    <mergeCell ref="A11:E11"/>
    <mergeCell ref="A14:E14"/>
    <mergeCell ref="A15:E16"/>
    <mergeCell ref="A4:E4"/>
    <mergeCell ref="B27:D27"/>
    <mergeCell ref="A24:E24"/>
    <mergeCell ref="F27:G27"/>
    <mergeCell ref="F25:G25"/>
    <mergeCell ref="A25:E25"/>
    <mergeCell ref="F24:G24"/>
    <mergeCell ref="F20:G20"/>
    <mergeCell ref="F23:G23"/>
    <mergeCell ref="A26:E26"/>
    <mergeCell ref="F26:G26"/>
    <mergeCell ref="A18:E18"/>
    <mergeCell ref="A19:E19"/>
    <mergeCell ref="F18:G18"/>
    <mergeCell ref="F19:G19"/>
    <mergeCell ref="A6:E6"/>
    <mergeCell ref="A5:E5"/>
    <mergeCell ref="A23:E23"/>
    <mergeCell ref="A20:E20"/>
    <mergeCell ref="A21:E21"/>
    <mergeCell ref="A22:E22"/>
    <mergeCell ref="A17:E17"/>
    <mergeCell ref="K21:L21"/>
    <mergeCell ref="I19:J19"/>
    <mergeCell ref="K22:L22"/>
    <mergeCell ref="A7:D7"/>
    <mergeCell ref="A8:D8"/>
    <mergeCell ref="I14:J14"/>
    <mergeCell ref="I13:J13"/>
    <mergeCell ref="K13:L13"/>
    <mergeCell ref="I20:J20"/>
    <mergeCell ref="K20:L20"/>
    <mergeCell ref="K19:L19"/>
    <mergeCell ref="I15:J15"/>
    <mergeCell ref="K14:L14"/>
    <mergeCell ref="K15:L15"/>
    <mergeCell ref="K16:L16"/>
    <mergeCell ref="K18:L18"/>
  </mergeCells>
  <pageMargins left="0.7" right="0.37" top="0.45" bottom="0.75" header="0" footer="0"/>
  <pageSetup paperSize="9"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સુચના </vt:lpstr>
      <vt:lpstr>OLD Regime Page 1 </vt:lpstr>
      <vt:lpstr>OLD Regime Page 2 </vt:lpstr>
      <vt:lpstr>New Regime Page 1</vt:lpstr>
      <vt:lpstr>New Regime Page 2</vt:lpstr>
      <vt:lpstr>'OLD Regime Page 1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india</dc:creator>
  <cp:lastModifiedBy>RAEES PATEL</cp:lastModifiedBy>
  <cp:lastPrinted>2025-01-04T09:10:19Z</cp:lastPrinted>
  <dcterms:created xsi:type="dcterms:W3CDTF">2013-01-09T06:19:35Z</dcterms:created>
  <dcterms:modified xsi:type="dcterms:W3CDTF">2025-01-06T09:53:28Z</dcterms:modified>
</cp:coreProperties>
</file>